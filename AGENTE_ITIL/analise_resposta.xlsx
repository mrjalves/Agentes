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name="analise_resposta" sheetId="1" state="visible" r:id="rId1"/>
    <sheet name="Planilha1" sheetId="2" state="visible" r:id="rId2"/>
    <sheet name="respostas" sheetId="3" state="visible" r:id="rId3"/>
    <sheet name="respostas_tickets" sheetId="4" state="visible" r:id="rId4"/>
    <sheet name="amostra_tickets" sheetId="5" state="visible" r:id="rId5"/>
  </sheets>
  <externalReferences>
    <externalReference r:id="rId6"/>
  </externalReference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9">
    <fill>
      <patternFill/>
    </fill>
    <fill>
      <patternFill patternType="gray125"/>
    </fill>
    <fill>
      <patternFill patternType="solid">
        <fgColor theme="3" tint="0.7999816888943144"/>
        <bgColor indexed="64"/>
      </patternFill>
    </fill>
    <fill>
      <patternFill patternType="solid">
        <fgColor theme="6" tint="0.7999816888943144"/>
        <bgColor indexed="64"/>
      </patternFill>
    </fill>
    <fill>
      <patternFill patternType="solid">
        <fgColor theme="0" tint="-0.1499984740745262"/>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9" tint="0.5999938962981048"/>
        <bgColor indexed="64"/>
      </patternFill>
    </fill>
  </fills>
  <borders count="3">
    <border>
      <left/>
      <right/>
      <top/>
      <bottom/>
      <diagonal/>
    </border>
    <border>
      <left/>
      <right/>
      <top style="thin">
        <color indexed="64"/>
      </top>
      <bottom style="medium">
        <color indexed="64"/>
      </bottom>
      <diagonal/>
    </border>
    <border>
      <left/>
      <right/>
      <top/>
      <bottom style="medium">
        <color indexed="64"/>
      </bottom>
      <diagonal/>
    </border>
  </borders>
  <cellStyleXfs count="1">
    <xf numFmtId="0" fontId="0" fillId="0" borderId="0"/>
  </cellStyleXfs>
  <cellXfs count="25">
    <xf numFmtId="0" fontId="0" fillId="0" borderId="0" pivotButton="0" quotePrefix="0" xfId="0"/>
    <xf numFmtId="0" fontId="0" fillId="0" borderId="0" applyAlignment="1" pivotButton="0" quotePrefix="0" xfId="0">
      <alignment vertical="justify" wrapText="1"/>
    </xf>
    <xf numFmtId="0" fontId="1" fillId="3" borderId="1"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vertical="center"/>
    </xf>
    <xf numFmtId="0" fontId="0" fillId="3" borderId="0" applyAlignment="1" pivotButton="0" quotePrefix="0" xfId="0">
      <alignment vertical="center" wrapText="1"/>
    </xf>
    <xf numFmtId="0" fontId="0" fillId="3" borderId="0" applyAlignment="1" pivotButton="0" quotePrefix="0" xfId="0">
      <alignment vertical="center"/>
    </xf>
    <xf numFmtId="0" fontId="1" fillId="0" borderId="0" applyAlignment="1" pivotButton="0" quotePrefix="0" xfId="0">
      <alignment vertical="justify" wrapText="1"/>
    </xf>
    <xf numFmtId="0" fontId="1" fillId="4" borderId="1" applyAlignment="1" pivotButton="0" quotePrefix="0" xfId="0">
      <alignment horizontal="center" vertical="center"/>
    </xf>
    <xf numFmtId="0" fontId="1" fillId="5" borderId="1" applyAlignment="1" pivotButton="0" quotePrefix="0" xfId="0">
      <alignment vertical="center"/>
    </xf>
    <xf numFmtId="0" fontId="1" fillId="6" borderId="1" applyAlignment="1" pivotButton="0" quotePrefix="0" xfId="0">
      <alignment vertical="center"/>
    </xf>
    <xf numFmtId="0" fontId="1" fillId="7" borderId="1" applyAlignment="1" pivotButton="0" quotePrefix="0" xfId="0">
      <alignment vertical="center"/>
    </xf>
    <xf numFmtId="0" fontId="1" fillId="8" borderId="1" applyAlignment="1" pivotButton="0" quotePrefix="0" xfId="0">
      <alignment vertical="center"/>
    </xf>
    <xf numFmtId="0" fontId="1" fillId="4" borderId="1" applyAlignment="1" pivotButton="0" quotePrefix="0" xfId="0">
      <alignment horizontal="center"/>
    </xf>
    <xf numFmtId="0" fontId="1" fillId="4" borderId="2" pivotButton="0" quotePrefix="0" xfId="0"/>
    <xf numFmtId="0" fontId="1" fillId="3" borderId="2" pivotButton="0" quotePrefix="0" xfId="0"/>
    <xf numFmtId="0" fontId="1" fillId="5" borderId="2" pivotButton="0" quotePrefix="0" xfId="0"/>
    <xf numFmtId="0" fontId="1" fillId="6" borderId="2" pivotButton="0" quotePrefix="0" xfId="0"/>
    <xf numFmtId="0" fontId="1" fillId="7" borderId="2" pivotButton="0" quotePrefix="0" xfId="0"/>
    <xf numFmtId="0" fontId="1" fillId="8" borderId="2"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6" borderId="0" pivotButton="0" quotePrefix="1"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microsoft.com/office/2006/relationships/xlExternalLinkPath/xlPathMissing" Target="LinkExternoRecuperado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analise_resposta"/>
      <sheetName val="amostra_tickets"/>
      <sheetName val="resposta_plan_exec"/>
      <sheetName val="respota_rag_adaptativo"/>
      <sheetName val="resposta_rag"/>
      <sheetName val="resposta_chat_stream"/>
      <sheetName val="reposta_chat"/>
    </sheetNames>
    <sheetDataSet>
      <sheetData sheetId="0" refreshError="1">
        <row r="2">
          <cell r="A2">
            <v>3</v>
          </cell>
        </row>
        <row r="161">
          <cell r="A161">
            <v>1359</v>
          </cell>
        </row>
        <row r="162">
          <cell r="A162">
            <v>1373</v>
          </cell>
        </row>
        <row r="163">
          <cell r="A163">
            <v>1390</v>
          </cell>
        </row>
        <row r="164">
          <cell r="A164">
            <v>1420</v>
          </cell>
        </row>
        <row r="165">
          <cell r="A165">
            <v>1426</v>
          </cell>
        </row>
        <row r="166">
          <cell r="A166">
            <v>1432</v>
          </cell>
        </row>
        <row r="167">
          <cell r="A167">
            <v>1443</v>
          </cell>
        </row>
        <row r="168">
          <cell r="A168">
            <v>1461</v>
          </cell>
        </row>
        <row r="169">
          <cell r="A169">
            <v>1462</v>
          </cell>
        </row>
        <row r="170">
          <cell r="A170">
            <v>1484</v>
          </cell>
        </row>
        <row r="171">
          <cell r="A171">
            <v>1486</v>
          </cell>
        </row>
        <row r="172">
          <cell r="A172">
            <v>1487</v>
          </cell>
        </row>
        <row r="173">
          <cell r="A173">
            <v>1497</v>
          </cell>
        </row>
        <row r="174">
          <cell r="A174">
            <v>1512</v>
          </cell>
        </row>
        <row r="175">
          <cell r="A175">
            <v>1518</v>
          </cell>
        </row>
        <row r="176">
          <cell r="A176">
            <v>1536</v>
          </cell>
        </row>
        <row r="177">
          <cell r="A177">
            <v>1553</v>
          </cell>
        </row>
        <row r="178">
          <cell r="A178">
            <v>1565</v>
          </cell>
        </row>
        <row r="179">
          <cell r="A179">
            <v>1573</v>
          </cell>
        </row>
        <row r="180">
          <cell r="A180">
            <v>1577</v>
          </cell>
        </row>
        <row r="181">
          <cell r="A181">
            <v>1595</v>
          </cell>
        </row>
        <row r="182">
          <cell r="A182">
            <v>1600</v>
          </cell>
        </row>
        <row r="183">
          <cell r="A183">
            <v>1606</v>
          </cell>
        </row>
        <row r="184">
          <cell r="A184">
            <v>1614</v>
          </cell>
        </row>
        <row r="185">
          <cell r="A185">
            <v>1627</v>
          </cell>
        </row>
        <row r="186">
          <cell r="A186">
            <v>1629</v>
          </cell>
        </row>
        <row r="187">
          <cell r="A187">
            <v>1641</v>
          </cell>
        </row>
        <row r="188">
          <cell r="A188">
            <v>1647</v>
          </cell>
        </row>
        <row r="189">
          <cell r="A189">
            <v>1651</v>
          </cell>
        </row>
        <row r="190">
          <cell r="A190">
            <v>1658</v>
          </cell>
        </row>
        <row r="191">
          <cell r="A191">
            <v>1660</v>
          </cell>
        </row>
        <row r="192">
          <cell r="A192">
            <v>1661</v>
          </cell>
        </row>
        <row r="193">
          <cell r="A193">
            <v>1667</v>
          </cell>
        </row>
        <row r="194">
          <cell r="A194">
            <v>1674</v>
          </cell>
        </row>
        <row r="195">
          <cell r="A195">
            <v>1685</v>
          </cell>
        </row>
        <row r="196">
          <cell r="A196">
            <v>1703</v>
          </cell>
        </row>
        <row r="197">
          <cell r="A197">
            <v>1713</v>
          </cell>
        </row>
        <row r="198">
          <cell r="A198">
            <v>1718</v>
          </cell>
        </row>
        <row r="199">
          <cell r="A199">
            <v>1723</v>
          </cell>
        </row>
        <row r="200">
          <cell r="A200">
            <v>1741</v>
          </cell>
        </row>
        <row r="201">
          <cell r="A201">
            <v>1746</v>
          </cell>
        </row>
        <row r="202">
          <cell r="A202">
            <v>1777</v>
          </cell>
        </row>
        <row r="203">
          <cell r="A203">
            <v>1778</v>
          </cell>
        </row>
        <row r="204">
          <cell r="A204">
            <v>1780</v>
          </cell>
        </row>
        <row r="205">
          <cell r="A205">
            <v>1786</v>
          </cell>
        </row>
        <row r="206">
          <cell r="A206">
            <v>1798</v>
          </cell>
        </row>
        <row r="207">
          <cell r="A207">
            <v>1817</v>
          </cell>
        </row>
        <row r="208">
          <cell r="A208">
            <v>1818</v>
          </cell>
        </row>
        <row r="209">
          <cell r="A209">
            <v>1829</v>
          </cell>
        </row>
        <row r="210">
          <cell r="A210">
            <v>1832</v>
          </cell>
        </row>
        <row r="211">
          <cell r="A211">
            <v>1833</v>
          </cell>
        </row>
        <row r="212">
          <cell r="A212">
            <v>1835</v>
          </cell>
        </row>
        <row r="213">
          <cell r="A213">
            <v>1846</v>
          </cell>
        </row>
        <row r="214">
          <cell r="A214">
            <v>1854</v>
          </cell>
        </row>
        <row r="215">
          <cell r="A215">
            <v>1858</v>
          </cell>
        </row>
        <row r="216">
          <cell r="A216">
            <v>1866</v>
          </cell>
        </row>
        <row r="217">
          <cell r="A217">
            <v>1878</v>
          </cell>
        </row>
        <row r="218">
          <cell r="A218">
            <v>1880</v>
          </cell>
        </row>
        <row r="219">
          <cell r="A219">
            <v>1891</v>
          </cell>
        </row>
        <row r="220">
          <cell r="A220">
            <v>1898</v>
          </cell>
        </row>
        <row r="221">
          <cell r="A221">
            <v>1919</v>
          </cell>
        </row>
        <row r="222">
          <cell r="A222">
            <v>1924</v>
          </cell>
        </row>
        <row r="223">
          <cell r="A223">
            <v>1926</v>
          </cell>
        </row>
        <row r="224">
          <cell r="A224">
            <v>1930</v>
          </cell>
        </row>
        <row r="225">
          <cell r="A225">
            <v>1937</v>
          </cell>
        </row>
        <row r="226">
          <cell r="A226">
            <v>1941</v>
          </cell>
        </row>
        <row r="227">
          <cell r="A227">
            <v>1948</v>
          </cell>
        </row>
        <row r="228">
          <cell r="A228">
            <v>1960</v>
          </cell>
        </row>
        <row r="229">
          <cell r="A229">
            <v>1961</v>
          </cell>
        </row>
        <row r="230">
          <cell r="A230">
            <v>1969</v>
          </cell>
        </row>
        <row r="231">
          <cell r="A231">
            <v>1985</v>
          </cell>
        </row>
        <row r="232">
          <cell r="A232">
            <v>2018</v>
          </cell>
        </row>
        <row r="233">
          <cell r="A233">
            <v>2023</v>
          </cell>
        </row>
        <row r="234">
          <cell r="A234">
            <v>2032</v>
          </cell>
        </row>
        <row r="235">
          <cell r="A235">
            <v>2054</v>
          </cell>
        </row>
        <row r="236">
          <cell r="A236">
            <v>2061</v>
          </cell>
        </row>
        <row r="237">
          <cell r="A237">
            <v>2080</v>
          </cell>
        </row>
        <row r="238">
          <cell r="A238">
            <v>2115</v>
          </cell>
        </row>
        <row r="239">
          <cell r="A239">
            <v>2125</v>
          </cell>
        </row>
        <row r="240">
          <cell r="A240">
            <v>2143</v>
          </cell>
        </row>
        <row r="241">
          <cell r="A241">
            <v>2149</v>
          </cell>
        </row>
        <row r="242">
          <cell r="A242">
            <v>2175</v>
          </cell>
        </row>
        <row r="243">
          <cell r="A243">
            <v>2184</v>
          </cell>
        </row>
        <row r="244">
          <cell r="A244">
            <v>2189</v>
          </cell>
        </row>
        <row r="245">
          <cell r="A245">
            <v>2195</v>
          </cell>
        </row>
        <row r="246">
          <cell r="A246">
            <v>2204</v>
          </cell>
        </row>
        <row r="247">
          <cell r="A247">
            <v>2207</v>
          </cell>
        </row>
        <row r="248">
          <cell r="A248">
            <v>2209</v>
          </cell>
        </row>
        <row r="249">
          <cell r="A249">
            <v>2213</v>
          </cell>
        </row>
        <row r="250">
          <cell r="A250">
            <v>2228</v>
          </cell>
        </row>
        <row r="251">
          <cell r="A251">
            <v>2235</v>
          </cell>
        </row>
        <row r="252">
          <cell r="A252">
            <v>2291</v>
          </cell>
        </row>
        <row r="253">
          <cell r="A253">
            <v>2293</v>
          </cell>
        </row>
        <row r="254">
          <cell r="A254">
            <v>2295</v>
          </cell>
        </row>
        <row r="255">
          <cell r="A255">
            <v>2296</v>
          </cell>
        </row>
        <row r="256">
          <cell r="A256">
            <v>2307</v>
          </cell>
        </row>
        <row r="257">
          <cell r="A257">
            <v>2308</v>
          </cell>
        </row>
        <row r="258">
          <cell r="A258">
            <v>2319</v>
          </cell>
        </row>
        <row r="259">
          <cell r="A259">
            <v>2338</v>
          </cell>
        </row>
        <row r="260">
          <cell r="A260">
            <v>2339</v>
          </cell>
        </row>
        <row r="261">
          <cell r="A261">
            <v>2346</v>
          </cell>
        </row>
        <row r="262">
          <cell r="A262">
            <v>2352</v>
          </cell>
        </row>
        <row r="263">
          <cell r="A263">
            <v>2360</v>
          </cell>
        </row>
        <row r="264">
          <cell r="A264">
            <v>2361</v>
          </cell>
        </row>
        <row r="265">
          <cell r="A265">
            <v>2362</v>
          </cell>
        </row>
        <row r="266">
          <cell r="A266">
            <v>2368</v>
          </cell>
        </row>
        <row r="267">
          <cell r="A267">
            <v>2390</v>
          </cell>
        </row>
        <row r="268">
          <cell r="A268">
            <v>2392</v>
          </cell>
        </row>
        <row r="269">
          <cell r="A269">
            <v>2407</v>
          </cell>
        </row>
        <row r="270">
          <cell r="A270">
            <v>2409</v>
          </cell>
        </row>
        <row r="271">
          <cell r="A271">
            <v>2412</v>
          </cell>
        </row>
        <row r="272">
          <cell r="A272">
            <v>2416</v>
          </cell>
        </row>
        <row r="273">
          <cell r="A273">
            <v>2420</v>
          </cell>
        </row>
        <row r="274">
          <cell r="A274">
            <v>2436</v>
          </cell>
        </row>
        <row r="275">
          <cell r="A275">
            <v>2437</v>
          </cell>
        </row>
        <row r="276">
          <cell r="A276">
            <v>2438</v>
          </cell>
        </row>
        <row r="277">
          <cell r="A277">
            <v>2439</v>
          </cell>
        </row>
        <row r="278">
          <cell r="A278">
            <v>2491</v>
          </cell>
        </row>
        <row r="279">
          <cell r="A279">
            <v>2508</v>
          </cell>
        </row>
        <row r="280">
          <cell r="A280">
            <v>2512</v>
          </cell>
        </row>
        <row r="281">
          <cell r="A281">
            <v>2519</v>
          </cell>
        </row>
        <row r="282">
          <cell r="A282">
            <v>2527</v>
          </cell>
        </row>
        <row r="283">
          <cell r="A283">
            <v>2545</v>
          </cell>
        </row>
        <row r="284">
          <cell r="A284">
            <v>2563</v>
          </cell>
        </row>
        <row r="285">
          <cell r="A285">
            <v>2569</v>
          </cell>
        </row>
        <row r="286">
          <cell r="A286">
            <v>2570</v>
          </cell>
        </row>
        <row r="287">
          <cell r="A287">
            <v>2573</v>
          </cell>
        </row>
        <row r="288">
          <cell r="A288">
            <v>2575</v>
          </cell>
        </row>
        <row r="289">
          <cell r="A289">
            <v>2578</v>
          </cell>
        </row>
        <row r="290">
          <cell r="A290">
            <v>2581</v>
          </cell>
        </row>
        <row r="291">
          <cell r="A291">
            <v>2584</v>
          </cell>
        </row>
        <row r="292">
          <cell r="A292">
            <v>2589</v>
          </cell>
        </row>
        <row r="293">
          <cell r="A293">
            <v>2595</v>
          </cell>
        </row>
        <row r="294">
          <cell r="A294">
            <v>2602</v>
          </cell>
        </row>
        <row r="295">
          <cell r="A295">
            <v>2608</v>
          </cell>
        </row>
        <row r="296">
          <cell r="A296">
            <v>2613</v>
          </cell>
        </row>
        <row r="297">
          <cell r="A297">
            <v>2622</v>
          </cell>
        </row>
        <row r="298">
          <cell r="A298">
            <v>2638</v>
          </cell>
        </row>
        <row r="299">
          <cell r="A299">
            <v>2653</v>
          </cell>
        </row>
        <row r="300">
          <cell r="A300">
            <v>2659</v>
          </cell>
        </row>
        <row r="301">
          <cell r="A301">
            <v>2665</v>
          </cell>
        </row>
        <row r="302">
          <cell r="A302">
            <v>2672</v>
          </cell>
        </row>
        <row r="303">
          <cell r="A303">
            <v>2688</v>
          </cell>
        </row>
        <row r="304">
          <cell r="A304">
            <v>2702</v>
          </cell>
        </row>
        <row r="305">
          <cell r="A305">
            <v>2713</v>
          </cell>
        </row>
        <row r="306">
          <cell r="A306">
            <v>2736</v>
          </cell>
        </row>
        <row r="307">
          <cell r="A307">
            <v>2748</v>
          </cell>
        </row>
        <row r="308">
          <cell r="A308">
            <v>2764</v>
          </cell>
        </row>
        <row r="309">
          <cell r="A309">
            <v>2778</v>
          </cell>
        </row>
        <row r="310">
          <cell r="A310">
            <v>2784</v>
          </cell>
        </row>
        <row r="311">
          <cell r="A311">
            <v>2786</v>
          </cell>
        </row>
        <row r="312">
          <cell r="A312">
            <v>2788</v>
          </cell>
        </row>
        <row r="313">
          <cell r="A313">
            <v>2794</v>
          </cell>
        </row>
        <row r="314">
          <cell r="A314">
            <v>2797</v>
          </cell>
        </row>
        <row r="315">
          <cell r="A315">
            <v>2808</v>
          </cell>
        </row>
        <row r="316">
          <cell r="A316">
            <v>2809</v>
          </cell>
        </row>
        <row r="317">
          <cell r="A317">
            <v>2811</v>
          </cell>
        </row>
        <row r="318">
          <cell r="A318">
            <v>2812</v>
          </cell>
        </row>
        <row r="319">
          <cell r="A319">
            <v>2825</v>
          </cell>
        </row>
        <row r="320">
          <cell r="A320">
            <v>2830</v>
          </cell>
        </row>
        <row r="321">
          <cell r="A321">
            <v>2832</v>
          </cell>
        </row>
        <row r="322">
          <cell r="A322">
            <v>2840</v>
          </cell>
        </row>
        <row r="323">
          <cell r="A323">
            <v>2847</v>
          </cell>
        </row>
        <row r="324">
          <cell r="A324">
            <v>2851</v>
          </cell>
        </row>
        <row r="325">
          <cell r="A325">
            <v>2862</v>
          </cell>
        </row>
        <row r="326">
          <cell r="A326">
            <v>2864</v>
          </cell>
        </row>
        <row r="327">
          <cell r="A327">
            <v>2866</v>
          </cell>
        </row>
        <row r="328">
          <cell r="A328">
            <v>2870</v>
          </cell>
        </row>
        <row r="329">
          <cell r="A329">
            <v>2881</v>
          </cell>
        </row>
        <row r="330">
          <cell r="A330">
            <v>2883</v>
          </cell>
        </row>
        <row r="331">
          <cell r="A331">
            <v>2890</v>
          </cell>
        </row>
        <row r="332">
          <cell r="A332">
            <v>2892</v>
          </cell>
        </row>
        <row r="333">
          <cell r="A333">
            <v>2913</v>
          </cell>
        </row>
        <row r="334">
          <cell r="A334">
            <v>2915</v>
          </cell>
        </row>
        <row r="335">
          <cell r="A335">
            <v>2926</v>
          </cell>
        </row>
        <row r="336">
          <cell r="A336">
            <v>2946</v>
          </cell>
        </row>
        <row r="337">
          <cell r="A337">
            <v>2960</v>
          </cell>
        </row>
        <row r="338">
          <cell r="A338">
            <v>2964</v>
          </cell>
        </row>
        <row r="339">
          <cell r="A339">
            <v>2967</v>
          </cell>
        </row>
        <row r="340">
          <cell r="A340">
            <v>2974</v>
          </cell>
        </row>
        <row r="341">
          <cell r="A341">
            <v>2995</v>
          </cell>
        </row>
        <row r="342">
          <cell r="A342">
            <v>3001</v>
          </cell>
        </row>
        <row r="343">
          <cell r="A343">
            <v>3002</v>
          </cell>
        </row>
        <row r="344">
          <cell r="A344">
            <v>3006</v>
          </cell>
        </row>
        <row r="345">
          <cell r="A345">
            <v>3017</v>
          </cell>
        </row>
        <row r="346">
          <cell r="A346">
            <v>3021</v>
          </cell>
        </row>
        <row r="347">
          <cell r="A347">
            <v>3023</v>
          </cell>
        </row>
        <row r="348">
          <cell r="A348">
            <v>3027</v>
          </cell>
        </row>
        <row r="349">
          <cell r="A349">
            <v>3040</v>
          </cell>
        </row>
        <row r="350">
          <cell r="A350">
            <v>3048</v>
          </cell>
        </row>
        <row r="351">
          <cell r="A351">
            <v>3056</v>
          </cell>
        </row>
        <row r="352">
          <cell r="A352">
            <v>3062</v>
          </cell>
        </row>
        <row r="353">
          <cell r="A353">
            <v>3068</v>
          </cell>
        </row>
        <row r="354">
          <cell r="A354">
            <v>3071</v>
          </cell>
        </row>
        <row r="355">
          <cell r="A355">
            <v>3073</v>
          </cell>
        </row>
        <row r="356">
          <cell r="A356">
            <v>3081</v>
          </cell>
        </row>
        <row r="357">
          <cell r="A357">
            <v>3105</v>
          </cell>
        </row>
        <row r="358">
          <cell r="A358">
            <v>3120</v>
          </cell>
        </row>
        <row r="359">
          <cell r="A359">
            <v>3123</v>
          </cell>
        </row>
        <row r="360">
          <cell r="A360">
            <v>3126</v>
          </cell>
        </row>
        <row r="361">
          <cell r="A361">
            <v>3127</v>
          </cell>
        </row>
        <row r="362">
          <cell r="A362">
            <v>3138</v>
          </cell>
        </row>
        <row r="363">
          <cell r="A363">
            <v>3145</v>
          </cell>
        </row>
        <row r="364">
          <cell r="A364">
            <v>3151</v>
          </cell>
        </row>
        <row r="365">
          <cell r="A365">
            <v>3157</v>
          </cell>
        </row>
        <row r="366">
          <cell r="A366">
            <v>3167</v>
          </cell>
        </row>
        <row r="367">
          <cell r="A367">
            <v>3171</v>
          </cell>
        </row>
        <row r="368">
          <cell r="A368">
            <v>3174</v>
          </cell>
        </row>
        <row r="369">
          <cell r="A369">
            <v>3175</v>
          </cell>
        </row>
        <row r="370">
          <cell r="A370">
            <v>3188</v>
          </cell>
        </row>
        <row r="371">
          <cell r="A371">
            <v>3198</v>
          </cell>
        </row>
        <row r="372">
          <cell r="A372">
            <v>3214</v>
          </cell>
        </row>
        <row r="373">
          <cell r="A373">
            <v>3216</v>
          </cell>
        </row>
        <row r="374">
          <cell r="A374">
            <v>3247</v>
          </cell>
        </row>
        <row r="375">
          <cell r="A375">
            <v>3248</v>
          </cell>
        </row>
        <row r="376">
          <cell r="A376">
            <v>3253</v>
          </cell>
        </row>
        <row r="377">
          <cell r="A377">
            <v>3255</v>
          </cell>
        </row>
        <row r="378">
          <cell r="A378">
            <v>3258</v>
          </cell>
        </row>
        <row r="379">
          <cell r="A379">
            <v>3263</v>
          </cell>
        </row>
        <row r="380">
          <cell r="A380">
            <v>3277</v>
          </cell>
        </row>
        <row r="381">
          <cell r="A381">
            <v>3296</v>
          </cell>
        </row>
        <row r="382">
          <cell r="A382">
            <v>3308</v>
          </cell>
        </row>
        <row r="383">
          <cell r="A383">
            <v>3313</v>
          </cell>
        </row>
        <row r="384">
          <cell r="A384">
            <v>3314</v>
          </cell>
        </row>
        <row r="385">
          <cell r="A385">
            <v>3318</v>
          </cell>
        </row>
        <row r="386">
          <cell r="A386">
            <v>3319</v>
          </cell>
        </row>
        <row r="387">
          <cell r="A387">
            <v>3324</v>
          </cell>
        </row>
        <row r="388">
          <cell r="A388">
            <v>3327</v>
          </cell>
        </row>
        <row r="389">
          <cell r="A389">
            <v>3329</v>
          </cell>
        </row>
        <row r="390">
          <cell r="A390">
            <v>3341</v>
          </cell>
        </row>
        <row r="391">
          <cell r="A391">
            <v>3346</v>
          </cell>
        </row>
        <row r="392">
          <cell r="A392">
            <v>3352</v>
          </cell>
        </row>
        <row r="393">
          <cell r="A393">
            <v>3355</v>
          </cell>
        </row>
        <row r="394">
          <cell r="A394">
            <v>3356</v>
          </cell>
        </row>
        <row r="395">
          <cell r="A395">
            <v>3361</v>
          </cell>
        </row>
        <row r="396">
          <cell r="A396">
            <v>3389</v>
          </cell>
        </row>
        <row r="397">
          <cell r="A397">
            <v>3398</v>
          </cell>
        </row>
        <row r="398">
          <cell r="A398">
            <v>3404</v>
          </cell>
        </row>
        <row r="399">
          <cell r="A399">
            <v>3405</v>
          </cell>
        </row>
        <row r="400">
          <cell r="A400">
            <v>3407</v>
          </cell>
        </row>
        <row r="401">
          <cell r="A401">
            <v>3412</v>
          </cell>
        </row>
        <row r="402">
          <cell r="A402">
            <v>3426</v>
          </cell>
        </row>
        <row r="403">
          <cell r="A403">
            <v>3430</v>
          </cell>
        </row>
        <row r="404">
          <cell r="A404">
            <v>3442</v>
          </cell>
        </row>
        <row r="405">
          <cell r="A405">
            <v>3443</v>
          </cell>
        </row>
        <row r="406">
          <cell r="A406">
            <v>3450</v>
          </cell>
        </row>
        <row r="407">
          <cell r="A407">
            <v>3453</v>
          </cell>
        </row>
        <row r="408">
          <cell r="A408">
            <v>3461</v>
          </cell>
        </row>
        <row r="409">
          <cell r="A409">
            <v>3471</v>
          </cell>
        </row>
        <row r="410">
          <cell r="A410">
            <v>3475</v>
          </cell>
        </row>
        <row r="411">
          <cell r="A411">
            <v>3479</v>
          </cell>
        </row>
        <row r="412">
          <cell r="A412">
            <v>3490</v>
          </cell>
        </row>
        <row r="413">
          <cell r="A413">
            <v>3492</v>
          </cell>
        </row>
        <row r="414">
          <cell r="A414">
            <v>3499</v>
          </cell>
        </row>
        <row r="415">
          <cell r="A415">
            <v>3505</v>
          </cell>
        </row>
        <row r="416">
          <cell r="A416">
            <v>3514</v>
          </cell>
        </row>
        <row r="417">
          <cell r="A417">
            <v>3517</v>
          </cell>
        </row>
        <row r="418">
          <cell r="A418">
            <v>3522</v>
          </cell>
        </row>
        <row r="419">
          <cell r="A419">
            <v>3528</v>
          </cell>
        </row>
        <row r="420">
          <cell r="A420">
            <v>3530</v>
          </cell>
        </row>
      </sheetData>
      <sheetData sheetId="1" refreshError="1">
        <row r="1">
          <cell r="A1" t="str">
            <v>Id</v>
          </cell>
          <cell r="B1" t="str">
            <v>assunto</v>
          </cell>
        </row>
      </sheetData>
      <sheetData sheetId="2" refreshError="1">
        <row r="2">
          <cell r="A2" t="str">
            <v>Gerenciamento de Problemas</v>
          </cell>
          <cell r="B2" t="str">
            <v>Gerenciamento de Incidentes, Gerenciamento de Monitoramento e Eventos</v>
          </cell>
          <cell r="C2" t="str">
            <v>3</v>
          </cell>
        </row>
        <row r="3">
          <cell r="A3" t="str">
            <v>Gerenciamento de Problemas</v>
          </cell>
          <cell r="B3" t="str">
            <v>Habilitação de Mudanças, Gerenciamento de Fornecedores</v>
          </cell>
          <cell r="C3" t="str">
            <v>25</v>
          </cell>
        </row>
        <row r="4">
          <cell r="A4" t="str">
            <v>Gerenciamento de Requisições de Serviço</v>
          </cell>
          <cell r="B4" t="str">
            <v>Gerenciamento de Catálogo de Serviço</v>
          </cell>
          <cell r="C4" t="str">
            <v>42</v>
          </cell>
        </row>
        <row r="5">
          <cell r="A5" t="str">
            <v>Gerenciamento de Problemas</v>
          </cell>
          <cell r="B5" t="str">
            <v>Gerenciamento de Fornecedores, Gerenciamento de Incidentes</v>
          </cell>
          <cell r="C5" t="str">
            <v>57</v>
          </cell>
        </row>
        <row r="6">
          <cell r="A6" t="str">
            <v>Gerenciamento de Requisições de Serviço</v>
          </cell>
          <cell r="B6" t="str">
            <v>Gerenciamento do Conhecimento</v>
          </cell>
          <cell r="C6" t="str">
            <v>62</v>
          </cell>
        </row>
        <row r="7">
          <cell r="A7" t="str">
            <v>Gerenciamento de Incidentes</v>
          </cell>
          <cell r="B7" t="str">
            <v>Gerenciamento Financeiro de Serviço, Gerenciamento de Problemas</v>
          </cell>
          <cell r="C7" t="str">
            <v>77</v>
          </cell>
        </row>
        <row r="8">
          <cell r="A8" t="str">
            <v>Gerenciamento de Incidentes</v>
          </cell>
          <cell r="B8" t="str">
            <v>Gerenciamento de Monitoramento e Eventos, Gerenciamento de Continuidade de Serviço</v>
          </cell>
          <cell r="C8" t="str">
            <v>87</v>
          </cell>
        </row>
        <row r="9">
          <cell r="A9" t="str">
            <v>Gerenciamento de Requisições de Serviço</v>
          </cell>
          <cell r="B9" t="str">
            <v>Gerenciamento Financeiro de Serviço, Melhoria Contínua</v>
          </cell>
          <cell r="C9" t="str">
            <v>98</v>
          </cell>
        </row>
        <row r="10">
          <cell r="A10" t="str">
            <v>Gerenciamento de Incidentes</v>
          </cell>
          <cell r="B10" t="str">
            <v>Gerenciamento de Problemas, Gerenciamento de Monitoramento e Eventos, Gerenciamento de Fornecedores</v>
          </cell>
          <cell r="C10" t="str">
            <v>104</v>
          </cell>
        </row>
        <row r="11">
          <cell r="A11" t="str">
            <v>Gerenciamento de Problemas</v>
          </cell>
          <cell r="B11" t="str">
            <v>Gerenciamento de Monitoramento e Eventos, Gerenciamento de Incidentes</v>
          </cell>
          <cell r="C11" t="str">
            <v>110</v>
          </cell>
        </row>
        <row r="12">
          <cell r="A12" t="str">
            <v>Gerenciamento de Incidentes</v>
          </cell>
          <cell r="B12" t="str">
            <v>Gerenciamento Financeiro de Serviço, Gerenciamento de Problemas</v>
          </cell>
          <cell r="C12" t="str">
            <v>111</v>
          </cell>
        </row>
        <row r="13">
          <cell r="A13" t="str">
            <v>Gerenciamento de Problemas</v>
          </cell>
          <cell r="B13" t="str">
            <v>Gerenciamento de Incidentes, Gerenciamento de Monitoramento e Eventos</v>
          </cell>
          <cell r="C13" t="str">
            <v>123</v>
          </cell>
        </row>
        <row r="14">
          <cell r="A14" t="str">
            <v>Habilitação de Mudanças</v>
          </cell>
          <cell r="B14" t="str">
            <v>Melhoria Contínua, Gerenciamento Financeiro de Serviço</v>
          </cell>
          <cell r="C14" t="str">
            <v>125</v>
          </cell>
        </row>
        <row r="15">
          <cell r="A15" t="str">
            <v>Gerenciamento de Incidentes</v>
          </cell>
          <cell r="B15" t="str">
            <v>Gerenciamento de Problemas, Gerenciamento do Conhecimento</v>
          </cell>
          <cell r="C15" t="str">
            <v>151</v>
          </cell>
        </row>
        <row r="16">
          <cell r="A16" t="str">
            <v>Gerenciamento de Requisições de Serviço</v>
          </cell>
          <cell r="B16" t="str">
            <v>Melhoria Contínua, Gerenciamento de Catálogo de Serviço</v>
          </cell>
          <cell r="C16" t="str">
            <v>162</v>
          </cell>
        </row>
        <row r="17">
          <cell r="A17" t="str">
            <v>Gerenciamento de Problemas</v>
          </cell>
          <cell r="B17" t="str">
            <v>Gerenciamento de Fornecedores, Gerenciamento de Liberação</v>
          </cell>
          <cell r="C17" t="str">
            <v>182</v>
          </cell>
        </row>
        <row r="18">
          <cell r="A18" t="str">
            <v>Gerenciamento de Incidentes</v>
          </cell>
          <cell r="B18" t="str">
            <v>Gerenciamento Financeiro de Serviço, Gerenciamento de Problemas</v>
          </cell>
          <cell r="C18" t="str">
            <v>183</v>
          </cell>
        </row>
        <row r="19">
          <cell r="A19" t="str">
            <v>Gerenciamento de Problemas</v>
          </cell>
          <cell r="B19" t="str">
            <v>Gerenciamento do Conhecimento, Gerenciamento de Requisições de Serviço</v>
          </cell>
          <cell r="C19" t="str">
            <v>189</v>
          </cell>
        </row>
        <row r="20">
          <cell r="A20" t="str">
            <v>Gerenciamento de Incidentes</v>
          </cell>
          <cell r="B20" t="str">
            <v>Gerenciamento de Problemas, Gerenciamento de Fornecedores</v>
          </cell>
          <cell r="C20" t="str">
            <v>194</v>
          </cell>
        </row>
        <row r="21">
          <cell r="A21" t="str">
            <v>Gerenciamento de Problemas</v>
          </cell>
          <cell r="B21" t="str">
            <v>Gerenciamento do Conhecimento, Gerenciamento de Requisições de Serviço</v>
          </cell>
          <cell r="C21" t="str">
            <v>201</v>
          </cell>
        </row>
        <row r="22">
          <cell r="A22" t="str">
            <v>Gerenciamento de Problemas</v>
          </cell>
          <cell r="B22" t="str">
            <v>Gerenciamento Financeiro de Serviço, Gerenciamento de Incidentes</v>
          </cell>
          <cell r="C22" t="str">
            <v>203</v>
          </cell>
        </row>
        <row r="23">
          <cell r="A23" t="str">
            <v>Gerenciamento de Requisições de Serviço</v>
          </cell>
          <cell r="B23" t="str">
            <v>Gerenciamento do Conhecimento</v>
          </cell>
          <cell r="C23" t="str">
            <v>205</v>
          </cell>
        </row>
        <row r="24">
          <cell r="A24" t="str">
            <v>Gerenciamento de Requisições de Serviço</v>
          </cell>
          <cell r="B24" t="str">
            <v>Gerenciamento de Catálogo de Serviço, Melhoria Contínua</v>
          </cell>
          <cell r="C24" t="str">
            <v>219</v>
          </cell>
        </row>
        <row r="25">
          <cell r="A25" t="str">
            <v>Habilitação de Mudanças</v>
          </cell>
          <cell r="B25" t="str">
            <v>Melhoria Contínua, Gerenciamento de Requisições de Serviço</v>
          </cell>
          <cell r="C25" t="str">
            <v>223</v>
          </cell>
        </row>
        <row r="26">
          <cell r="A26" t="str">
            <v>Habilitação de Mudanças</v>
          </cell>
          <cell r="B26" t="str">
            <v>Gerenciamento de Requisições de Serviço</v>
          </cell>
          <cell r="C26" t="str">
            <v>225</v>
          </cell>
        </row>
        <row r="27">
          <cell r="A27" t="str">
            <v>Gerenciamento de Requisições de Serviço</v>
          </cell>
          <cell r="B27" t="str">
            <v>Gerenciamento do Conhecimento</v>
          </cell>
          <cell r="C27" t="str">
            <v>228</v>
          </cell>
        </row>
        <row r="28">
          <cell r="A28" t="str">
            <v>Gerenciamento de Problemas</v>
          </cell>
          <cell r="B28" t="str">
            <v>Gerenciamento de Acesso, Gerenciamento de Incidentes</v>
          </cell>
          <cell r="C28" t="str">
            <v>229</v>
          </cell>
        </row>
        <row r="29">
          <cell r="A29" t="str">
            <v>Gerenciamento de Requisições de Serviço</v>
          </cell>
          <cell r="B29" t="str">
            <v>Gerenciamento de Catálogo de Serviço</v>
          </cell>
          <cell r="C29" t="str">
            <v>230</v>
          </cell>
        </row>
        <row r="30">
          <cell r="A30" t="str">
            <v>Gerenciamento de Problemas</v>
          </cell>
          <cell r="B30" t="str">
            <v>Gerenciamento de Incidentes, Gerenciamento do Conhecimento</v>
          </cell>
          <cell r="C30" t="str">
            <v>234</v>
          </cell>
        </row>
        <row r="31">
          <cell r="A31" t="str">
            <v>Gerenciamento de Problemas</v>
          </cell>
          <cell r="B31" t="str">
            <v>Gerenciamento do Conhecimento, Gerenciamento de Fornecedores</v>
          </cell>
          <cell r="C31" t="str">
            <v>240</v>
          </cell>
        </row>
        <row r="32">
          <cell r="C32" t="str">
            <v>252</v>
          </cell>
        </row>
        <row r="33">
          <cell r="C33" t="str">
            <v>257</v>
          </cell>
        </row>
        <row r="34">
          <cell r="C34" t="str">
            <v>264</v>
          </cell>
        </row>
        <row r="35">
          <cell r="C35" t="str">
            <v>279</v>
          </cell>
        </row>
        <row r="36">
          <cell r="C36" t="str">
            <v>294</v>
          </cell>
        </row>
        <row r="37">
          <cell r="C37" t="str">
            <v>299</v>
          </cell>
        </row>
        <row r="38">
          <cell r="C38" t="str">
            <v>301</v>
          </cell>
        </row>
        <row r="39">
          <cell r="C39" t="str">
            <v>305</v>
          </cell>
        </row>
        <row r="40">
          <cell r="C40" t="str">
            <v>331</v>
          </cell>
        </row>
        <row r="41">
          <cell r="C41" t="str">
            <v>350</v>
          </cell>
        </row>
        <row r="42">
          <cell r="C42" t="str">
            <v>356</v>
          </cell>
        </row>
        <row r="43">
          <cell r="C43" t="str">
            <v>364</v>
          </cell>
        </row>
        <row r="44">
          <cell r="C44" t="str">
            <v>366</v>
          </cell>
        </row>
        <row r="45">
          <cell r="C45" t="str">
            <v>372</v>
          </cell>
        </row>
        <row r="46">
          <cell r="C46" t="str">
            <v>376</v>
          </cell>
        </row>
        <row r="47">
          <cell r="C47" t="str">
            <v>398</v>
          </cell>
        </row>
        <row r="48">
          <cell r="C48" t="str">
            <v>403</v>
          </cell>
        </row>
        <row r="49">
          <cell r="C49" t="str">
            <v>405</v>
          </cell>
        </row>
        <row r="50">
          <cell r="C50" t="str">
            <v>424</v>
          </cell>
        </row>
        <row r="51">
          <cell r="C51" t="str">
            <v>451</v>
          </cell>
        </row>
        <row r="52">
          <cell r="C52" t="str">
            <v>452</v>
          </cell>
        </row>
        <row r="53">
          <cell r="C53" t="str">
            <v>459</v>
          </cell>
        </row>
        <row r="54">
          <cell r="C54" t="str">
            <v>461</v>
          </cell>
        </row>
        <row r="55">
          <cell r="C55" t="str">
            <v>466</v>
          </cell>
        </row>
        <row r="56">
          <cell r="C56" t="str">
            <v>468</v>
          </cell>
        </row>
        <row r="57">
          <cell r="C57" t="str">
            <v>470</v>
          </cell>
        </row>
        <row r="58">
          <cell r="C58" t="str">
            <v>479</v>
          </cell>
        </row>
        <row r="59">
          <cell r="C59" t="str">
            <v>485</v>
          </cell>
        </row>
        <row r="60">
          <cell r="C60" t="str">
            <v>492</v>
          </cell>
        </row>
        <row r="61">
          <cell r="C61" t="str">
            <v>496</v>
          </cell>
        </row>
        <row r="62">
          <cell r="A62" t="str">
            <v>Problem Management</v>
          </cell>
          <cell r="B62" t="str">
            <v>Service Configuration Management</v>
          </cell>
          <cell r="C62" t="str">
            <v>504 (Problema de Acesso ao Outlook)</v>
          </cell>
        </row>
        <row r="63">
          <cell r="A63" t="str">
            <v>Change Enablement</v>
          </cell>
          <cell r="B63" t="str">
            <v>Service Financial Management</v>
          </cell>
          <cell r="C63" t="str">
            <v>516 (Otimização das Configurações da AWS)</v>
          </cell>
        </row>
        <row r="64">
          <cell r="A64" t="str">
            <v>Performance Management</v>
          </cell>
          <cell r="B64" t="str">
            <v>Continual Improvement</v>
          </cell>
          <cell r="C64" t="str">
            <v>537 (Assistência de Desempenho do Servidor)</v>
          </cell>
        </row>
        <row r="65">
          <cell r="A65" t="str">
            <v>Problem Management</v>
          </cell>
          <cell r="B65" t="str">
            <v>Deployment Management</v>
          </cell>
          <cell r="C65" t="str">
            <v>546 (Problemas com Instâncias de Implantação da AWS)</v>
          </cell>
        </row>
        <row r="66">
          <cell r="A66" t="str">
            <v>Incident Management</v>
          </cell>
          <cell r="B66" t="str">
            <v>Capacity and Performance Management</v>
          </cell>
          <cell r="C66" t="str">
            <v>547 (Problema de Rede Empresarial - Roteador Cisco)</v>
          </cell>
        </row>
        <row r="67">
          <cell r="A67" t="str">
            <v>Incident Management</v>
          </cell>
          <cell r="B67" t="str">
            <v>IT Asset Management</v>
          </cell>
          <cell r="C67" t="str">
            <v>579 (Serviço de Garantia - Laptop Dell)</v>
          </cell>
        </row>
        <row r="68">
          <cell r="A68" t="str">
            <v>Incident Management</v>
          </cell>
          <cell r="B68" t="str">
            <v>Problem Management</v>
          </cell>
          <cell r="C68" t="str">
            <v>580 (Problema na Rede da Empresa - Roteador Cisco)</v>
          </cell>
        </row>
        <row r="69">
          <cell r="A69" t="str">
            <v>Problem Management</v>
          </cell>
          <cell r="B69" t="str">
            <v>Service Configuration Management</v>
          </cell>
          <cell r="C69" t="str">
            <v>585 (Qualidade de Vídeo Zoom)</v>
          </cell>
        </row>
        <row r="70">
          <cell r="A70" t="str">
            <v>Service Request Management</v>
          </cell>
          <cell r="B70" t="str">
            <v>Service Financial Management</v>
          </cell>
          <cell r="C70" t="str">
            <v>620 (Discrepâncias na Fatura)</v>
          </cell>
        </row>
        <row r="71">
          <cell r="A71" t="str">
            <v>Service Request Management</v>
          </cell>
          <cell r="B71" t="str">
            <v>Service Portfolio Management</v>
          </cell>
          <cell r="C71" t="str">
            <v>634 (Consulta de Serviço - Consultoria TI)</v>
          </cell>
        </row>
        <row r="72">
          <cell r="A72" t="str">
            <v>Service Request Management</v>
          </cell>
          <cell r="B72" t="str">
            <v>IT Asset Management</v>
          </cell>
          <cell r="C72" t="str">
            <v>650 (Devolução de Produto - Impressora Canon)</v>
          </cell>
        </row>
        <row r="73">
          <cell r="A73" t="str">
            <v>Incident Management</v>
          </cell>
          <cell r="B73" t="str">
            <v>Problem Management</v>
          </cell>
          <cell r="C73" t="str">
            <v>656 (Problemas de Inicialização Dell XPS 13)</v>
          </cell>
        </row>
        <row r="74">
          <cell r="A74" t="str">
            <v>Incident Management</v>
          </cell>
          <cell r="B74" t="str">
            <v>Problem Management</v>
          </cell>
          <cell r="C74" t="str">
            <v>658 (Assistência Imediata AWS)</v>
          </cell>
        </row>
        <row r="75">
          <cell r="A75" t="str">
            <v>Incident Management</v>
          </cell>
          <cell r="B75" t="str">
            <v>Deployment Management</v>
          </cell>
          <cell r="C75" t="str">
            <v>663 (Falhas Frequentes no Sistema Pós-Atualização)</v>
          </cell>
        </row>
        <row r="76">
          <cell r="A76" t="str">
            <v>Incident Management</v>
          </cell>
          <cell r="B76" t="str">
            <v>Deployment Management</v>
          </cell>
          <cell r="C76" t="str">
            <v>664 (Problema Urgente de Implantação da AWS)</v>
          </cell>
        </row>
        <row r="77">
          <cell r="A77" t="str">
            <v>Incident Management</v>
          </cell>
          <cell r="B77" t="str">
            <v>IT Asset Management</v>
          </cell>
          <cell r="C77" t="str">
            <v>670 (Troca de Laptop Dell)</v>
          </cell>
        </row>
        <row r="78">
          <cell r="A78" t="str">
            <v>Incident Management</v>
          </cell>
          <cell r="B78" t="str">
            <v>Problem Management</v>
          </cell>
          <cell r="C78" t="str">
            <v>674 (Problema Urgente de Conectividade AWS)</v>
          </cell>
        </row>
        <row r="79">
          <cell r="A79" t="str">
            <v>Change Enablement</v>
          </cell>
          <cell r="B79" t="str">
            <v>Service Financial Management</v>
          </cell>
          <cell r="C79" t="str">
            <v>683 (Alterações no Painel de Gerenciamento da AWS)</v>
          </cell>
        </row>
        <row r="80">
          <cell r="A80" t="str">
            <v>Incident Management</v>
          </cell>
          <cell r="B80" t="str">
            <v>Problem Management</v>
          </cell>
          <cell r="C80" t="str">
            <v>698 (Interrupção de Rede - Roteador Cisco)</v>
          </cell>
        </row>
        <row r="81">
          <cell r="A81" t="str">
            <v>Incident Management</v>
          </cell>
          <cell r="B81" t="str">
            <v>Problem Management</v>
          </cell>
          <cell r="C81" t="str">
            <v>706 (Problemas de Rede com Roteador Cisco)</v>
          </cell>
        </row>
        <row r="82">
          <cell r="A82" t="str">
            <v>Change Enablement</v>
          </cell>
          <cell r="B82" t="str">
            <v>Continual Improvement</v>
          </cell>
          <cell r="C82" t="str">
            <v>707 (Alterar Processo de Administração do Servidor)</v>
          </cell>
        </row>
        <row r="83">
          <cell r="A83" t="str">
            <v>Service Request Management</v>
          </cell>
          <cell r="B83" t="str">
            <v>Software Development and Management</v>
          </cell>
          <cell r="C83" t="str">
            <v>709 (Integrações Adicionais Jira)</v>
          </cell>
        </row>
        <row r="84">
          <cell r="A84" t="str">
            <v>Service Request Management</v>
          </cell>
          <cell r="B84" t="str">
            <v>IT Asset Management</v>
          </cell>
          <cell r="C84" t="str">
            <v>710 (Retorno - Recurso HDR Defeituoso Samsung)</v>
          </cell>
        </row>
        <row r="85">
          <cell r="A85" t="str">
            <v>Change Enablement</v>
          </cell>
          <cell r="B85" t="str">
            <v>Organizational Change Management</v>
          </cell>
          <cell r="C85" t="str">
            <v>720 (Plano de Transição de Sistemas de TI)</v>
          </cell>
        </row>
        <row r="86">
          <cell r="A86" t="str">
            <v>Change Enablement</v>
          </cell>
          <cell r="B86" t="str">
            <v>Information Security Management</v>
          </cell>
          <cell r="C86" t="str">
            <v>752 (Alteração de Permissões de Acesso Jira)</v>
          </cell>
        </row>
        <row r="87">
          <cell r="A87" t="str">
            <v>Incident Management</v>
          </cell>
          <cell r="B87" t="str">
            <v>IT Asset Management</v>
          </cell>
          <cell r="C87" t="str">
            <v>756 (Devolução - Vazamento Tanque de Tinta Epson)</v>
          </cell>
        </row>
        <row r="88">
          <cell r="A88" t="str">
            <v>Incident Management</v>
          </cell>
          <cell r="B88" t="str">
            <v>Problem Management</v>
          </cell>
          <cell r="C88" t="str">
            <v>757 (Problema com Dell XPS 13 - Congela)</v>
          </cell>
        </row>
        <row r="89">
          <cell r="A89" t="str">
            <v>Service Request Management</v>
          </cell>
          <cell r="B89" t="str">
            <v>IT Asset Management</v>
          </cell>
          <cell r="C89" t="str">
            <v>764 (Devolução - MacBook Air M1)</v>
          </cell>
        </row>
        <row r="90">
          <cell r="A90" t="str">
            <v>Incident Management</v>
          </cell>
          <cell r="B90" t="str">
            <v>Problem Management</v>
          </cell>
          <cell r="C90" t="str">
            <v>768 (Bug Grave no Sistema de Tickets Jira)</v>
          </cell>
        </row>
        <row r="91">
          <cell r="A91" t="str">
            <v>Incident Management</v>
          </cell>
          <cell r="B91" t="str">
            <v>Service Configuration Management</v>
          </cell>
          <cell r="C91" t="str">
            <v>783 (Problemas de Conectividade HP DeskJet)</v>
          </cell>
        </row>
        <row r="92">
          <cell r="A92" t="str">
            <v>Gerenciamento de Requisições de Serviço</v>
          </cell>
          <cell r="B92" t="str">
            <v>Gerenciamento de Relacionamento, Gerenciamento Financeiro de Serviços</v>
          </cell>
          <cell r="C92" t="str">
            <v>1008</v>
          </cell>
        </row>
        <row r="93">
          <cell r="A93" t="str">
            <v>Gerenciamento de Problemas</v>
          </cell>
          <cell r="B93" t="str">
            <v>Gerenciamento de Incidentes, Gerenciamento de Liberação, Habilitação de Mudanças</v>
          </cell>
          <cell r="C93" t="str">
            <v>1010</v>
          </cell>
        </row>
        <row r="94">
          <cell r="A94" t="str">
            <v>Gerenciamento de Problemas</v>
          </cell>
          <cell r="B94" t="str">
            <v>Gerenciamento de Incidentes, Gerenciamento do Conhecimento</v>
          </cell>
          <cell r="C94" t="str">
            <v>1014</v>
          </cell>
        </row>
        <row r="95">
          <cell r="A95" t="str">
            <v>Gerenciamento de Problemas</v>
          </cell>
          <cell r="B95" t="str">
            <v>Gerenciamento de Incidentes, Gerenciamento de Monitoramento e Eventos</v>
          </cell>
          <cell r="C95" t="str">
            <v>1029</v>
          </cell>
        </row>
        <row r="96">
          <cell r="A96" t="str">
            <v>Gerenciamento de Requisições de Serviço</v>
          </cell>
          <cell r="B96" t="str">
            <v>Gerenciamento do Conhecimento</v>
          </cell>
          <cell r="C96" t="str">
            <v>1031</v>
          </cell>
        </row>
        <row r="97">
          <cell r="A97" t="str">
            <v>Gerenciamento de Incidentes</v>
          </cell>
          <cell r="B97" t="str">
            <v>Gerenciamento de Monitoramento e Eventos, Gerenciamento de Problemas</v>
          </cell>
          <cell r="C97" t="str">
            <v>1034</v>
          </cell>
        </row>
        <row r="98">
          <cell r="A98" t="str">
            <v>Gerenciamento de Incidentes</v>
          </cell>
          <cell r="B98" t="str">
            <v>Gerenciamento do Conhecimento, Gerenciamento de Problemas</v>
          </cell>
          <cell r="C98" t="str">
            <v>1062</v>
          </cell>
        </row>
        <row r="99">
          <cell r="A99" t="str">
            <v>Gerenciamento de Requisições de Serviço</v>
          </cell>
          <cell r="B99" t="str">
            <v>Gerenciamento de Relacionamento, Gerenciamento Financeiro de Serviços</v>
          </cell>
          <cell r="C99" t="str">
            <v>1067</v>
          </cell>
        </row>
        <row r="100">
          <cell r="A100" t="str">
            <v>Gerenciamento de Problemas</v>
          </cell>
          <cell r="B100" t="str">
            <v>Gerenciamento de Incidentes, Gerenciamento de Fornecedores</v>
          </cell>
          <cell r="C100" t="str">
            <v>1068</v>
          </cell>
        </row>
        <row r="101">
          <cell r="A101" t="str">
            <v>Gerenciamento de Problemas</v>
          </cell>
          <cell r="B101" t="str">
            <v>Gerenciamento de Incidentes, Gerenciamento de Monitoramento e Eventos</v>
          </cell>
          <cell r="C101" t="str">
            <v>1080</v>
          </cell>
        </row>
        <row r="102">
          <cell r="A102" t="str">
            <v>Gerenciamento de Incidentes</v>
          </cell>
          <cell r="B102" t="str">
            <v>Gerenciamento do Conhecimento</v>
          </cell>
          <cell r="C102" t="str">
            <v>1107</v>
          </cell>
        </row>
        <row r="103">
          <cell r="A103" t="str">
            <v>Gerenciamento de Requisições de Serviço</v>
          </cell>
          <cell r="B103" t="str">
            <v>Gerenciamento da Informação</v>
          </cell>
          <cell r="C103" t="str">
            <v>1128</v>
          </cell>
        </row>
        <row r="104">
          <cell r="A104" t="str">
            <v>Gerenciamento de Incidentes</v>
          </cell>
          <cell r="B104" t="str">
            <v>Gerenciamento de Continuidade de Serviço, Gerenciamento de Problemas, Gerenciamento de Segurança da Informação</v>
          </cell>
          <cell r="C104" t="str">
            <v>1129</v>
          </cell>
        </row>
        <row r="105">
          <cell r="A105" t="str">
            <v>Gerenciamento de Problemas</v>
          </cell>
          <cell r="B105" t="str">
            <v>Gerenciamento de Incidentes, Gerenciamento de Monitoramento e Eventos</v>
          </cell>
          <cell r="C105" t="str">
            <v>1141</v>
          </cell>
        </row>
        <row r="106">
          <cell r="A106" t="str">
            <v>Gerenciamento de Incidentes</v>
          </cell>
          <cell r="B106" t="str">
            <v>Gerenciamento do Conhecimento, Gerenciamento de Problemas</v>
          </cell>
          <cell r="C106" t="str">
            <v>1148</v>
          </cell>
        </row>
        <row r="107">
          <cell r="A107" t="str">
            <v>Gerenciamento de Incidentes</v>
          </cell>
          <cell r="B107" t="str">
            <v>Gerenciamento de Problemas, Gerenciamento de Desenvolvimento de Software</v>
          </cell>
          <cell r="C107" t="str">
            <v>1150</v>
          </cell>
        </row>
        <row r="108">
          <cell r="A108" t="str">
            <v>Gerenciamento de Requisições de Serviço</v>
          </cell>
          <cell r="B108" t="str">
            <v>Gerenciamento do Conhecimento, Gerenciamento de Relacionamento</v>
          </cell>
          <cell r="C108" t="str">
            <v>1155</v>
          </cell>
        </row>
        <row r="109">
          <cell r="A109" t="str">
            <v>Gerenciamento de Problemas</v>
          </cell>
          <cell r="B109" t="str">
            <v>Gerenciamento de Incidentes, Gerenciamento de Fornecedores</v>
          </cell>
          <cell r="C109" t="str">
            <v>1161</v>
          </cell>
        </row>
        <row r="110">
          <cell r="A110" t="str">
            <v>Gerenciamento de Incidentes</v>
          </cell>
          <cell r="B110" t="str">
            <v>Gerenciamento Financeiro de Serviços, Gerenciamento de Relacionamento</v>
          </cell>
          <cell r="C110" t="str">
            <v>1182</v>
          </cell>
        </row>
        <row r="111">
          <cell r="A111" t="str">
            <v>Gerenciamento de Incidentes</v>
          </cell>
          <cell r="B111" t="str">
            <v>Gerenciamento de Monitoramento e Eventos, Gerenciamento de Problemas</v>
          </cell>
          <cell r="C111" t="str">
            <v>1203</v>
          </cell>
        </row>
        <row r="112">
          <cell r="A112" t="str">
            <v>Gerenciamento de Incidentes</v>
          </cell>
          <cell r="B112" t="str">
            <v>Gerenciamento Financeiro de Serviços, Gerenciamento de Relacionamento</v>
          </cell>
          <cell r="C112" t="str">
            <v>1205</v>
          </cell>
        </row>
        <row r="113">
          <cell r="A113" t="str">
            <v>Gerenciamento de Requisições de Serviço</v>
          </cell>
          <cell r="B113" t="str">
            <v>Gerenciamento de Relacionamento, Melhoria Contínua</v>
          </cell>
          <cell r="C113" t="str">
            <v>1208</v>
          </cell>
        </row>
        <row r="114">
          <cell r="A114" t="str">
            <v>Habilitação de Mudanças</v>
          </cell>
          <cell r="B114" t="str">
            <v>Gerenciamento de Requisições de Serviço, Gerenciamento Financeiro de Serviços, Melhoria Contínua</v>
          </cell>
          <cell r="C114" t="str">
            <v>1216</v>
          </cell>
        </row>
        <row r="115">
          <cell r="A115" t="str">
            <v>Gerenciamento de Requisições de Serviço</v>
          </cell>
          <cell r="B115" t="str">
            <v>Gerenciamento Financeiro de Serviços, Gerenciamento de Relacionamento</v>
          </cell>
          <cell r="C115" t="str">
            <v>1221</v>
          </cell>
        </row>
        <row r="116">
          <cell r="A116" t="str">
            <v>Gerenciamento de Requisições de Serviço</v>
          </cell>
          <cell r="B116" t="str">
            <v>Gerenciamento do Nível de Serviço, Gerenciamento de Relacionamento, Melhoria Contínua, Gerenciamento de Problemas</v>
          </cell>
          <cell r="C116" t="str">
            <v>1222</v>
          </cell>
        </row>
        <row r="117">
          <cell r="A117" t="str">
            <v>Gerenciamento de Requisições de Serviço</v>
          </cell>
          <cell r="B117" t="str">
            <v>Gerenciamento do Conhecimento</v>
          </cell>
          <cell r="C117" t="str">
            <v>1226</v>
          </cell>
        </row>
        <row r="118">
          <cell r="A118" t="str">
            <v>Gerenciamento de Requisições de Serviço</v>
          </cell>
          <cell r="B118" t="str">
            <v>Gerenciamento do Conhecimento</v>
          </cell>
          <cell r="C118" t="str">
            <v>1234</v>
          </cell>
        </row>
        <row r="119">
          <cell r="A119" t="str">
            <v>Gerenciamento de Problemas</v>
          </cell>
          <cell r="B119" t="str">
            <v>Gerenciamento de Incidentes, Gerenciamento de Requisições de Serviço, Gerenciamento de Fornecedores</v>
          </cell>
          <cell r="C119" t="str">
            <v>1238</v>
          </cell>
        </row>
        <row r="120">
          <cell r="A120" t="str">
            <v>Gerenciamento de Problemas</v>
          </cell>
          <cell r="B120" t="str">
            <v>Gerenciamento de Incidentes, Gerenciamento de Monitoramento e Eventos, Habilitação de Mudanças</v>
          </cell>
          <cell r="C120" t="str">
            <v>1242</v>
          </cell>
        </row>
        <row r="121">
          <cell r="A121" t="str">
            <v>Gerenciamento de Requisições de Serviço</v>
          </cell>
          <cell r="B121" t="str">
            <v>Gerenciamento Financeiro de Serviços, Gerenciamento de Relacionamento</v>
          </cell>
          <cell r="C121" t="str">
            <v>1262</v>
          </cell>
        </row>
      </sheetData>
      <sheetData sheetId="3" refreshError="1">
        <row r="2">
          <cell r="A2" t="str">
            <v>Gerenciamento de Requisições de Serviço</v>
          </cell>
          <cell r="B2" t="str">
            <v>Não se aplica</v>
          </cell>
          <cell r="C2" t="str">
            <v>#25</v>
          </cell>
        </row>
        <row r="3">
          <cell r="A3" t="str">
            <v>Gerenciamento de Incidentes</v>
          </cell>
          <cell r="B3" t="str">
            <v>Gerenciamento de Ativos de TI</v>
          </cell>
          <cell r="C3" t="str">
            <v>#257</v>
          </cell>
        </row>
        <row r="4">
          <cell r="A4" t="str">
            <v>Gerenciamento de Incidentes</v>
          </cell>
          <cell r="B4" t="str">
            <v>Gerenciamento de Problemas</v>
          </cell>
          <cell r="C4" t="str">
            <v>#264</v>
          </cell>
        </row>
        <row r="5">
          <cell r="A5" t="str">
            <v>Gerenciamento de Problemas</v>
          </cell>
          <cell r="B5" t="str">
            <v>Gerenciamento de Incidentes</v>
          </cell>
          <cell r="C5" t="str">
            <v>#279</v>
          </cell>
        </row>
        <row r="6">
          <cell r="A6" t="str">
            <v>Gerenciamento de Problemas</v>
          </cell>
          <cell r="B6" t="str">
            <v>Gerenciamento de Mudanças</v>
          </cell>
          <cell r="C6" t="str">
            <v>#294</v>
          </cell>
        </row>
        <row r="7">
          <cell r="A7" t="str">
            <v>Gerenciamento de Incidentes</v>
          </cell>
          <cell r="B7" t="str">
            <v>Gerenciamento de Ativos de TI</v>
          </cell>
          <cell r="C7" t="str">
            <v>#299</v>
          </cell>
        </row>
        <row r="8">
          <cell r="A8" t="str">
            <v>Gerenciamento de Incidentes</v>
          </cell>
          <cell r="B8" t="str">
            <v>Gerenciamento de Problemas</v>
          </cell>
          <cell r="C8" t="str">
            <v>#301</v>
          </cell>
        </row>
        <row r="9">
          <cell r="A9" t="str">
            <v>Gerenciamento de Requisições de Serviço</v>
          </cell>
          <cell r="B9" t="str">
            <v>Não se aplica</v>
          </cell>
          <cell r="C9" t="str">
            <v>#305</v>
          </cell>
        </row>
        <row r="10">
          <cell r="A10" t="str">
            <v>Gerenciamento de Requisições de Serviço</v>
          </cell>
          <cell r="B10" t="str">
            <v>Gerenciamento Financeiro de TI</v>
          </cell>
          <cell r="C10" t="str">
            <v>#331</v>
          </cell>
        </row>
        <row r="11">
          <cell r="A11" t="str">
            <v>Gerenciamento de Incidentes</v>
          </cell>
          <cell r="B11" t="str">
            <v>Gerenciamento de Problemas</v>
          </cell>
          <cell r="C11" t="str">
            <v>#350</v>
          </cell>
        </row>
        <row r="12">
          <cell r="A12" t="str">
            <v>Gerenciamento de Requisições de Serviço</v>
          </cell>
          <cell r="B12" t="str">
            <v>Não se aplica</v>
          </cell>
          <cell r="C12" t="str">
            <v>#356</v>
          </cell>
        </row>
        <row r="13">
          <cell r="A13" t="str">
            <v>Gerenciamento de Problemas</v>
          </cell>
          <cell r="B13" t="str">
            <v>Gerenciamento de Incidentes</v>
          </cell>
          <cell r="C13" t="str">
            <v>#364</v>
          </cell>
        </row>
        <row r="14">
          <cell r="A14" t="str">
            <v>Gerenciamento de Problemas</v>
          </cell>
          <cell r="B14" t="str">
            <v>Gerenciamento de Mudanças</v>
          </cell>
          <cell r="C14" t="str">
            <v>#366</v>
          </cell>
        </row>
        <row r="15">
          <cell r="A15" t="str">
            <v>Gerenciamento de Incidentes</v>
          </cell>
          <cell r="B15" t="str">
            <v>Não se aplica</v>
          </cell>
          <cell r="C15" t="str">
            <v>#372</v>
          </cell>
        </row>
        <row r="16">
          <cell r="A16" t="str">
            <v>Gerenciamento de Requisições de Serviço</v>
          </cell>
          <cell r="B16" t="str">
            <v>Gerenciamento Financeiro de TI</v>
          </cell>
          <cell r="C16" t="str">
            <v>#376</v>
          </cell>
        </row>
        <row r="17">
          <cell r="A17" t="str">
            <v>Gerenciamento de Incidentes</v>
          </cell>
          <cell r="B17" t="str">
            <v>Gerenciamento de Ativos de TI</v>
          </cell>
          <cell r="C17" t="str">
            <v>#398</v>
          </cell>
        </row>
        <row r="18">
          <cell r="A18" t="str">
            <v>Gerenciamento de Incidentes</v>
          </cell>
          <cell r="B18" t="str">
            <v>Gerenciamento de Problemas</v>
          </cell>
          <cell r="C18" t="str">
            <v>#403</v>
          </cell>
        </row>
        <row r="19">
          <cell r="A19" t="str">
            <v>Gerenciamento de Requisições de Serviço</v>
          </cell>
          <cell r="B19" t="str">
            <v>Não se aplica</v>
          </cell>
          <cell r="C19" t="str">
            <v>#405</v>
          </cell>
        </row>
        <row r="20">
          <cell r="A20" t="str">
            <v>Gerenciamento de Requisições de Serviço</v>
          </cell>
          <cell r="B20" t="str">
            <v>Gerenciamento Financeiro de TI</v>
          </cell>
          <cell r="C20" t="str">
            <v>#424</v>
          </cell>
        </row>
        <row r="21">
          <cell r="A21" t="str">
            <v>Gerenciamento de Incidentes</v>
          </cell>
          <cell r="B21" t="str">
            <v>Gerenciamento de Ativos de TI</v>
          </cell>
          <cell r="C21" t="str">
            <v>#451</v>
          </cell>
        </row>
        <row r="22">
          <cell r="A22" t="str">
            <v>Gerenciamento de Requisições de Serviço</v>
          </cell>
          <cell r="B22" t="str">
            <v>Gerenciamento Financeiro de TI</v>
          </cell>
          <cell r="C22" t="str">
            <v>#452</v>
          </cell>
        </row>
        <row r="23">
          <cell r="A23" t="str">
            <v>Gerenciamento de Requisições de Serviço</v>
          </cell>
          <cell r="B23" t="str">
            <v>Gerenciamento Financeiro de TI</v>
          </cell>
          <cell r="C23" t="str">
            <v>#459</v>
          </cell>
        </row>
        <row r="24">
          <cell r="A24" t="str">
            <v>Gerenciamento de Problemas</v>
          </cell>
          <cell r="B24" t="str">
            <v>Gerenciamento Financeiro de TI</v>
          </cell>
          <cell r="C24" t="str">
            <v>#461</v>
          </cell>
        </row>
        <row r="25">
          <cell r="A25" t="str">
            <v>Gerenciamento de Incidentes</v>
          </cell>
          <cell r="B25" t="str">
            <v>Gerenciamento de Ativos de TI</v>
          </cell>
          <cell r="C25" t="str">
            <v>#466</v>
          </cell>
        </row>
        <row r="26">
          <cell r="A26" t="str">
            <v>Gerenciamento de Incidentes</v>
          </cell>
          <cell r="B26" t="str">
            <v>Gerenciamento de Ativos de TI</v>
          </cell>
          <cell r="C26" t="str">
            <v>#468</v>
          </cell>
        </row>
        <row r="27">
          <cell r="A27" t="str">
            <v>Gerenciamento de Incidentes</v>
          </cell>
          <cell r="B27" t="str">
            <v>Gerenciamento de Problemas</v>
          </cell>
          <cell r="C27" t="str">
            <v>#470</v>
          </cell>
        </row>
        <row r="28">
          <cell r="A28" t="str">
            <v>Gerenciamento de Requisições de Serviço</v>
          </cell>
          <cell r="B28" t="str">
            <v>Gerenciamento Financeiro de TI</v>
          </cell>
          <cell r="C28" t="str">
            <v>#479</v>
          </cell>
        </row>
        <row r="29">
          <cell r="A29" t="str">
            <v>Gerenciamento de Incidentes</v>
          </cell>
          <cell r="B29" t="str">
            <v>Gerenciamento de Problemas</v>
          </cell>
          <cell r="C29" t="str">
            <v>#485</v>
          </cell>
        </row>
        <row r="30">
          <cell r="A30" t="str">
            <v>Gerenciamento de Problemas</v>
          </cell>
          <cell r="B30" t="str">
            <v>Gerenciamento de Incidentes</v>
          </cell>
          <cell r="C30" t="str">
            <v>#492</v>
          </cell>
        </row>
        <row r="31">
          <cell r="A31" t="str">
            <v>Gerenciamento Financeiro de TI</v>
          </cell>
          <cell r="B31" t="str">
            <v>Gerenciamento de Requisições de Serviço</v>
          </cell>
          <cell r="C31" t="str">
            <v>#77</v>
          </cell>
        </row>
        <row r="32">
          <cell r="A32" t="str">
            <v>Gerenciamento de Disponibilidade</v>
          </cell>
          <cell r="B32" t="str">
            <v>Gerenciamento de Incidentes</v>
          </cell>
          <cell r="C32" t="str">
            <v>#87</v>
          </cell>
        </row>
        <row r="33">
          <cell r="A33" t="str">
            <v>Gerenciamento Financeiro de TI</v>
          </cell>
          <cell r="B33" t="str">
            <v>Gerenciamento de Nível de Serviço</v>
          </cell>
          <cell r="C33" t="str">
            <v>#98</v>
          </cell>
        </row>
        <row r="34">
          <cell r="A34" t="str">
            <v>Gerenciamento de Infraestrutura e Plataforma</v>
          </cell>
          <cell r="B34" t="str">
            <v>Gerenciamento de Incidentes</v>
          </cell>
          <cell r="C34" t="str">
            <v>#104</v>
          </cell>
        </row>
        <row r="35">
          <cell r="A35" t="str">
            <v>Gerenciamento de Problemas</v>
          </cell>
          <cell r="B35" t="str">
            <v>Gerenciamento de Infraestrutura e Plataforma</v>
          </cell>
          <cell r="C35" t="str">
            <v>#110</v>
          </cell>
        </row>
        <row r="36">
          <cell r="A36" t="str">
            <v>Gerenciamento Financeiro de TI</v>
          </cell>
          <cell r="B36" t="str">
            <v>Gerenciamento de Requisições de Serviço</v>
          </cell>
          <cell r="C36" t="str">
            <v>#111</v>
          </cell>
        </row>
        <row r="37">
          <cell r="A37" t="str">
            <v>Gerenciamento de Problemas</v>
          </cell>
          <cell r="B37" t="str">
            <v>Gerenciamento de Disponibilidade</v>
          </cell>
          <cell r="C37" t="str">
            <v>#123</v>
          </cell>
        </row>
        <row r="38">
          <cell r="A38" t="str">
            <v>Gerenciamento de Nível de Serviço</v>
          </cell>
          <cell r="B38" t="str">
            <v>Gerenciamento de Infraestrutura e Plataforma</v>
          </cell>
          <cell r="C38" t="str">
            <v>#125</v>
          </cell>
        </row>
        <row r="39">
          <cell r="A39" t="str">
            <v>Gerenciamento de Incidentes</v>
          </cell>
          <cell r="B39" t="str">
            <v>Gerenciamento de Implantação</v>
          </cell>
          <cell r="C39" t="str">
            <v>#151</v>
          </cell>
        </row>
        <row r="40">
          <cell r="A40" t="str">
            <v>Gerenciamento de Disponibilidade</v>
          </cell>
          <cell r="B40" t="str">
            <v>Gerenciamento de Problemas</v>
          </cell>
          <cell r="C40" t="str">
            <v>#162</v>
          </cell>
        </row>
        <row r="41">
          <cell r="A41" t="str">
            <v>Gerenciamento de Incidentes</v>
          </cell>
          <cell r="B41" t="str">
            <v>Gerenciamento de Ativos de TI</v>
          </cell>
          <cell r="C41" t="str">
            <v>#182</v>
          </cell>
        </row>
        <row r="42">
          <cell r="A42" t="str">
            <v>Gerenciamento de Requisições de Serviço</v>
          </cell>
          <cell r="B42" t="str">
            <v>Gerenciamento Financeiro de TI</v>
          </cell>
          <cell r="C42" t="str">
            <v>#183</v>
          </cell>
        </row>
        <row r="43">
          <cell r="A43" t="str">
            <v>Gerenciamento de Incidentes</v>
          </cell>
          <cell r="B43" t="str">
            <v>Gerenciamento de Configuração</v>
          </cell>
          <cell r="C43" t="str">
            <v>#189</v>
          </cell>
        </row>
        <row r="44">
          <cell r="A44" t="str">
            <v>Gerenciamento de Incidentes</v>
          </cell>
          <cell r="B44" t="str">
            <v>Gerenciamento de Ativos de TI</v>
          </cell>
          <cell r="C44" t="str">
            <v>#194</v>
          </cell>
        </row>
        <row r="45">
          <cell r="A45" t="str">
            <v>Gerenciamento de Requisições de Serviço</v>
          </cell>
          <cell r="B45" t="str">
            <v>Gerenciamento de Implantação</v>
          </cell>
          <cell r="C45" t="str">
            <v>#201</v>
          </cell>
        </row>
        <row r="46">
          <cell r="A46" t="str">
            <v>Gerenciamento de Requisições de Serviço</v>
          </cell>
          <cell r="B46" t="str">
            <v>Gerenciamento Financeiro de TI</v>
          </cell>
          <cell r="C46" t="str">
            <v>#203</v>
          </cell>
        </row>
        <row r="47">
          <cell r="A47" t="str">
            <v>Gerenciamento de Requisições de Serviço</v>
          </cell>
          <cell r="B47" t="str">
            <v>Central de Serviços (Service Desk)</v>
          </cell>
          <cell r="C47" t="str">
            <v>#205</v>
          </cell>
        </row>
        <row r="48">
          <cell r="A48" t="str">
            <v>Gerenciamento de Capacidade e Performance</v>
          </cell>
          <cell r="B48" t="str">
            <v>Gerenciamento de Nível de Serviço</v>
          </cell>
          <cell r="C48" t="str">
            <v>#219</v>
          </cell>
        </row>
        <row r="49">
          <cell r="A49" t="str">
            <v>Gerenciamento de Mudanças</v>
          </cell>
          <cell r="B49" t="str">
            <v>Análise de Negócio</v>
          </cell>
          <cell r="C49" t="str">
            <v>#223</v>
          </cell>
        </row>
        <row r="50">
          <cell r="A50" t="str">
            <v>Gerenciamento de Requisições de Serviço</v>
          </cell>
          <cell r="B50" t="str">
            <v>Não se aplica</v>
          </cell>
          <cell r="C50" t="str">
            <v>#225</v>
          </cell>
        </row>
        <row r="51">
          <cell r="A51" t="str">
            <v>Gerenciamento de Requisições de Serviço</v>
          </cell>
          <cell r="B51" t="str">
            <v>Central de Serviços (Service Desk)</v>
          </cell>
          <cell r="C51" t="str">
            <v>#228</v>
          </cell>
        </row>
        <row r="52">
          <cell r="A52" t="str">
            <v>Gerenciamento de Acesso</v>
          </cell>
          <cell r="B52" t="str">
            <v>Gerenciamento de Incidentes</v>
          </cell>
          <cell r="C52" t="str">
            <v>#229</v>
          </cell>
        </row>
        <row r="53">
          <cell r="A53" t="str">
            <v>Gerenciamento de Requisições de Serviço</v>
          </cell>
          <cell r="B53" t="str">
            <v>Gerenciamento de Ativos de TI</v>
          </cell>
          <cell r="C53" t="str">
            <v>#230</v>
          </cell>
        </row>
        <row r="54">
          <cell r="A54" t="str">
            <v>Gerenciamento de Incidentes</v>
          </cell>
          <cell r="B54" t="str">
            <v>Gerenciamento de Ativos de TI</v>
          </cell>
          <cell r="C54" t="str">
            <v>#234</v>
          </cell>
        </row>
        <row r="55">
          <cell r="A55" t="str">
            <v>Gerenciamento de Incidentes</v>
          </cell>
          <cell r="B55" t="str">
            <v>Gerenciamento de Configuração</v>
          </cell>
          <cell r="C55" t="str">
            <v>#240</v>
          </cell>
        </row>
        <row r="56">
          <cell r="A56" t="str">
            <v>Gerenciamento de Requisições de Serviço</v>
          </cell>
          <cell r="B56" t="str">
            <v>Não se aplica</v>
          </cell>
          <cell r="C56" t="str">
            <v>#25</v>
          </cell>
        </row>
        <row r="57">
          <cell r="A57" t="str">
            <v>Gerenciamento de Incidentes</v>
          </cell>
          <cell r="B57" t="str">
            <v>Gerenciamento de Ativos de TI</v>
          </cell>
          <cell r="C57" t="str">
            <v>#257</v>
          </cell>
        </row>
        <row r="58">
          <cell r="A58" t="str">
            <v>Gerenciamento de Incidentes</v>
          </cell>
          <cell r="B58" t="str">
            <v>Gerenciamento de Problemas</v>
          </cell>
          <cell r="C58" t="str">
            <v>#264</v>
          </cell>
        </row>
        <row r="59">
          <cell r="A59" t="str">
            <v>Gerenciamento de Problemas</v>
          </cell>
          <cell r="B59" t="str">
            <v>Gerenciamento de Incidentes</v>
          </cell>
          <cell r="C59" t="str">
            <v>#279</v>
          </cell>
        </row>
        <row r="60">
          <cell r="A60" t="str">
            <v>Gerenciamento de Problemas</v>
          </cell>
          <cell r="B60" t="str">
            <v>Gerenciamento de Mudanças</v>
          </cell>
          <cell r="C60" t="str">
            <v>#294</v>
          </cell>
        </row>
        <row r="61">
          <cell r="A61" t="str">
            <v>Gerenciamento de Incidentes</v>
          </cell>
          <cell r="B61" t="str">
            <v>Gerenciamento de Ativos de TI</v>
          </cell>
          <cell r="C61" t="str">
            <v>#299</v>
          </cell>
        </row>
        <row r="62">
          <cell r="A62" t="str">
            <v>Gerenciamento de Incidentes</v>
          </cell>
          <cell r="B62" t="str">
            <v>Gerenciamento de Problemas</v>
          </cell>
          <cell r="C62" t="str">
            <v>#301</v>
          </cell>
        </row>
        <row r="63">
          <cell r="A63" t="str">
            <v>Gerenciamento de Requisições de Serviço</v>
          </cell>
          <cell r="B63" t="str">
            <v>Não se aplica</v>
          </cell>
          <cell r="C63" t="str">
            <v>#305</v>
          </cell>
        </row>
        <row r="64">
          <cell r="A64" t="str">
            <v>Gerenciamento de Requisições de Serviço</v>
          </cell>
          <cell r="B64" t="str">
            <v>Gerenciamento Financeiro de TI</v>
          </cell>
          <cell r="C64" t="str">
            <v>#331</v>
          </cell>
        </row>
        <row r="65">
          <cell r="A65" t="str">
            <v>Gerenciamento de Incidentes</v>
          </cell>
          <cell r="B65" t="str">
            <v>Gerenciamento de Problemas</v>
          </cell>
          <cell r="C65" t="str">
            <v>#350</v>
          </cell>
        </row>
        <row r="66">
          <cell r="A66" t="str">
            <v>Gerenciamento de Requisições de Serviço</v>
          </cell>
          <cell r="B66" t="str">
            <v>Não se aplica</v>
          </cell>
          <cell r="C66" t="str">
            <v>#356</v>
          </cell>
        </row>
        <row r="67">
          <cell r="A67" t="str">
            <v>Gerenciamento de Problemas</v>
          </cell>
          <cell r="B67" t="str">
            <v>Gerenciamento de Incidentes</v>
          </cell>
          <cell r="C67" t="str">
            <v>#364</v>
          </cell>
        </row>
        <row r="68">
          <cell r="A68" t="str">
            <v>Gerenciamento de Problemas</v>
          </cell>
          <cell r="B68" t="str">
            <v>Gerenciamento de Mudanças</v>
          </cell>
          <cell r="C68" t="str">
            <v>#366</v>
          </cell>
        </row>
        <row r="69">
          <cell r="A69" t="str">
            <v>Gerenciamento de Incidentes</v>
          </cell>
          <cell r="B69" t="str">
            <v>Não se aplica</v>
          </cell>
          <cell r="C69" t="str">
            <v>#372</v>
          </cell>
        </row>
        <row r="70">
          <cell r="A70" t="str">
            <v>Gerenciamento de Requisições de Serviço</v>
          </cell>
          <cell r="B70" t="str">
            <v>Gerenciamento Financeiro de TI</v>
          </cell>
          <cell r="C70" t="str">
            <v>#376</v>
          </cell>
        </row>
        <row r="71">
          <cell r="A71" t="str">
            <v>Gerenciamento de Incidentes</v>
          </cell>
          <cell r="B71" t="str">
            <v>Gerenciamento de Ativos de TI</v>
          </cell>
          <cell r="C71" t="str">
            <v>#398</v>
          </cell>
        </row>
        <row r="72">
          <cell r="A72" t="str">
            <v>Gerenciamento de Incidentes</v>
          </cell>
          <cell r="B72" t="str">
            <v>Gerenciamento de Problemas</v>
          </cell>
          <cell r="C72" t="str">
            <v>#403</v>
          </cell>
        </row>
        <row r="73">
          <cell r="A73" t="str">
            <v>Gerenciamento de Requisições de Serviço</v>
          </cell>
          <cell r="B73" t="str">
            <v>Não se aplica</v>
          </cell>
          <cell r="C73" t="str">
            <v>#405</v>
          </cell>
        </row>
        <row r="74">
          <cell r="A74" t="str">
            <v>Gerenciamento de Requisições de Serviço</v>
          </cell>
          <cell r="B74" t="str">
            <v>Gerenciamento Financeiro de TI</v>
          </cell>
          <cell r="C74" t="str">
            <v>#424</v>
          </cell>
        </row>
        <row r="75">
          <cell r="A75" t="str">
            <v>Gerenciamento de Incidentes</v>
          </cell>
          <cell r="B75" t="str">
            <v>Gerenciamento de Ativos de TI</v>
          </cell>
          <cell r="C75" t="str">
            <v>#451</v>
          </cell>
        </row>
        <row r="76">
          <cell r="A76" t="str">
            <v>Gerenciamento de Requisições de Serviço</v>
          </cell>
          <cell r="B76" t="str">
            <v>Gerenciamento Financeiro de TI</v>
          </cell>
          <cell r="C76" t="str">
            <v>#452</v>
          </cell>
        </row>
        <row r="77">
          <cell r="A77" t="str">
            <v>Gerenciamento de Requisições de Serviço</v>
          </cell>
          <cell r="B77" t="str">
            <v>Gerenciamento Financeiro de TI</v>
          </cell>
          <cell r="C77" t="str">
            <v>#459</v>
          </cell>
        </row>
        <row r="78">
          <cell r="A78" t="str">
            <v>Gerenciamento de Problemas</v>
          </cell>
          <cell r="B78" t="str">
            <v>Gerenciamento Financeiro de TI</v>
          </cell>
          <cell r="C78" t="str">
            <v>#461</v>
          </cell>
        </row>
        <row r="79">
          <cell r="A79" t="str">
            <v>Gerenciamento de Incidentes</v>
          </cell>
          <cell r="B79" t="str">
            <v>Gerenciamento de Ativos de TI</v>
          </cell>
          <cell r="C79" t="str">
            <v>#466</v>
          </cell>
        </row>
        <row r="80">
          <cell r="A80" t="str">
            <v>Gerenciamento de Incidentes</v>
          </cell>
          <cell r="B80" t="str">
            <v>Gerenciamento de Ativos de TI</v>
          </cell>
          <cell r="C80" t="str">
            <v>#468</v>
          </cell>
        </row>
        <row r="81">
          <cell r="A81" t="str">
            <v>Gerenciamento de Incidentes</v>
          </cell>
          <cell r="B81" t="str">
            <v>Gerenciamento de Problemas</v>
          </cell>
          <cell r="C81" t="str">
            <v>#470</v>
          </cell>
        </row>
        <row r="82">
          <cell r="A82" t="str">
            <v>Gerenciamento de Requisições de Serviço</v>
          </cell>
          <cell r="B82" t="str">
            <v>Gerenciamento Financeiro de TI</v>
          </cell>
          <cell r="C82" t="str">
            <v>#479</v>
          </cell>
        </row>
        <row r="83">
          <cell r="A83" t="str">
            <v>Gerenciamento de Incidentes</v>
          </cell>
          <cell r="B83" t="str">
            <v>Gerenciamento de Problemas</v>
          </cell>
          <cell r="C83" t="str">
            <v>#485</v>
          </cell>
        </row>
        <row r="84">
          <cell r="A84" t="str">
            <v>Gerenciamento de Problemas</v>
          </cell>
          <cell r="B84" t="str">
            <v>Gerenciamento de Incidentes</v>
          </cell>
          <cell r="C84" t="str">
            <v>#492</v>
          </cell>
        </row>
        <row r="85">
          <cell r="A85" t="str">
            <v>Gerenciamento de Incidentes</v>
          </cell>
          <cell r="B85" t="str">
            <v>Gerenciamento de Problemas</v>
          </cell>
          <cell r="C85" t="str">
            <v>#496</v>
          </cell>
        </row>
      </sheetData>
      <sheetData sheetId="4" refreshError="1">
        <row r="2">
          <cell r="A2" t="str">
            <v>Gerenciamento de Problemas</v>
          </cell>
          <cell r="C2" t="str">
            <v>#3</v>
          </cell>
        </row>
        <row r="3">
          <cell r="A3" t="str">
            <v>Habilitação de Mudança</v>
          </cell>
          <cell r="C3" t="str">
            <v xml:space="preserve"> #25</v>
          </cell>
        </row>
        <row r="4">
          <cell r="A4" t="str">
            <v>Gerenciamento de Requisição de Serviço</v>
          </cell>
          <cell r="C4" t="str">
            <v xml:space="preserve"> #42</v>
          </cell>
        </row>
        <row r="5">
          <cell r="A5" t="str">
            <v>Gerenciamento de Fornecedor</v>
          </cell>
          <cell r="C5" t="str">
            <v xml:space="preserve"> #57</v>
          </cell>
        </row>
        <row r="6">
          <cell r="A6" t="str">
            <v>Gerenciamento de Conhecimento</v>
          </cell>
          <cell r="C6" t="str">
            <v xml:space="preserve"> #62</v>
          </cell>
        </row>
        <row r="7">
          <cell r="A7" t="str">
            <v>Gerenciamento Financeiro de Serviços</v>
          </cell>
          <cell r="C7" t="str">
            <v>#77 , #111</v>
          </cell>
        </row>
        <row r="8">
          <cell r="A8" t="str">
            <v>Gerenciamento de Disponibilidade</v>
          </cell>
          <cell r="C8" t="str">
            <v>#87 , #162</v>
          </cell>
        </row>
        <row r="9">
          <cell r="A9" t="str">
            <v>Gerenciamento de Capacidade e Desempenho</v>
          </cell>
          <cell r="C9" t="str">
            <v>#98 , #125</v>
          </cell>
        </row>
        <row r="10">
          <cell r="A10" t="str">
            <v>Gerenciamento de Problemas</v>
          </cell>
          <cell r="C10" t="str">
            <v>#104, #110 , #123</v>
          </cell>
        </row>
        <row r="11">
          <cell r="A11" t="str">
            <v>Gerenciamento de Liberação</v>
          </cell>
          <cell r="C11" t="str">
            <v>#151</v>
          </cell>
        </row>
        <row r="12">
          <cell r="A12" t="str">
            <v>Gerenciamento de Problemas</v>
          </cell>
          <cell r="C12" t="str">
            <v>#182</v>
          </cell>
        </row>
        <row r="13">
          <cell r="A13" t="str">
            <v>Gerenciamento de Relacionamento</v>
          </cell>
          <cell r="C13" t="str">
            <v>#183</v>
          </cell>
        </row>
        <row r="14">
          <cell r="A14" t="str">
            <v>Gerenciamento de Problemas</v>
          </cell>
          <cell r="C14" t="str">
            <v>#189</v>
          </cell>
        </row>
        <row r="15">
          <cell r="A15" t="str">
            <v>Gerenciamento de Problemas</v>
          </cell>
          <cell r="C15" t="str">
            <v>#194</v>
          </cell>
        </row>
        <row r="16">
          <cell r="A16" t="str">
            <v>Validação e Teste de Serviço</v>
          </cell>
          <cell r="C16" t="str">
            <v>#201</v>
          </cell>
        </row>
        <row r="17">
          <cell r="A17" t="str">
            <v>Gerenciamento de Relacionamento</v>
          </cell>
          <cell r="C17" t="str">
            <v>#203</v>
          </cell>
        </row>
        <row r="18">
          <cell r="A18" t="str">
            <v>Gerenciamento de Problemas</v>
          </cell>
          <cell r="C18" t="str">
            <v>#205</v>
          </cell>
        </row>
        <row r="19">
          <cell r="A19" t="str">
            <v>Gerenciamento de Capacidade e Desempenho</v>
          </cell>
          <cell r="C19" t="str">
            <v>#219</v>
          </cell>
        </row>
        <row r="20">
          <cell r="A20" t="str">
            <v>Habilitação de Mudança</v>
          </cell>
          <cell r="C20" t="str">
            <v>#223</v>
          </cell>
        </row>
        <row r="21">
          <cell r="A21" t="str">
            <v>Gerenciamento de Requisição de Serviço</v>
          </cell>
          <cell r="C21" t="str">
            <v>#225</v>
          </cell>
        </row>
        <row r="22">
          <cell r="A22" t="str">
            <v>Gerenciamento de Problemas</v>
          </cell>
          <cell r="C22" t="str">
            <v>#228</v>
          </cell>
        </row>
        <row r="23">
          <cell r="A23" t="str">
            <v>Gerenciamento de Segurança da Informação</v>
          </cell>
          <cell r="C23" t="str">
            <v>#229</v>
          </cell>
        </row>
        <row r="24">
          <cell r="A24" t="str">
            <v>Gerenciamento de Catálogo de Serviço</v>
          </cell>
          <cell r="C24" t="str">
            <v>#230</v>
          </cell>
        </row>
        <row r="25">
          <cell r="A25" t="str">
            <v>Gerenciamento de Problemas</v>
          </cell>
          <cell r="C25" t="str">
            <v>#234</v>
          </cell>
        </row>
        <row r="26">
          <cell r="A26" t="str">
            <v>Gerenciamento de Problemas</v>
          </cell>
          <cell r="C26" t="str">
            <v>#240</v>
          </cell>
        </row>
        <row r="27">
          <cell r="A27" t="str">
            <v>Gerenciamento de Requisição de Serviço</v>
          </cell>
          <cell r="C27" t="str">
            <v>#252, #305, #356, #405, #459</v>
          </cell>
        </row>
        <row r="28">
          <cell r="A28" t="str">
            <v>Gerenciamento de Problemas</v>
          </cell>
          <cell r="C28" t="str">
            <v>#264, #301, #350, #364, #492</v>
          </cell>
        </row>
        <row r="29">
          <cell r="A29" t="str">
            <v>Gerenciamento de Incidentes</v>
          </cell>
          <cell r="C29" t="str">
            <v>#279, #470, #485</v>
          </cell>
        </row>
        <row r="30">
          <cell r="A30" t="str">
            <v>Gerenciamento de Liberação (Release Management)</v>
          </cell>
          <cell r="C30" t="str">
            <v>#294, #366</v>
          </cell>
        </row>
        <row r="31">
          <cell r="A31" t="str">
            <v>Gerenciamento de Fornecedor (Supplier Management)</v>
          </cell>
          <cell r="C31" t="str">
            <v>#257, #299, #398, #403, #451, #466, #468, #496</v>
          </cell>
        </row>
        <row r="32">
          <cell r="A32" t="str">
            <v>Gerenciamento Financeiro de Serviço</v>
          </cell>
          <cell r="C32" t="str">
            <v>#331, #376, #424, #461, #479</v>
          </cell>
        </row>
        <row r="33">
          <cell r="A33" t="str">
            <v>Gerenciamento de Segurança da Informação</v>
          </cell>
          <cell r="C33" t="str">
            <v>#452</v>
          </cell>
        </row>
      </sheetData>
      <sheetData sheetId="5" refreshError="1">
        <row r="2">
          <cell r="A2" t="str">
            <v>Gerenciamento de Problemas</v>
          </cell>
          <cell r="B2" t="str">
            <v>Gerenciamento de Conhecimento</v>
          </cell>
          <cell r="C2" t="str">
            <v>#3, #25, #87, #104, #110, #123, #151, #182, #189, #194, #234, #240</v>
          </cell>
        </row>
        <row r="3">
          <cell r="B3" t="str">
            <v>Central de Serviço (Service Desk)</v>
          </cell>
          <cell r="C3" t="str">
            <v>#42, #98, #125, #201, #219, #223, #225, #228, #230</v>
          </cell>
        </row>
        <row r="4">
          <cell r="B4" t="str">
            <v>Gerenciamento de Nível de Serviço</v>
          </cell>
          <cell r="C4" t="str">
            <v>#77, #111, #183, #203</v>
          </cell>
        </row>
        <row r="5">
          <cell r="B5" t="str">
            <v>Análise de Negócio</v>
          </cell>
          <cell r="C5" t="str">
            <v>#42, #98, #125, #219</v>
          </cell>
        </row>
        <row r="6">
          <cell r="B6" t="str">
            <v>Habilitação de Serviço</v>
          </cell>
          <cell r="C6" t="str">
            <v>#57, #182, #189, #194, #201, #205, #228, #234, #240</v>
          </cell>
        </row>
        <row r="7">
          <cell r="B7" t="str">
            <v>Gerenciamento de Acessos</v>
          </cell>
          <cell r="C7" t="str">
            <v>#62, #151, #223, #229</v>
          </cell>
        </row>
        <row r="8">
          <cell r="B8" t="str">
            <v>Gerenciamento de Incidentes</v>
          </cell>
          <cell r="C8" t="str">
            <v>#77, #111, #183, #203</v>
          </cell>
        </row>
        <row r="9">
          <cell r="B9" t="str">
            <v>Gerenciamento de Disponibilidade</v>
          </cell>
          <cell r="C9" t="str">
            <v xml:space="preserve">#104, #110, #123 </v>
          </cell>
        </row>
        <row r="10">
          <cell r="B10" t="str">
            <v>Gerenciamento de Ativos de TI</v>
          </cell>
          <cell r="C10" t="str">
            <v>#252, #257</v>
          </cell>
        </row>
        <row r="11">
          <cell r="B11" t="str">
            <v>Gerenciamento de Mudanças</v>
          </cell>
          <cell r="C11" t="str">
            <v xml:space="preserve">#62, #151, #223, #229 </v>
          </cell>
        </row>
        <row r="12">
          <cell r="B12" t="str">
            <v>Gerenciamento de Disponibilidade</v>
          </cell>
          <cell r="C12" t="str">
            <v xml:space="preserve">#87, #104, #110, #123, #264 </v>
          </cell>
        </row>
        <row r="13">
          <cell r="B13" t="str">
            <v>Gerenciamento Financeiro de TI</v>
          </cell>
          <cell r="C13" t="str">
            <v xml:space="preserve">#98, #125, #162, #219 </v>
          </cell>
        </row>
        <row r="14">
          <cell r="B14" t="str">
            <v>Gerenciamento Financeiro de TI</v>
          </cell>
          <cell r="C14" t="str">
            <v xml:space="preserve">#77, #111, #183, #203 </v>
          </cell>
        </row>
        <row r="15">
          <cell r="B15" t="str">
            <v>Gerenciamento de Ativos de TI</v>
          </cell>
          <cell r="C15" t="str">
            <v xml:space="preserve">#189, #194, #205, #234, #240 </v>
          </cell>
        </row>
        <row r="16">
          <cell r="B16" t="str">
            <v>Gerenciamento de Ativos de TI</v>
          </cell>
          <cell r="C16" t="str">
            <v xml:space="preserve">#252, #257 </v>
          </cell>
        </row>
        <row r="17">
          <cell r="B17" t="str">
            <v>Gerenciamento de Problemas</v>
          </cell>
          <cell r="C17" t="str">
            <v xml:space="preserve">#279 </v>
          </cell>
        </row>
        <row r="18">
          <cell r="B18" t="str">
            <v>Gerenciamento de Incidentes</v>
          </cell>
          <cell r="C18" t="str">
            <v xml:space="preserve">#104, #110, #123, #264, #301 </v>
          </cell>
        </row>
        <row r="19">
          <cell r="B19" t="str">
            <v>Gerenciamento de Conhecimento</v>
          </cell>
          <cell r="C19" t="str">
            <v>#151, #182, #189, #194, #201, #205, #225, #228, #234, #240, #294</v>
          </cell>
        </row>
        <row r="20">
          <cell r="B20" t="str">
            <v>Gerenciamento de Nível de Serviço</v>
          </cell>
          <cell r="C20" t="str">
            <v>#98, #111, #125, #162, #183, #203</v>
          </cell>
        </row>
        <row r="21">
          <cell r="B21" t="str">
            <v>Gerenciamento de Configuração de Serviço</v>
          </cell>
          <cell r="C21" t="str">
            <v>#223</v>
          </cell>
        </row>
        <row r="22">
          <cell r="B22" t="str">
            <v>Gerenciamento de Relacionamento</v>
          </cell>
          <cell r="C22" t="str">
            <v>#230, #252, #257, #299</v>
          </cell>
        </row>
        <row r="23">
          <cell r="B23" t="str">
            <v>Gerenciamento de Problemas</v>
          </cell>
          <cell r="C23" t="str">
            <v>#123, #264, #301</v>
          </cell>
        </row>
        <row r="24">
          <cell r="B24" t="str">
            <v>Gerenciamento de Nível de Serviço</v>
          </cell>
          <cell r="C24" t="str">
            <v>#125, #219</v>
          </cell>
        </row>
        <row r="25">
          <cell r="B25" t="str">
            <v>Gerenciamento de Ativos de TI</v>
          </cell>
          <cell r="C25" t="str">
            <v>#151, #294</v>
          </cell>
        </row>
        <row r="26">
          <cell r="B26" t="str">
            <v>Gerenciamento de Disponibilidade</v>
          </cell>
          <cell r="C26" t="str">
            <v>#162</v>
          </cell>
        </row>
        <row r="27">
          <cell r="B27" t="str">
            <v>Gerenciamento de Configuração</v>
          </cell>
          <cell r="C27" t="str">
            <v>#182</v>
          </cell>
        </row>
        <row r="28">
          <cell r="B28" t="str">
            <v>Gerenciamento Financeiro de TI</v>
          </cell>
          <cell r="C28" t="str">
            <v>#183, #203, #331</v>
          </cell>
        </row>
        <row r="29">
          <cell r="B29" t="str">
            <v>Gerenciamento de Conhecimento</v>
          </cell>
          <cell r="C29" t="str">
            <v>#189, #194, #228, #234, #240, #305, #350</v>
          </cell>
        </row>
        <row r="30">
          <cell r="B30" t="str">
            <v>Gerenciamento de Conhecimento</v>
          </cell>
          <cell r="C30" t="str">
            <v>#201, #225, #356</v>
          </cell>
        </row>
        <row r="31">
          <cell r="B31" t="str">
            <v>Gerenciamento de Acessos</v>
          </cell>
          <cell r="C31" t="str">
            <v>#223, #229</v>
          </cell>
        </row>
        <row r="32">
          <cell r="B32" t="str">
            <v>Gerenciamento de Ativos de TI</v>
          </cell>
          <cell r="C32" t="str">
            <v>#230</v>
          </cell>
        </row>
        <row r="33">
          <cell r="B33" t="str">
            <v>Gerenciamento de Nível de Serviço</v>
          </cell>
          <cell r="C33" t="str">
            <v>#252, #257, #299</v>
          </cell>
        </row>
        <row r="34">
          <cell r="B34" t="str">
            <v>Gerenciamento de Eventos</v>
          </cell>
          <cell r="C34" t="str">
            <v>#279</v>
          </cell>
        </row>
      </sheetData>
      <sheetData sheetId="6" refreshError="1">
        <row r="2">
          <cell r="A2" t="str">
            <v>Gerenciamento de Problemas</v>
          </cell>
          <cell r="B2" t="str">
            <v>Gerenciamento de Ativos de TI</v>
          </cell>
          <cell r="C2" t="str">
            <v>#3</v>
          </cell>
        </row>
        <row r="3">
          <cell r="A3" t="str">
            <v>Gerenciamento de Mudanças</v>
          </cell>
          <cell r="B3" t="str">
            <v>Gerenciamento de Liberação</v>
          </cell>
          <cell r="C3" t="str">
            <v>#25</v>
          </cell>
        </row>
        <row r="4">
          <cell r="A4" t="str">
            <v>Gerenciamento de Requisições de Serviço</v>
          </cell>
          <cell r="B4" t="str">
            <v>Melhoria Contínua</v>
          </cell>
          <cell r="C4" t="str">
            <v>#42</v>
          </cell>
        </row>
        <row r="5">
          <cell r="A5" t="str">
            <v>Gerenciamento de Incidentes</v>
          </cell>
          <cell r="B5" t="str">
            <v>Gerenciamento de Ativos de TI</v>
          </cell>
          <cell r="C5" t="str">
            <v>#57</v>
          </cell>
        </row>
        <row r="6">
          <cell r="A6" t="str">
            <v>Análise de Negócio</v>
          </cell>
          <cell r="B6" t="str">
            <v>Gerenciamento de Implantação</v>
          </cell>
          <cell r="C6" t="str">
            <v>#62</v>
          </cell>
        </row>
        <row r="7">
          <cell r="A7" t="str">
            <v>Gerenciamento de Requisições de Serviço</v>
          </cell>
          <cell r="B7" t="str">
            <v>Gerenciamento Financeiro de Serviço</v>
          </cell>
          <cell r="C7" t="str">
            <v>#77</v>
          </cell>
        </row>
        <row r="8">
          <cell r="A8" t="str">
            <v>Gerenciamento de Incidentes</v>
          </cell>
          <cell r="B8" t="str">
            <v>Gerenciamento de Problemas</v>
          </cell>
          <cell r="C8" t="str">
            <v>#87</v>
          </cell>
        </row>
        <row r="9">
          <cell r="A9" t="str">
            <v>Melhoria Contínua</v>
          </cell>
          <cell r="B9" t="str">
            <v>Gerenciamento Financeiro de Serviço</v>
          </cell>
          <cell r="C9" t="str">
            <v>#98</v>
          </cell>
        </row>
        <row r="10">
          <cell r="A10" t="str">
            <v>Gerenciamento de Incidentes</v>
          </cell>
          <cell r="B10" t="str">
            <v>Gerenciamento de Problemas</v>
          </cell>
          <cell r="C10" t="str">
            <v>#104</v>
          </cell>
        </row>
        <row r="11">
          <cell r="A11" t="str">
            <v>Gerenciamento de Problemas</v>
          </cell>
          <cell r="B11" t="str">
            <v>Gerenciamento de Incidentes</v>
          </cell>
          <cell r="C11" t="str">
            <v>#110</v>
          </cell>
        </row>
        <row r="12">
          <cell r="A12" t="str">
            <v>Gerenciamento de Requisições de Serviço</v>
          </cell>
          <cell r="B12" t="str">
            <v>Gerenciamento Financeiro de Serviço</v>
          </cell>
          <cell r="C12" t="str">
            <v>#111</v>
          </cell>
        </row>
        <row r="13">
          <cell r="A13" t="str">
            <v>Gerenciamento de Problemas</v>
          </cell>
          <cell r="B13" t="str">
            <v>Gerenciamento de Capacidade e Desempenho</v>
          </cell>
          <cell r="C13" t="str">
            <v>#123</v>
          </cell>
        </row>
        <row r="14">
          <cell r="A14" t="str">
            <v>Melhoria Contínua</v>
          </cell>
          <cell r="B14" t="str">
            <v>Gerenciamento de Capacidade e Desempenho</v>
          </cell>
          <cell r="C14" t="str">
            <v>#125</v>
          </cell>
        </row>
        <row r="15">
          <cell r="A15" t="str">
            <v>Gerenciamento de Incidentes</v>
          </cell>
          <cell r="B15" t="str">
            <v>Gerenciamento de Problemas</v>
          </cell>
          <cell r="C15" t="str">
            <v>#151</v>
          </cell>
        </row>
        <row r="16">
          <cell r="A16" t="str">
            <v>Gerenciamento de Incidentes</v>
          </cell>
          <cell r="B16" t="str">
            <v>Gerenciamento de Problemas</v>
          </cell>
          <cell r="C16" t="str">
            <v>#162</v>
          </cell>
        </row>
        <row r="17">
          <cell r="A17" t="str">
            <v>Gerenciamento de Incidentes</v>
          </cell>
          <cell r="B17" t="str">
            <v>Gerenciamento de Ativos de TI</v>
          </cell>
          <cell r="C17" t="str">
            <v>#182</v>
          </cell>
        </row>
        <row r="18">
          <cell r="A18" t="str">
            <v>Gerenciamento de Requisições de Serviço</v>
          </cell>
          <cell r="B18" t="str">
            <v>Gerenciamento Financeiro de Serviço</v>
          </cell>
          <cell r="C18" t="str">
            <v>#183</v>
          </cell>
        </row>
        <row r="19">
          <cell r="A19" t="str">
            <v>Gerenciamento de Incidentes</v>
          </cell>
          <cell r="B19" t="str">
            <v>Gerenciamento de Conhecimento</v>
          </cell>
          <cell r="C19" t="str">
            <v>#189</v>
          </cell>
        </row>
        <row r="20">
          <cell r="A20" t="str">
            <v>Gerenciamento de Incidentes</v>
          </cell>
          <cell r="B20" t="str">
            <v>Gerenciamento de Ativos de TI</v>
          </cell>
          <cell r="C20" t="str">
            <v>#194</v>
          </cell>
        </row>
        <row r="21">
          <cell r="A21" t="str">
            <v>Gerenciamento de Incidentes</v>
          </cell>
          <cell r="B21" t="str">
            <v>Gerenciamento de Liberação</v>
          </cell>
          <cell r="C21" t="str">
            <v>#201</v>
          </cell>
        </row>
        <row r="22">
          <cell r="A22" t="str">
            <v>Gerenciamento de Requisições de Serviço</v>
          </cell>
          <cell r="B22" t="str">
            <v>Gerenciamento Financeiro de Serviço</v>
          </cell>
          <cell r="C22" t="str">
            <v>#203</v>
          </cell>
        </row>
        <row r="23">
          <cell r="A23" t="str">
            <v>Gerenciamento de Requisições de Serviço</v>
          </cell>
          <cell r="B23" t="str">
            <v>Gerenciamento de Conhecimento</v>
          </cell>
          <cell r="C23" t="str">
            <v>#205</v>
          </cell>
        </row>
        <row r="24">
          <cell r="A24" t="str">
            <v>Melhoria Contínua</v>
          </cell>
          <cell r="B24" t="str">
            <v>Gerenciamento de Capacidade e Desempenho</v>
          </cell>
          <cell r="C24" t="str">
            <v>#219</v>
          </cell>
        </row>
        <row r="25">
          <cell r="A25" t="str">
            <v>Gerenciamento de Mudanças</v>
          </cell>
          <cell r="B25" t="str">
            <v>Melhoria Contínua</v>
          </cell>
          <cell r="C25" t="str">
            <v>#223</v>
          </cell>
        </row>
        <row r="26">
          <cell r="A26" t="str">
            <v>Gerenciamento de Requisições de Serviço</v>
          </cell>
          <cell r="B26" t="str">
            <v>Gerenciamento de Conhecimento</v>
          </cell>
          <cell r="C26" t="str">
            <v>#225</v>
          </cell>
        </row>
        <row r="27">
          <cell r="A27" t="str">
            <v>Gerenciamento de Requisições de Serviço</v>
          </cell>
          <cell r="B27" t="str">
            <v>Gerenciamento de Conhecimento</v>
          </cell>
          <cell r="C27" t="str">
            <v>#228</v>
          </cell>
        </row>
        <row r="28">
          <cell r="A28" t="str">
            <v>Gerenciamento de Acesso</v>
          </cell>
          <cell r="B28" t="str">
            <v>Gerenciamento de Incidentes</v>
          </cell>
          <cell r="C28" t="str">
            <v>#229</v>
          </cell>
        </row>
        <row r="29">
          <cell r="A29" t="str">
            <v>Gerenciamento de Requisições de Serviço</v>
          </cell>
          <cell r="B29" t="str">
            <v>Gerenciamento de Conhecimento</v>
          </cell>
          <cell r="C29" t="str">
            <v>#230</v>
          </cell>
        </row>
        <row r="30">
          <cell r="A30" t="str">
            <v>Gerenciamento de Problemas</v>
          </cell>
          <cell r="B30" t="str">
            <v>Gerenciamento de Ativos de TI</v>
          </cell>
          <cell r="C30" t="str">
            <v>#234</v>
          </cell>
        </row>
        <row r="31">
          <cell r="A31" t="str">
            <v>Gerenciamento de Incidentes</v>
          </cell>
          <cell r="B31" t="str">
            <v>Gerenciamento de Configuração de Serviço</v>
          </cell>
          <cell r="C31" t="str">
            <v>#240</v>
          </cell>
        </row>
        <row r="32">
          <cell r="A32" t="str">
            <v>Gerenciamento de Portfólio</v>
          </cell>
          <cell r="B32" t="str">
            <v>Análise de Negócio, Melhoria Contínua</v>
          </cell>
          <cell r="C32" t="str">
            <v>#42</v>
          </cell>
        </row>
        <row r="33">
          <cell r="A33" t="str">
            <v>Gerenciamento de Ativos de TI</v>
          </cell>
          <cell r="B33" t="str">
            <v>Gerenciamento de Incidentes</v>
          </cell>
          <cell r="C33" t="str">
            <v>#57</v>
          </cell>
        </row>
        <row r="34">
          <cell r="A34" t="str">
            <v>Gerenciamento de Conhecimento</v>
          </cell>
          <cell r="B34" t="str">
            <v>Análise de Negócio, Gerenciamento de Requisições de Serviço</v>
          </cell>
          <cell r="C34" t="str">
            <v>#62</v>
          </cell>
        </row>
        <row r="35">
          <cell r="A35" t="str">
            <v>Gerenciamento Financeiro de Serviços</v>
          </cell>
          <cell r="B35" t="str">
            <v>Melhoria Contínua</v>
          </cell>
          <cell r="C35" t="str">
            <v>#77</v>
          </cell>
        </row>
        <row r="36">
          <cell r="A36" t="str">
            <v>Gerenciamento de Incidentes</v>
          </cell>
          <cell r="B36" t="str">
            <v>Gerenciamento de Disponibilidade, Gerenciamento de Problemas, Gerenciamento de Monitoramento e Eventos</v>
          </cell>
          <cell r="C36" t="str">
            <v>#87</v>
          </cell>
        </row>
        <row r="37">
          <cell r="A37" t="str">
            <v>Gerenciamento Financeiro de Serviços</v>
          </cell>
          <cell r="B37" t="str">
            <v>Gerenciamento de Portfólio, Melhoria Contínua</v>
          </cell>
          <cell r="C37" t="str">
            <v>#98</v>
          </cell>
        </row>
        <row r="38">
          <cell r="A38" t="str">
            <v>Gerenciamento de Incidentes</v>
          </cell>
          <cell r="B38" t="str">
            <v>Gerenciamento de Problemas, Gerenciamento de Ativos de TI, Gerenciamento de Monitoramento e Eventos</v>
          </cell>
          <cell r="C38" t="str">
            <v>#104</v>
          </cell>
        </row>
        <row r="39">
          <cell r="A39" t="str">
            <v>Gerenciamento de Problemas</v>
          </cell>
          <cell r="B39" t="str">
            <v>Gerenciamento de Incidentes, Gerenciamento de Conhecimento</v>
          </cell>
          <cell r="C39" t="str">
            <v>#110</v>
          </cell>
        </row>
        <row r="40">
          <cell r="A40" t="str">
            <v>Gerenciamento Financeiro de Serviços</v>
          </cell>
          <cell r="B40" t="str">
            <v>Melhoria Contínua</v>
          </cell>
          <cell r="C40" t="str">
            <v>#111</v>
          </cell>
        </row>
        <row r="41">
          <cell r="A41" t="str">
            <v>Gerenciamento de Problemas</v>
          </cell>
          <cell r="B41" t="str">
            <v>Gerenciamento de Incidentes, Gerenciamento de Ativos de TI, Gerenciamento de Conhecimento</v>
          </cell>
          <cell r="C41" t="str">
            <v>#123</v>
          </cell>
        </row>
        <row r="42">
          <cell r="A42" t="str">
            <v>Melhoria Contínua</v>
          </cell>
          <cell r="B42" t="str">
            <v>Gerenciamento Financeiro de Serviços, Análise de Negócio</v>
          </cell>
          <cell r="C42" t="str">
            <v>#125</v>
          </cell>
        </row>
        <row r="43">
          <cell r="A43" t="str">
            <v>Gerenciamento de Incidentes</v>
          </cell>
          <cell r="B43" t="str">
            <v>Gerenciamento de Problemas, Gerenciamento de Conhecimento</v>
          </cell>
          <cell r="C43" t="str">
            <v>#151</v>
          </cell>
        </row>
        <row r="44">
          <cell r="A44" t="str">
            <v>Gerenciamento de Incidentes</v>
          </cell>
          <cell r="B44" t="str">
            <v>Gerenciamento de Disponibilidade, Gerenciamento de Problemas, Gerenciamento de Monitoramento e Eventos</v>
          </cell>
          <cell r="C44" t="str">
            <v>#162</v>
          </cell>
        </row>
        <row r="45">
          <cell r="A45" t="str">
            <v>Gerenciamento de Problemas</v>
          </cell>
          <cell r="B45" t="str">
            <v>Gerenciamento de Incidentes, Gerenciamento de Ativos de TI</v>
          </cell>
          <cell r="C45" t="str">
            <v>#182</v>
          </cell>
        </row>
        <row r="46">
          <cell r="A46" t="str">
            <v>Gerenciamento Financeiro de Serviços</v>
          </cell>
          <cell r="B46" t="str">
            <v>Melhoria Contínua</v>
          </cell>
          <cell r="C46" t="str">
            <v>#183</v>
          </cell>
        </row>
        <row r="47">
          <cell r="A47" t="str">
            <v>Gerenciamento de Requisições de Serviço</v>
          </cell>
          <cell r="B47" t="str">
            <v>Gerenciamento de Conhecimento</v>
          </cell>
          <cell r="C47" t="str">
            <v>#189</v>
          </cell>
        </row>
        <row r="48">
          <cell r="A48" t="str">
            <v>Gerenciamento de Problemas</v>
          </cell>
          <cell r="B48" t="str">
            <v>Gerenciamento de Incidentes, Gerenciamento de Ativos de TI, Gerenciamento de Conhecimento</v>
          </cell>
          <cell r="C48" t="str">
            <v>#194</v>
          </cell>
        </row>
        <row r="49">
          <cell r="A49" t="str">
            <v>Gerenciamento de Implantação de Software</v>
          </cell>
          <cell r="B49" t="str">
            <v>Gerenciamento de Incidentes, Gerenciamento de Conhecimento</v>
          </cell>
          <cell r="C49" t="str">
            <v>#201</v>
          </cell>
        </row>
        <row r="50">
          <cell r="A50" t="str">
            <v>Gerenciamento Financeiro de Serviços</v>
          </cell>
          <cell r="B50" t="str">
            <v>Melhoria Contínua</v>
          </cell>
          <cell r="C50" t="str">
            <v>#203</v>
          </cell>
        </row>
        <row r="51">
          <cell r="A51" t="str">
            <v>Gerenciamento de Requisições de Serviço</v>
          </cell>
          <cell r="B51" t="str">
            <v>Gerenciamento de Conhecimento</v>
          </cell>
          <cell r="C51" t="str">
            <v>#205</v>
          </cell>
        </row>
        <row r="52">
          <cell r="A52" t="str">
            <v>Gerenciamento de Portfólio</v>
          </cell>
          <cell r="B52" t="str">
            <v>Análise de Negócio, Melhoria Contínua</v>
          </cell>
          <cell r="C52" t="str">
            <v>#219</v>
          </cell>
        </row>
        <row r="53">
          <cell r="A53" t="str">
            <v>Gerenciamento de Mudanças</v>
          </cell>
          <cell r="B53" t="str">
            <v>Análise de Negócio, Gerenciamento de Requisições de Serviço</v>
          </cell>
          <cell r="C53" t="str">
            <v>#223</v>
          </cell>
        </row>
        <row r="54">
          <cell r="A54" t="str">
            <v>Gerenciamento de Requisições de Serviço</v>
          </cell>
          <cell r="B54" t="str">
            <v>Gerenciamento de Conhecimento</v>
          </cell>
          <cell r="C54" t="str">
            <v>#225</v>
          </cell>
        </row>
        <row r="55">
          <cell r="A55" t="str">
            <v>Gerenciamento de Requisições de Serviço</v>
          </cell>
          <cell r="B55" t="str">
            <v>Gerenciamento de Conhecimento</v>
          </cell>
          <cell r="C55" t="str">
            <v>#228</v>
          </cell>
        </row>
        <row r="56">
          <cell r="A56" t="str">
            <v>Gerenciamento de Acessos</v>
          </cell>
          <cell r="B56" t="str">
            <v>Gerenciamento de Incidentes</v>
          </cell>
          <cell r="C56" t="str">
            <v>#229</v>
          </cell>
        </row>
        <row r="57">
          <cell r="A57" t="str">
            <v>Gerenciamento de Requisições de Serviço</v>
          </cell>
          <cell r="B57" t="str">
            <v>Gerenciamento de Conhecimento</v>
          </cell>
          <cell r="C57" t="str">
            <v>#230</v>
          </cell>
        </row>
        <row r="58">
          <cell r="A58" t="str">
            <v>Gerenciamento de Problemas</v>
          </cell>
          <cell r="B58" t="str">
            <v>Gerenciamento de Incidentes, Gerenciamento de Conhecimento, Gerenciamento de Ativos de TI</v>
          </cell>
          <cell r="C58" t="str">
            <v>#234</v>
          </cell>
        </row>
        <row r="59">
          <cell r="A59" t="str">
            <v>Gerenciamento de Problemas</v>
          </cell>
          <cell r="B59" t="str">
            <v>Gerenciamento de Incidentes, Gerenciamento de Conhecimento</v>
          </cell>
          <cell r="C59" t="str">
            <v>#240</v>
          </cell>
        </row>
        <row r="60">
          <cell r="A60" t="str">
            <v>Gerenciamento de Requisições de Serviço</v>
          </cell>
          <cell r="B60" t="str">
            <v>Gerenciamento de Conhecimento</v>
          </cell>
          <cell r="C60" t="str">
            <v>#252</v>
          </cell>
        </row>
        <row r="61">
          <cell r="A61" t="str">
            <v>Gerenciamento de Ativos de TI</v>
          </cell>
          <cell r="B61" t="str">
            <v>Gerenciamento de Incidentes, Gerenciamento de Requisições de Serviço</v>
          </cell>
          <cell r="C61" t="str">
            <v>#257</v>
          </cell>
        </row>
        <row r="62">
          <cell r="A62" t="str">
            <v>Análise de Negócio</v>
          </cell>
          <cell r="B62" t="str">
            <v>Gerenciamento do Conhecimento</v>
          </cell>
          <cell r="C62" t="str">
            <v>#62</v>
          </cell>
        </row>
        <row r="63">
          <cell r="A63" t="str">
            <v>Gerenciamento Financeiro de Serviços</v>
          </cell>
          <cell r="B63" t="str">
            <v>Gerenciamento de Ativos de TI</v>
          </cell>
          <cell r="C63" t="str">
            <v>#77</v>
          </cell>
        </row>
        <row r="64">
          <cell r="A64" t="str">
            <v>Gerenciamento de Disponibilidade</v>
          </cell>
          <cell r="B64" t="str">
            <v>Monitoramento e Gerenciamento de Eventos</v>
          </cell>
          <cell r="C64" t="str">
            <v>#87</v>
          </cell>
        </row>
        <row r="65">
          <cell r="A65" t="str">
            <v>Gerenciamento Financeiro de Serviços</v>
          </cell>
          <cell r="B65" t="str">
            <v>Melhoria Contínua</v>
          </cell>
          <cell r="C65" t="str">
            <v>#98</v>
          </cell>
        </row>
        <row r="66">
          <cell r="A66" t="str">
            <v>Gerenciamento de Disponibilidade</v>
          </cell>
          <cell r="B66" t="str">
            <v>Gerenciamento de Ativos de TI</v>
          </cell>
          <cell r="C66" t="str">
            <v>#104</v>
          </cell>
        </row>
        <row r="67">
          <cell r="A67" t="str">
            <v>Gerenciamento de Problemas</v>
          </cell>
          <cell r="B67" t="str">
            <v>Monitoramento e Gerenciamento de Eventos</v>
          </cell>
          <cell r="C67" t="str">
            <v>#110</v>
          </cell>
        </row>
        <row r="68">
          <cell r="A68" t="str">
            <v>Gerenciamento Financeiro de Serviços</v>
          </cell>
          <cell r="B68" t="str">
            <v>Gerenciamento de Ativos de TI</v>
          </cell>
          <cell r="C68" t="str">
            <v>#111</v>
          </cell>
        </row>
        <row r="69">
          <cell r="A69" t="str">
            <v>Gerenciamento de Problemas</v>
          </cell>
          <cell r="B69" t="str">
            <v>Gerenciamento de Capacidade e Performance</v>
          </cell>
          <cell r="C69" t="str">
            <v>#123</v>
          </cell>
        </row>
        <row r="70">
          <cell r="A70" t="str">
            <v>Melhoria Contínua</v>
          </cell>
          <cell r="B70" t="str">
            <v>Gerenciamento de Capacidade e Performance</v>
          </cell>
          <cell r="C70" t="str">
            <v>#125</v>
          </cell>
        </row>
        <row r="71">
          <cell r="A71" t="str">
            <v>Gerenciamento de Incidentes</v>
          </cell>
          <cell r="B71" t="str">
            <v>Gerenciamento de Problemas</v>
          </cell>
          <cell r="C71" t="str">
            <v>#151</v>
          </cell>
        </row>
        <row r="72">
          <cell r="A72" t="str">
            <v>Gerenciamento de Incidentes</v>
          </cell>
          <cell r="B72" t="str">
            <v>Gerenciamento de Disponibilidade</v>
          </cell>
          <cell r="C72" t="str">
            <v>#162</v>
          </cell>
        </row>
        <row r="73">
          <cell r="A73" t="str">
            <v>Gerenciamento de Ativos de TI</v>
          </cell>
          <cell r="B73" t="str">
            <v>Gerenciamento de Incidentes</v>
          </cell>
          <cell r="C73" t="str">
            <v>#182</v>
          </cell>
        </row>
        <row r="74">
          <cell r="A74" t="str">
            <v>Gerenciamento Financeiro de Serviços</v>
          </cell>
          <cell r="B74" t="str">
            <v>Gerenciamento de Ativos de TI</v>
          </cell>
          <cell r="C74" t="str">
            <v>#183</v>
          </cell>
        </row>
        <row r="75">
          <cell r="A75" t="str">
            <v>Gerenciamento de Ativos de TI</v>
          </cell>
          <cell r="B75" t="str">
            <v>Gerenciamento de Incidentes</v>
          </cell>
          <cell r="C75" t="str">
            <v>#189</v>
          </cell>
        </row>
        <row r="76">
          <cell r="A76" t="str">
            <v>Gerenciamento de Ativos de TI</v>
          </cell>
          <cell r="B76" t="str">
            <v>Gerenciamento de Incidentes</v>
          </cell>
          <cell r="C76" t="str">
            <v>#194</v>
          </cell>
        </row>
        <row r="77">
          <cell r="A77" t="str">
            <v>Gerenciamento de Liberação</v>
          </cell>
          <cell r="B77" t="str">
            <v>Gerenciamento de Incidentes</v>
          </cell>
          <cell r="C77" t="str">
            <v>#201</v>
          </cell>
        </row>
        <row r="78">
          <cell r="A78" t="str">
            <v>Gerenciamento Financeiro de Serviços</v>
          </cell>
          <cell r="B78" t="str">
            <v>Gerenciamento de Ativos de TI</v>
          </cell>
          <cell r="C78" t="str">
            <v>#203</v>
          </cell>
        </row>
        <row r="79">
          <cell r="A79" t="str">
            <v>Gerenciamento do Conhecimento</v>
          </cell>
          <cell r="B79" t="str">
            <v>Central de Serviço</v>
          </cell>
          <cell r="C79" t="str">
            <v>#205</v>
          </cell>
        </row>
        <row r="80">
          <cell r="A80" t="str">
            <v>Gerenciamento de Capacidade e Performance</v>
          </cell>
          <cell r="B80" t="str">
            <v>Melhoria Contínua</v>
          </cell>
          <cell r="C80" t="str">
            <v>#219</v>
          </cell>
        </row>
        <row r="81">
          <cell r="A81" t="str">
            <v>Análise de Negócio</v>
          </cell>
          <cell r="B81" t="str">
            <v>Melhoria Contínua</v>
          </cell>
          <cell r="C81" t="str">
            <v>#223</v>
          </cell>
        </row>
        <row r="82">
          <cell r="A82" t="str">
            <v>Gerenciamento do Conhecimento</v>
          </cell>
          <cell r="B82" t="str">
            <v>Central de Serviço</v>
          </cell>
          <cell r="C82" t="str">
            <v>#225</v>
          </cell>
        </row>
        <row r="83">
          <cell r="A83" t="str">
            <v>Gerenciamento do Conhecimento</v>
          </cell>
          <cell r="B83" t="str">
            <v>Central de Serviço</v>
          </cell>
          <cell r="C83" t="str">
            <v>#228</v>
          </cell>
        </row>
        <row r="84">
          <cell r="A84" t="str">
            <v>Gerenciamento de Acesso</v>
          </cell>
          <cell r="B84" t="str">
            <v>Gerenciamento de Incidentes</v>
          </cell>
          <cell r="C84" t="str">
            <v>#229</v>
          </cell>
        </row>
        <row r="85">
          <cell r="A85" t="str">
            <v>Não se aplica</v>
          </cell>
          <cell r="B85" t="str">
            <v>Não se aplica</v>
          </cell>
          <cell r="C85" t="str">
            <v>#230</v>
          </cell>
        </row>
        <row r="86">
          <cell r="A86" t="str">
            <v>Gerenciamento de Problemas</v>
          </cell>
          <cell r="B86" t="str">
            <v>Gerenciamento de Ativos de TI</v>
          </cell>
          <cell r="C86" t="str">
            <v>#234</v>
          </cell>
        </row>
        <row r="87">
          <cell r="A87" t="str">
            <v>Gerenciamento de Problemas</v>
          </cell>
          <cell r="B87" t="str">
            <v>Gerenciamento de Ativos de TI</v>
          </cell>
          <cell r="C87" t="str">
            <v>#240</v>
          </cell>
        </row>
        <row r="88">
          <cell r="A88" t="str">
            <v>Não se aplica</v>
          </cell>
          <cell r="B88" t="str">
            <v>Não se aplica</v>
          </cell>
          <cell r="C88" t="str">
            <v>#252</v>
          </cell>
        </row>
        <row r="89">
          <cell r="A89" t="str">
            <v>Gerenciamento de Ativos de TI</v>
          </cell>
          <cell r="B89" t="str">
            <v>Gerenciamento de Problemas</v>
          </cell>
          <cell r="C89" t="str">
            <v>#257</v>
          </cell>
        </row>
        <row r="90">
          <cell r="A90" t="str">
            <v>Gerenciamento de Disponibilidade</v>
          </cell>
          <cell r="B90" t="str">
            <v>Gerenciamento de Problemas</v>
          </cell>
          <cell r="C90" t="str">
            <v>#264</v>
          </cell>
        </row>
        <row r="91">
          <cell r="A91" t="str">
            <v>Gerenciamento de Problemas</v>
          </cell>
          <cell r="B91" t="str">
            <v>Gerenciamento de Incidentes</v>
          </cell>
          <cell r="C91" t="str">
            <v>#279</v>
          </cell>
        </row>
        <row r="92">
          <cell r="A92" t="str">
            <v>Gerenciamento de Problemas</v>
          </cell>
          <cell r="B92" t="str">
            <v>Gerenciamento de Disponibilidade, Gerenciamento de Ativos de TI</v>
          </cell>
          <cell r="C92" t="str">
            <v>#123</v>
          </cell>
        </row>
        <row r="93">
          <cell r="A93" t="str">
            <v>Melhoria Contínua</v>
          </cell>
          <cell r="B93" t="str">
            <v>Gerenciamento Financeiro de Serviços</v>
          </cell>
          <cell r="C93" t="str">
            <v>#125</v>
          </cell>
        </row>
        <row r="94">
          <cell r="A94" t="str">
            <v>Gerenciamento de Incidentes</v>
          </cell>
          <cell r="B94" t="str">
            <v>Central de Serviço</v>
          </cell>
          <cell r="C94" t="str">
            <v>#151</v>
          </cell>
        </row>
        <row r="95">
          <cell r="A95" t="str">
            <v>Gerenciamento de Incidentes</v>
          </cell>
          <cell r="B95" t="str">
            <v>Gerenciamento de Nível de Serviço</v>
          </cell>
          <cell r="C95" t="str">
            <v>#162</v>
          </cell>
        </row>
        <row r="96">
          <cell r="A96" t="str">
            <v>Gerenciamento de Incidentes</v>
          </cell>
          <cell r="B96" t="str">
            <v>Central de Serviço</v>
          </cell>
          <cell r="C96" t="str">
            <v>#182</v>
          </cell>
        </row>
        <row r="97">
          <cell r="A97" t="str">
            <v>Gerenciamento de Requisições de Serviço</v>
          </cell>
          <cell r="B97" t="str">
            <v>Gerenciamento Financeiro de Serviços</v>
          </cell>
          <cell r="C97" t="str">
            <v>#183</v>
          </cell>
        </row>
        <row r="98">
          <cell r="A98" t="str">
            <v>Gerenciamento de Incidentes</v>
          </cell>
          <cell r="B98" t="str">
            <v>Central de Serviço</v>
          </cell>
          <cell r="C98" t="str">
            <v>#189</v>
          </cell>
        </row>
        <row r="99">
          <cell r="A99" t="str">
            <v>Gerenciamento de Incidentes</v>
          </cell>
          <cell r="B99" t="str">
            <v>Gerenciamento de Ativos de TI</v>
          </cell>
          <cell r="C99" t="str">
            <v>#194</v>
          </cell>
        </row>
        <row r="100">
          <cell r="A100" t="str">
            <v>Gerenciamento de Incidentes</v>
          </cell>
          <cell r="B100" t="str">
            <v>Central de Serviço</v>
          </cell>
          <cell r="C100" t="str">
            <v>#201</v>
          </cell>
        </row>
        <row r="101">
          <cell r="A101" t="str">
            <v>Gerenciamento de Requisições de Serviço</v>
          </cell>
          <cell r="B101" t="str">
            <v>Gerenciamento Financeiro de Serviços</v>
          </cell>
          <cell r="C101" t="str">
            <v>#203</v>
          </cell>
        </row>
        <row r="102">
          <cell r="A102" t="str">
            <v>Gerenciamento de Requisições de Serviço</v>
          </cell>
          <cell r="B102" t="str">
            <v>Central de Serviço</v>
          </cell>
          <cell r="C102" t="str">
            <v>#205</v>
          </cell>
        </row>
        <row r="103">
          <cell r="A103" t="str">
            <v>Melhoria Contínua</v>
          </cell>
          <cell r="B103" t="str">
            <v>Gerenciamento de Nível de Serviço</v>
          </cell>
          <cell r="C103" t="str">
            <v>#219</v>
          </cell>
        </row>
        <row r="104">
          <cell r="A104" t="str">
            <v>Gerenciamento de Mudanças</v>
          </cell>
          <cell r="B104" t="str">
            <v>Melhoria Contínua</v>
          </cell>
          <cell r="C104" t="str">
            <v>#223</v>
          </cell>
        </row>
        <row r="105">
          <cell r="A105" t="str">
            <v>Gerenciamento de Requisições de Serviço</v>
          </cell>
          <cell r="B105" t="str">
            <v>Central de Serviço</v>
          </cell>
          <cell r="C105" t="str">
            <v>#225</v>
          </cell>
        </row>
        <row r="106">
          <cell r="A106" t="str">
            <v>Gerenciamento de Requisições de Serviço</v>
          </cell>
          <cell r="B106" t="str">
            <v>Central de Serviço</v>
          </cell>
          <cell r="C106" t="str">
            <v>#228</v>
          </cell>
        </row>
        <row r="107">
          <cell r="A107" t="str">
            <v>Gerenciamento de Incidentes</v>
          </cell>
          <cell r="B107" t="str">
            <v>Gerenciamento de Acesso</v>
          </cell>
          <cell r="C107" t="str">
            <v>#229</v>
          </cell>
        </row>
        <row r="108">
          <cell r="A108" t="str">
            <v>Gerenciamento de Requisições de Serviço</v>
          </cell>
          <cell r="B108" t="str">
            <v>Central de Serviço</v>
          </cell>
          <cell r="C108" t="str">
            <v>#230</v>
          </cell>
        </row>
        <row r="109">
          <cell r="A109" t="str">
            <v>Gerenciamento de Problemas</v>
          </cell>
          <cell r="B109" t="str">
            <v>Gerenciamento de Ativos de TI</v>
          </cell>
          <cell r="C109" t="str">
            <v>#234</v>
          </cell>
        </row>
        <row r="110">
          <cell r="A110" t="str">
            <v>Gerenciamento de Problemas</v>
          </cell>
          <cell r="B110" t="str">
            <v>Gerenciamento de Incidentes, Gerenciamento de Ativos de TI</v>
          </cell>
          <cell r="C110" t="str">
            <v>#240</v>
          </cell>
        </row>
        <row r="111">
          <cell r="A111" t="str">
            <v>Gerenciamento de Requisições de Serviço</v>
          </cell>
          <cell r="B111" t="str">
            <v>Central de Serviço</v>
          </cell>
          <cell r="C111" t="str">
            <v>#252</v>
          </cell>
        </row>
        <row r="112">
          <cell r="A112" t="str">
            <v>Gerenciamento de Requisições de Serviço</v>
          </cell>
          <cell r="B112" t="str">
            <v>Gerenciamento de Ativos de TI, Gerenciamento de Problemas</v>
          </cell>
          <cell r="C112" t="str">
            <v>#257</v>
          </cell>
        </row>
        <row r="113">
          <cell r="A113" t="str">
            <v>Gerenciamento de Problemas</v>
          </cell>
          <cell r="B113" t="str">
            <v>Gerenciamento de Incidentes, Gerenciamento de Disponibilidade</v>
          </cell>
          <cell r="C113" t="str">
            <v>#264</v>
          </cell>
        </row>
        <row r="114">
          <cell r="A114" t="str">
            <v>Gerenciamento de Problemas</v>
          </cell>
          <cell r="B114" t="str">
            <v>Gerenciamento de Incidentes</v>
          </cell>
          <cell r="C114" t="str">
            <v>#279</v>
          </cell>
        </row>
        <row r="115">
          <cell r="A115" t="str">
            <v>Gerenciamento de Problemas</v>
          </cell>
          <cell r="B115" t="str">
            <v>Gerenciamento de Incidentes</v>
          </cell>
          <cell r="C115" t="str">
            <v>#294</v>
          </cell>
        </row>
        <row r="116">
          <cell r="A116" t="str">
            <v>Gerenciamento de Requisições de Serviço</v>
          </cell>
          <cell r="B116" t="str">
            <v>Gerenciamento de Ativos de TI</v>
          </cell>
          <cell r="C116" t="str">
            <v>#299</v>
          </cell>
        </row>
        <row r="117">
          <cell r="A117" t="str">
            <v>Gerenciamento de Problemas</v>
          </cell>
          <cell r="B117" t="str">
            <v>Gerenciamento de Incidentes, Gerenciamento de Disponibilidade</v>
          </cell>
          <cell r="C117" t="str">
            <v>#301</v>
          </cell>
        </row>
        <row r="118">
          <cell r="A118" t="str">
            <v>Gerenciamento de Requisições de Serviço</v>
          </cell>
          <cell r="B118" t="str">
            <v>Gerenciamento de Problemas, Central de Serviço</v>
          </cell>
          <cell r="C118" t="str">
            <v>#305</v>
          </cell>
        </row>
        <row r="119">
          <cell r="A119" t="str">
            <v>Gerenciamento de Requisições de Serviço</v>
          </cell>
          <cell r="B119" t="str">
            <v>Gerenciamento Financeiro de Serviços</v>
          </cell>
          <cell r="C119" t="str">
            <v>#331</v>
          </cell>
        </row>
        <row r="120">
          <cell r="A120" t="str">
            <v>Gerenciamento de Problemas</v>
          </cell>
          <cell r="B120" t="str">
            <v>Gerenciamento de Incidentes, Gerenciamento de Ativos de TI</v>
          </cell>
          <cell r="C120" t="str">
            <v>#350</v>
          </cell>
        </row>
        <row r="121">
          <cell r="A121" t="str">
            <v>Gerenciamento de Requisições de Serviço</v>
          </cell>
          <cell r="B121" t="str">
            <v>Melhoria Contínua, Central de Serviço</v>
          </cell>
          <cell r="C121" t="str">
            <v>#356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0"/>
  <sheetViews>
    <sheetView workbookViewId="0">
      <selection activeCell="A1" sqref="A1"/>
    </sheetView>
  </sheetViews>
  <sheetFormatPr baseColWidth="8" defaultRowHeight="15"/>
  <sheetData>
    <row r="1">
      <c r="A1" t="inlineStr">
        <is>
          <t>Id</t>
        </is>
      </c>
      <c r="B1" t="inlineStr">
        <is>
          <t>assunto</t>
        </is>
      </c>
      <c r="C1" t="inlineStr">
        <is>
          <t>Prática Principal</t>
        </is>
      </c>
      <c r="D1" t="inlineStr">
        <is>
          <t>Prática Auxiliar</t>
        </is>
      </c>
      <c r="E1" t="inlineStr">
        <is>
          <t>Prática Principal  - chat stream</t>
        </is>
      </c>
      <c r="F1" t="inlineStr">
        <is>
          <t>Prática Auxiliar  - chat stream</t>
        </is>
      </c>
      <c r="G1" t="inlineStr">
        <is>
          <t>avaliacao respostas - chat stream</t>
        </is>
      </c>
      <c r="H1" t="inlineStr">
        <is>
          <t xml:space="preserve">Prática Principal  - chat </t>
        </is>
      </c>
      <c r="I1" t="inlineStr">
        <is>
          <t xml:space="preserve">Prática Auxiliar  - chat </t>
        </is>
      </c>
      <c r="J1" t="inlineStr">
        <is>
          <t>avaliacao respostas - chat</t>
        </is>
      </c>
      <c r="K1" t="inlineStr">
        <is>
          <t>Prática Principal  -rag</t>
        </is>
      </c>
      <c r="L1" t="inlineStr">
        <is>
          <t>Prática Auxiliar  - rag</t>
        </is>
      </c>
      <c r="M1" t="inlineStr">
        <is>
          <t>avaliacao respostas - rag</t>
        </is>
      </c>
      <c r="N1" t="inlineStr">
        <is>
          <t>Prática Principal  -rag_adaptativo</t>
        </is>
      </c>
      <c r="O1" t="inlineStr">
        <is>
          <t>Prática Auxiliar  - rag_adaptativo</t>
        </is>
      </c>
      <c r="P1" t="inlineStr">
        <is>
          <t>avaliacao respostas - rag adaptativo</t>
        </is>
      </c>
      <c r="Q1" t="inlineStr">
        <is>
          <t>Prática Principal  -plan_exec</t>
        </is>
      </c>
      <c r="R1" t="inlineStr">
        <is>
          <t>Prática Auxiliar  - plan_exec</t>
        </is>
      </c>
      <c r="S1" t="inlineStr">
        <is>
          <t>avaliacao respostas - plan _exec</t>
        </is>
      </c>
    </row>
    <row r="2">
      <c r="A2" t="inlineStr">
        <is>
          <t>3</t>
        </is>
      </c>
      <c r="B2" t="inlineStr">
        <is>
          <t>Erro na Autocompletação de Código do IntelliJ IDEA</t>
        </is>
      </c>
      <c r="C2" t="inlineStr">
        <is>
          <t>Gerenciamento de Incidentes</t>
        </is>
      </c>
      <c r="D2" t="inlineStr">
        <is>
          <t>Gerenciamento de Problemas</t>
        </is>
      </c>
      <c r="E2" t="inlineStr">
        <is>
          <t>Gerenciamento de Incidentes</t>
        </is>
      </c>
      <c r="F2" t="inlineStr">
        <is>
          <t>Gerenciamento de Problemas</t>
        </is>
      </c>
      <c r="G2" t="inlineStr">
        <is>
          <t>ACERTOU</t>
        </is>
      </c>
      <c r="H2" t="inlineStr">
        <is>
          <t>Gerenciamento de Incidentes</t>
        </is>
      </c>
      <c r="I2" t="inlineStr">
        <is>
          <t>Gerenciamento de Problemas</t>
        </is>
      </c>
      <c r="J2" t="inlineStr">
        <is>
          <t>ACERTOU</t>
        </is>
      </c>
      <c r="K2" t="inlineStr">
        <is>
          <t>Gerenciamento de Problemas</t>
        </is>
      </c>
      <c r="L2" t="inlineStr">
        <is>
          <t>Gerenciamento de Liberação</t>
        </is>
      </c>
      <c r="M2" t="inlineStr">
        <is>
          <t>Divergente</t>
        </is>
      </c>
      <c r="N2" t="inlineStr">
        <is>
          <t>Gerenciamento de Problemas</t>
        </is>
      </c>
      <c r="O2" t="inlineStr">
        <is>
          <t>Gerenciamento de Incidentes</t>
        </is>
      </c>
      <c r="P2" t="inlineStr">
        <is>
          <t>Divergente</t>
        </is>
      </c>
    </row>
    <row r="3">
      <c r="A3" t="inlineStr">
        <is>
          <t>25</t>
        </is>
      </c>
      <c r="B3" t="inlineStr">
        <is>
          <t>Problemas intermitentes de exibição após atualização de firmware</t>
        </is>
      </c>
      <c r="C3" t="inlineStr">
        <is>
          <t>Gerenciamento de Incidentes</t>
        </is>
      </c>
      <c r="D3" t="inlineStr">
        <is>
          <t>Gerenciamento de Mudanças</t>
        </is>
      </c>
      <c r="E3" t="inlineStr">
        <is>
          <t>Gerenciamento de Incidentes</t>
        </is>
      </c>
      <c r="F3" t="inlineStr">
        <is>
          <t>Gerenciamento de Mudanças</t>
        </is>
      </c>
      <c r="G3" t="inlineStr">
        <is>
          <t>PARCIALMENTE</t>
        </is>
      </c>
      <c r="H3" t="inlineStr">
        <is>
          <t>Gerenciamento de Incidentes</t>
        </is>
      </c>
      <c r="I3" t="inlineStr">
        <is>
          <t>Gerenciamento de Mudanças</t>
        </is>
      </c>
      <c r="J3" t="inlineStr">
        <is>
          <t>PARCIALMENTE</t>
        </is>
      </c>
      <c r="K3" t="inlineStr">
        <is>
          <t>Habilitação de Mudança</t>
        </is>
      </c>
      <c r="L3" t="inlineStr">
        <is>
          <t>Gerenciamento de Liberação</t>
        </is>
      </c>
      <c r="M3" t="inlineStr">
        <is>
          <t>Divergente</t>
        </is>
      </c>
      <c r="N3" t="inlineStr">
        <is>
          <t>Gerenciamento de Requisição de Serviço</t>
        </is>
      </c>
      <c r="O3" t="inlineStr">
        <is>
          <t>Não se aplica</t>
        </is>
      </c>
      <c r="P3" t="inlineStr">
        <is>
          <t>Divergente</t>
        </is>
      </c>
    </row>
    <row r="4">
      <c r="A4" t="inlineStr">
        <is>
          <t>42</t>
        </is>
      </c>
      <c r="B4" t="inlineStr">
        <is>
          <t>Pedido de Assistência para Administração de Servidores</t>
        </is>
      </c>
      <c r="C4" t="inlineStr">
        <is>
          <t>Solicitação de Serviço</t>
        </is>
      </c>
      <c r="D4" t="inlineStr">
        <is>
          <t>Gerenciamento de Nível de Serviço</t>
        </is>
      </c>
      <c r="E4" t="inlineStr">
        <is>
          <t>Gerenciamento de Requisição de Serviço</t>
        </is>
      </c>
      <c r="F4" t="inlineStr">
        <is>
          <t>Gerenciamento de Relacionamento</t>
        </is>
      </c>
      <c r="G4" t="inlineStr">
        <is>
          <t>PARCIALMENTE</t>
        </is>
      </c>
      <c r="H4" t="inlineStr">
        <is>
          <t>Gerenciamento de Requisição de Serviço</t>
        </is>
      </c>
      <c r="I4" t="inlineStr">
        <is>
          <t>Gerenciamento de Relacionamento</t>
        </is>
      </c>
      <c r="J4" t="inlineStr">
        <is>
          <t>ERROU</t>
        </is>
      </c>
      <c r="K4" t="inlineStr">
        <is>
          <t>Gerenciamento de Relacionamento</t>
        </is>
      </c>
      <c r="L4" t="inlineStr">
        <is>
          <t>Gerenciamento de Requisição de Serviço</t>
        </is>
      </c>
      <c r="M4" t="inlineStr">
        <is>
          <t>Divergente</t>
        </is>
      </c>
      <c r="N4" t="inlineStr">
        <is>
          <t>Gerenciamento de Relacionamento</t>
        </is>
      </c>
      <c r="O4" t="inlineStr">
        <is>
          <t>Melhoria Contínua</t>
        </is>
      </c>
      <c r="P4" t="inlineStr">
        <is>
          <t>Divergente</t>
        </is>
      </c>
    </row>
    <row r="5">
      <c r="A5" t="inlineStr">
        <is>
          <t>57</t>
        </is>
      </c>
      <c r="B5" t="inlineStr">
        <is>
          <t>Urgente: Relato de Falha na Bateria do MacBook Air M1 Adquirido na Loja Virtual</t>
        </is>
      </c>
      <c r="C5" t="inlineStr">
        <is>
          <t>Gerenciamento de Incidentes</t>
        </is>
      </c>
      <c r="D5" t="inlineStr">
        <is>
          <t>Gerenciamento de Ativos de TI</t>
        </is>
      </c>
      <c r="E5" t="inlineStr">
        <is>
          <t>Gerenciamento de Incidentes</t>
        </is>
      </c>
      <c r="F5" t="inlineStr">
        <is>
          <t>Gerenciamento de Ativos de TI</t>
        </is>
      </c>
      <c r="G5" t="inlineStr">
        <is>
          <t>ACERTOU</t>
        </is>
      </c>
      <c r="H5" t="inlineStr">
        <is>
          <t>Gerenciamento de Incidentes</t>
        </is>
      </c>
      <c r="I5" t="inlineStr">
        <is>
          <t>Gerenciamento de Ativos de TI</t>
        </is>
      </c>
      <c r="J5" t="inlineStr">
        <is>
          <t>ACERTOU</t>
        </is>
      </c>
      <c r="K5" t="inlineStr">
        <is>
          <t>Gerenciamento de Ativos de TI</t>
        </is>
      </c>
      <c r="L5" t="inlineStr">
        <is>
          <t>Gerenciamento de Fornecedor</t>
        </is>
      </c>
      <c r="M5" t="inlineStr">
        <is>
          <t>Divergente</t>
        </is>
      </c>
      <c r="N5" t="inlineStr">
        <is>
          <t>Gerenciamento de Incidentes</t>
        </is>
      </c>
      <c r="O5" t="inlineStr">
        <is>
          <t>Gerenciamento de Ativos de TI</t>
        </is>
      </c>
      <c r="P5" t="inlineStr">
        <is>
          <t>Convergente</t>
        </is>
      </c>
    </row>
    <row r="6">
      <c r="A6" t="inlineStr">
        <is>
          <t>62</t>
        </is>
      </c>
      <c r="B6" t="inlineStr">
        <is>
          <t>Assistência Necessária para Integração do Jira Software</t>
        </is>
      </c>
      <c r="C6" t="inlineStr">
        <is>
          <t>Gerenciamento de Problemas</t>
        </is>
      </c>
      <c r="D6" t="inlineStr">
        <is>
          <t>Gerenciamento de Mudanças</t>
        </is>
      </c>
      <c r="E6" t="inlineStr">
        <is>
          <t>Gerenciamento de Configuração de Serviço</t>
        </is>
      </c>
      <c r="F6" t="inlineStr">
        <is>
          <t>Gerenciamento de Ativos de TI</t>
        </is>
      </c>
      <c r="G6" t="inlineStr">
        <is>
          <t>ERROU</t>
        </is>
      </c>
      <c r="H6" t="inlineStr">
        <is>
          <t>Gerenciamento de Configuração de Serviço</t>
        </is>
      </c>
      <c r="I6" t="inlineStr">
        <is>
          <t>Gerenciamento de Ativos de TI</t>
        </is>
      </c>
      <c r="J6" t="inlineStr">
        <is>
          <t>ERROU</t>
        </is>
      </c>
      <c r="K6" t="inlineStr">
        <is>
          <t>Gerenciamento de Configuração de Serviço</t>
        </is>
      </c>
      <c r="L6" t="inlineStr">
        <is>
          <t>Gerenciamento de Conhecimento</t>
        </is>
      </c>
      <c r="M6" t="inlineStr">
        <is>
          <t>Divergente</t>
        </is>
      </c>
      <c r="N6" t="inlineStr">
        <is>
          <t>Gerenciamento de Configuração</t>
        </is>
      </c>
      <c r="O6" t="inlineStr">
        <is>
          <t>Gerenciamento de Problemas</t>
        </is>
      </c>
      <c r="P6" t="inlineStr">
        <is>
          <t>Divergente</t>
        </is>
      </c>
    </row>
    <row r="7">
      <c r="A7" t="inlineStr">
        <is>
          <t>77</t>
        </is>
      </c>
      <c r="B7" t="inlineStr">
        <is>
          <t>Discrepância de Faturamento no Google Workspace</t>
        </is>
      </c>
      <c r="C7" t="inlineStr">
        <is>
          <t>Gerenciamento Financeiro</t>
        </is>
      </c>
      <c r="D7" t="inlineStr">
        <is>
          <t>Gerenciamento de Incidentes</t>
        </is>
      </c>
      <c r="E7" t="inlineStr">
        <is>
          <t>Gerenciamento Financeiro de Serviços</t>
        </is>
      </c>
      <c r="F7" t="inlineStr">
        <is>
          <t>Gerenciamento de Relacionamento</t>
        </is>
      </c>
      <c r="G7" t="inlineStr">
        <is>
          <t>ERROU</t>
        </is>
      </c>
      <c r="H7" t="inlineStr">
        <is>
          <t>Gerenciamento Financeiro de Serviços</t>
        </is>
      </c>
      <c r="I7" t="inlineStr">
        <is>
          <t>Gerenciamento de Relacionamento</t>
        </is>
      </c>
      <c r="J7" t="inlineStr">
        <is>
          <t>ERROU</t>
        </is>
      </c>
      <c r="K7" t="inlineStr">
        <is>
          <t>Gerenciamento Financeiro de Serviços</t>
        </is>
      </c>
      <c r="L7" t="inlineStr">
        <is>
          <t>Gerenciamento de Nível de Serviço</t>
        </is>
      </c>
      <c r="M7" t="inlineStr">
        <is>
          <t>Divergente</t>
        </is>
      </c>
      <c r="N7" t="inlineStr">
        <is>
          <t>Gerenciamento de Nível de Serviço</t>
        </is>
      </c>
      <c r="O7" t="inlineStr">
        <is>
          <t>Não se aplica</t>
        </is>
      </c>
      <c r="P7" t="inlineStr">
        <is>
          <t>Divergente</t>
        </is>
      </c>
    </row>
    <row r="8">
      <c r="A8" t="inlineStr">
        <is>
          <t>87</t>
        </is>
      </c>
      <c r="B8" t="inlineStr">
        <is>
          <t>Urgente: Problema de inatividade do Serviço de Gerenciamento da AWS</t>
        </is>
      </c>
      <c r="C8" t="inlineStr">
        <is>
          <t>Gerenciamento de Incidentes</t>
        </is>
      </c>
      <c r="D8" t="inlineStr">
        <is>
          <t>Gerenciamento de Disponibilidade</t>
        </is>
      </c>
      <c r="E8" t="inlineStr">
        <is>
          <t>Gerenciamento de Disponibilidade</t>
        </is>
      </c>
      <c r="F8" t="inlineStr">
        <is>
          <t>Gerenciamento de Continuidade de Serviço</t>
        </is>
      </c>
      <c r="G8" t="inlineStr">
        <is>
          <t>ACERTOU</t>
        </is>
      </c>
      <c r="H8" t="inlineStr">
        <is>
          <t>Gerenciamento de Disponibilidade</t>
        </is>
      </c>
      <c r="I8" t="inlineStr">
        <is>
          <t>Gerenciamento de Continuidade de Serviço</t>
        </is>
      </c>
      <c r="J8" t="inlineStr">
        <is>
          <t>ACERTOU</t>
        </is>
      </c>
      <c r="K8" t="inlineStr">
        <is>
          <t>Gerenciamento de Disponibilidade</t>
        </is>
      </c>
      <c r="L8" t="inlineStr">
        <is>
          <t>Gerenciamento de Continuidade de Serviço</t>
        </is>
      </c>
      <c r="M8" t="inlineStr">
        <is>
          <t>Divergente</t>
        </is>
      </c>
      <c r="N8" t="inlineStr">
        <is>
          <t>Gerenciamento de Incidentes</t>
        </is>
      </c>
      <c r="O8" t="inlineStr">
        <is>
          <t>Gerenciamento de Disponibilidade</t>
        </is>
      </c>
      <c r="P8" t="inlineStr">
        <is>
          <t>Convergente</t>
        </is>
      </c>
    </row>
    <row r="9">
      <c r="A9" t="inlineStr">
        <is>
          <t>98</t>
        </is>
      </c>
      <c r="B9" t="inlineStr">
        <is>
          <t>Solicitação de Soluções de Gerenciamento da AWS Eficientes em Custo</t>
        </is>
      </c>
      <c r="C9" t="inlineStr">
        <is>
          <t>Solicitação de Serviço</t>
        </is>
      </c>
      <c r="D9" t="inlineStr">
        <is>
          <t>Gerenciamento Financeiro</t>
        </is>
      </c>
      <c r="E9" t="inlineStr">
        <is>
          <t>Gerenciamento de Requisição de Serviço</t>
        </is>
      </c>
      <c r="F9" t="inlineStr">
        <is>
          <t>Gerenciamento Financeiro de Serviços</t>
        </is>
      </c>
      <c r="G9" t="inlineStr">
        <is>
          <t>ERROU</t>
        </is>
      </c>
      <c r="H9" t="inlineStr">
        <is>
          <t>Gerenciamento de Requisição de Serviço</t>
        </is>
      </c>
      <c r="I9" t="inlineStr">
        <is>
          <t>Gerenciamento Financeiro de Serviços</t>
        </is>
      </c>
      <c r="J9" t="inlineStr">
        <is>
          <t>ERROU</t>
        </is>
      </c>
      <c r="K9" t="inlineStr">
        <is>
          <t>Gerenciamento Financeiro de Serviços</t>
        </is>
      </c>
      <c r="L9" t="inlineStr">
        <is>
          <t>Gerenciamento de Capacidade e Desempenho</t>
        </is>
      </c>
      <c r="M9" t="inlineStr">
        <is>
          <t>Divergente</t>
        </is>
      </c>
      <c r="N9" t="inlineStr">
        <is>
          <t>Gerenciamento de Ativos de TI</t>
        </is>
      </c>
      <c r="O9" t="inlineStr">
        <is>
          <t>Gerenciamento Financeiro de TI</t>
        </is>
      </c>
      <c r="P9" t="inlineStr">
        <is>
          <t>Divergente</t>
        </is>
      </c>
    </row>
    <row r="10">
      <c r="A10" t="inlineStr">
        <is>
          <t>104</t>
        </is>
      </c>
      <c r="B10" t="inlineStr">
        <is>
          <t>Interrupção do Roteador Cisco</t>
        </is>
      </c>
      <c r="C10" t="inlineStr">
        <is>
          <t>Gerenciamento de Incidentes</t>
        </is>
      </c>
      <c r="D10" t="inlineStr">
        <is>
          <t>Gerenciamento de Problemas</t>
        </is>
      </c>
      <c r="E10" t="inlineStr">
        <is>
          <t>Gerenciamento de Problemas</t>
        </is>
      </c>
      <c r="F10" t="inlineStr">
        <is>
          <t>Gerenciamento de Capacidade e Desempenho</t>
        </is>
      </c>
      <c r="G10" t="inlineStr">
        <is>
          <t>ACERTOU</t>
        </is>
      </c>
      <c r="H10" t="inlineStr">
        <is>
          <t>Gerenciamento de Problemas</t>
        </is>
      </c>
      <c r="I10" t="inlineStr">
        <is>
          <t>Gerenciamento de Capacidade e Desempenho</t>
        </is>
      </c>
      <c r="J10" t="inlineStr">
        <is>
          <t>ACERTOU</t>
        </is>
      </c>
      <c r="K10" t="inlineStr">
        <is>
          <t>Gerenciamento de Disponibilidade</t>
        </is>
      </c>
      <c r="L10" t="inlineStr">
        <is>
          <t>Gerenciamento de Problemas</t>
        </is>
      </c>
      <c r="M10" t="inlineStr">
        <is>
          <t>Parcial</t>
        </is>
      </c>
      <c r="N10" t="inlineStr">
        <is>
          <t>Gerenciamento de Incidentes</t>
        </is>
      </c>
      <c r="O10" t="inlineStr">
        <is>
          <t>Gerenciamento de Disponibilidade</t>
        </is>
      </c>
      <c r="P10" t="inlineStr">
        <is>
          <t>Parcial</t>
        </is>
      </c>
    </row>
    <row r="11">
      <c r="A11" t="inlineStr">
        <is>
          <t>110</t>
        </is>
      </c>
      <c r="B11" t="inlineStr">
        <is>
          <t>Urgente: Problemas de Conectividade de Rede do Roteador Cisco ISR4331</t>
        </is>
      </c>
      <c r="C11" t="inlineStr">
        <is>
          <t>Gerenciamento de Incidentes</t>
        </is>
      </c>
      <c r="D11" t="inlineStr">
        <is>
          <t>Gerenciamento de Problemas</t>
        </is>
      </c>
      <c r="E11" t="inlineStr">
        <is>
          <t>Gerenciamento de Problemas</t>
        </is>
      </c>
      <c r="F11" t="inlineStr">
        <is>
          <t>Gerenciamento de Capacidade e Desempenho</t>
        </is>
      </c>
      <c r="G11" t="inlineStr">
        <is>
          <t>PARCIALMENTE</t>
        </is>
      </c>
      <c r="H11" t="inlineStr">
        <is>
          <t>Gerenciamento de Problemas</t>
        </is>
      </c>
      <c r="I11" t="inlineStr">
        <is>
          <t>Gerenciamento de Capacidade e Desempenho</t>
        </is>
      </c>
      <c r="J11" t="inlineStr">
        <is>
          <t>PARCIALMENTE</t>
        </is>
      </c>
      <c r="K11" t="inlineStr">
        <is>
          <t>Gerenciamento de Problemas</t>
        </is>
      </c>
      <c r="L11" t="inlineStr">
        <is>
          <t>Gerenciamento de Capacidade e Desempenho</t>
        </is>
      </c>
      <c r="M11" t="inlineStr">
        <is>
          <t>Divergente</t>
        </is>
      </c>
      <c r="N11" t="inlineStr">
        <is>
          <t>Gerenciamento de Problemas</t>
        </is>
      </c>
      <c r="O11" t="inlineStr">
        <is>
          <t>Gerenciamento de Incidentes</t>
        </is>
      </c>
      <c r="P11" t="inlineStr">
        <is>
          <t>Divergente</t>
        </is>
      </c>
    </row>
    <row r="12">
      <c r="A12" t="inlineStr">
        <is>
          <t>111</t>
        </is>
      </c>
      <c r="B12" t="inlineStr">
        <is>
          <t>Discrepância de Cobrança no Google Workspace</t>
        </is>
      </c>
      <c r="C12" t="inlineStr">
        <is>
          <t>Gerenciamento Financeiro</t>
        </is>
      </c>
      <c r="D12" t="inlineStr">
        <is>
          <t>Gerenciamento de Incidentes</t>
        </is>
      </c>
      <c r="E12" t="inlineStr">
        <is>
          <t>Gerenciamento Financeiro de Serviços</t>
        </is>
      </c>
      <c r="F12" t="inlineStr">
        <is>
          <t>Gerenciamento de Incidentes</t>
        </is>
      </c>
      <c r="G12" t="inlineStr">
        <is>
          <t>NÃO RECOMENDOU</t>
        </is>
      </c>
      <c r="H12" t="inlineStr">
        <is>
          <t>Gerenciamento Financeiro de Serviços</t>
        </is>
      </c>
      <c r="I12" t="inlineStr">
        <is>
          <t>Gerenciamento de Incidentes</t>
        </is>
      </c>
      <c r="J12" t="inlineStr">
        <is>
          <t>ERROU</t>
        </is>
      </c>
      <c r="K12" t="inlineStr">
        <is>
          <t>Gerenciamento Financeiro de Serviços</t>
        </is>
      </c>
      <c r="L12" t="inlineStr">
        <is>
          <t>Gerenciamento de Nível de Serviço</t>
        </is>
      </c>
      <c r="M12" t="inlineStr">
        <is>
          <t>Divergente</t>
        </is>
      </c>
      <c r="N12" t="inlineStr">
        <is>
          <t>Gerenciamento de Nível de Serviço</t>
        </is>
      </c>
      <c r="O12" t="inlineStr">
        <is>
          <t>Não se aplica</t>
        </is>
      </c>
      <c r="P12" t="inlineStr">
        <is>
          <t>Divergente</t>
        </is>
      </c>
    </row>
    <row r="13">
      <c r="A13" t="inlineStr">
        <is>
          <t>123</t>
        </is>
      </c>
      <c r="B13" t="inlineStr">
        <is>
          <t>Problemas de Performance de Rede com o Roteador Cisco ISR4331</t>
        </is>
      </c>
      <c r="C13" t="inlineStr">
        <is>
          <t>Gerenciamento de Incidentes</t>
        </is>
      </c>
      <c r="D13" t="inlineStr">
        <is>
          <t>Gerenciamento de Capacidade</t>
        </is>
      </c>
      <c r="E13" t="inlineStr">
        <is>
          <t>Gerenciamento de Incidentes</t>
        </is>
      </c>
      <c r="F13" t="inlineStr">
        <is>
          <t>Gerenciamento de Problemas</t>
        </is>
      </c>
      <c r="G13" t="inlineStr">
        <is>
          <t>PARCIALMENTE</t>
        </is>
      </c>
      <c r="H13" t="inlineStr">
        <is>
          <t>Gerenciamento de Incidentes</t>
        </is>
      </c>
      <c r="I13" t="inlineStr">
        <is>
          <t>Gerenciamento de Problemas</t>
        </is>
      </c>
      <c r="J13" t="inlineStr">
        <is>
          <t>ERROU</t>
        </is>
      </c>
      <c r="K13" t="inlineStr">
        <is>
          <t>Gerenciamento de Capacidade e Desempenho</t>
        </is>
      </c>
      <c r="L13" t="inlineStr">
        <is>
          <t>Gerenciamento de Problemas</t>
        </is>
      </c>
      <c r="M13" t="inlineStr">
        <is>
          <t>Divergente</t>
        </is>
      </c>
      <c r="N13" t="inlineStr">
        <is>
          <t>Gerenciamento de Problemas</t>
        </is>
      </c>
      <c r="O13" t="inlineStr">
        <is>
          <t>Gerenciamento de Disponibilidade</t>
        </is>
      </c>
      <c r="P13" t="inlineStr">
        <is>
          <t>Divergente</t>
        </is>
      </c>
    </row>
    <row r="14">
      <c r="A14" t="inlineStr">
        <is>
          <t>125</t>
        </is>
      </c>
      <c r="B14" t="inlineStr">
        <is>
          <t>Solicitação de Otimização das Instâncias da AWS</t>
        </is>
      </c>
      <c r="C14" t="inlineStr">
        <is>
          <t>Solicitação de Serviço</t>
        </is>
      </c>
      <c r="D14" t="inlineStr">
        <is>
          <t>Gerenciamento de Capacidade</t>
        </is>
      </c>
      <c r="E14" t="inlineStr">
        <is>
          <t>Gerenciamento de Requisição de Serviço</t>
        </is>
      </c>
      <c r="F14" t="inlineStr">
        <is>
          <t>Gerenciamento de Nível de Serviço</t>
        </is>
      </c>
      <c r="G14" t="inlineStr">
        <is>
          <t>ERROU</t>
        </is>
      </c>
      <c r="H14" t="inlineStr">
        <is>
          <t>Gerenciamento de Requisição de Serviço</t>
        </is>
      </c>
      <c r="I14" t="inlineStr">
        <is>
          <t>Gerenciamento de Nível de Serviço</t>
        </is>
      </c>
      <c r="J14" t="inlineStr">
        <is>
          <t>ERROU</t>
        </is>
      </c>
      <c r="K14" t="inlineStr">
        <is>
          <t>Gerenciamento de Capacidade e Desempenho</t>
        </is>
      </c>
      <c r="L14" t="inlineStr">
        <is>
          <t>Gerenciamento Financeiro de Serviços</t>
        </is>
      </c>
      <c r="M14" t="inlineStr">
        <is>
          <t>Divergente</t>
        </is>
      </c>
      <c r="N14" t="inlineStr">
        <is>
          <t>Melhoria Contínua</t>
        </is>
      </c>
      <c r="O14" t="inlineStr">
        <is>
          <t>Gerenciamento de Ativos de TI</t>
        </is>
      </c>
      <c r="P14" t="inlineStr">
        <is>
          <t>Divergente</t>
        </is>
      </c>
    </row>
    <row r="15">
      <c r="A15" t="inlineStr">
        <is>
          <t>151</t>
        </is>
      </c>
      <c r="B15" t="inlineStr">
        <is>
          <t>Assistência Imediata Necessária para Problemas com o Jira Software</t>
        </is>
      </c>
      <c r="C15" t="inlineStr">
        <is>
          <t>Gerenciamento de Incidentes</t>
        </is>
      </c>
      <c r="D15" t="inlineStr">
        <is>
          <t>Gerenciamento de Problemas</t>
        </is>
      </c>
      <c r="E15" t="inlineStr">
        <is>
          <t>Gerenciamento de Incidentes</t>
        </is>
      </c>
      <c r="F15" t="inlineStr">
        <is>
          <t>Gerenciamento de Problemas</t>
        </is>
      </c>
      <c r="G15" t="inlineStr">
        <is>
          <t>ACERTOU</t>
        </is>
      </c>
      <c r="H15" t="inlineStr">
        <is>
          <t>Gerenciamento de Incidentes</t>
        </is>
      </c>
      <c r="I15" t="inlineStr">
        <is>
          <t>Gerenciamento de Problemas</t>
        </is>
      </c>
      <c r="J15" t="inlineStr">
        <is>
          <t>PARCIALMENTE</t>
        </is>
      </c>
      <c r="K15" t="inlineStr">
        <is>
          <t>Gerenciamento de Problemas</t>
        </is>
      </c>
      <c r="L15" t="inlineStr">
        <is>
          <t>Gerenciamento de Incidentes</t>
        </is>
      </c>
      <c r="M15" t="inlineStr">
        <is>
          <t>Divergente</t>
        </is>
      </c>
      <c r="N15" t="inlineStr">
        <is>
          <t>Gerenciamento de Incidentes</t>
        </is>
      </c>
      <c r="O15" t="inlineStr">
        <is>
          <t>Gerenciamento de Problemas</t>
        </is>
      </c>
      <c r="P15" t="inlineStr">
        <is>
          <t>Convergente</t>
        </is>
      </c>
    </row>
    <row r="16">
      <c r="A16" t="inlineStr">
        <is>
          <t>162</t>
        </is>
      </c>
      <c r="B16" t="inlineStr">
        <is>
          <t>Suporte urgente da AWS necessário</t>
        </is>
      </c>
      <c r="C16" t="inlineStr">
        <is>
          <t>Gerenciamento de Incidentes</t>
        </is>
      </c>
      <c r="D16" t="inlineStr">
        <is>
          <t>Gerenciamento de Disponibilidade</t>
        </is>
      </c>
      <c r="E16" t="inlineStr">
        <is>
          <t>Gerenciamento de Incidentes</t>
        </is>
      </c>
      <c r="F16" t="inlineStr">
        <is>
          <t>Gerenciamento de Disponibilidade</t>
        </is>
      </c>
      <c r="G16" t="inlineStr">
        <is>
          <t>PARCIALMENTE</t>
        </is>
      </c>
      <c r="H16" t="inlineStr">
        <is>
          <t>Gerenciamento de Incidentes</t>
        </is>
      </c>
      <c r="I16" t="inlineStr">
        <is>
          <t>Gerenciamento de Disponibilidade</t>
        </is>
      </c>
      <c r="J16" t="inlineStr">
        <is>
          <t>PARCIALMENTE</t>
        </is>
      </c>
      <c r="K16" t="inlineStr">
        <is>
          <t>Gerenciamento de Disponibilidade</t>
        </is>
      </c>
      <c r="L16" t="inlineStr">
        <is>
          <t>Gerenciamento de Nível de Serviço</t>
        </is>
      </c>
      <c r="M16" t="inlineStr">
        <is>
          <t>Divergente</t>
        </is>
      </c>
      <c r="N16" t="inlineStr">
        <is>
          <t>Gerenciamento de Incidentes</t>
        </is>
      </c>
      <c r="O16" t="inlineStr">
        <is>
          <t>Gerenciamento de Disponibilidade</t>
        </is>
      </c>
      <c r="P16" t="inlineStr">
        <is>
          <t>Convergente</t>
        </is>
      </c>
    </row>
    <row r="17">
      <c r="A17" t="inlineStr">
        <is>
          <t>182</t>
        </is>
      </c>
      <c r="B17" t="inlineStr">
        <is>
          <t>Problema de Piscar da Tela no Dell XPS</t>
        </is>
      </c>
      <c r="C17" t="inlineStr">
        <is>
          <t>Gerenciamento de Incidentes</t>
        </is>
      </c>
      <c r="D17" t="inlineStr">
        <is>
          <t>Gerenciamento de Configuração</t>
        </is>
      </c>
      <c r="E17" t="inlineStr">
        <is>
          <t>Gerenciamento de Incidentes</t>
        </is>
      </c>
      <c r="F17" t="inlineStr">
        <is>
          <t>Gerenciamento de Problemas</t>
        </is>
      </c>
      <c r="G17" t="inlineStr">
        <is>
          <t>PARCIALMENTE</t>
        </is>
      </c>
      <c r="H17" t="inlineStr">
        <is>
          <t>Gerenciamento de Incidentes</t>
        </is>
      </c>
      <c r="I17" t="inlineStr">
        <is>
          <t>Gerenciamento de Problemas</t>
        </is>
      </c>
      <c r="J17" t="inlineStr">
        <is>
          <t>PARCIALMENTE</t>
        </is>
      </c>
      <c r="K17" t="inlineStr">
        <is>
          <t>Gerenciamento de Problemas</t>
        </is>
      </c>
      <c r="L17" t="inlineStr">
        <is>
          <t>Gerenciamento de Configuração de Serviço</t>
        </is>
      </c>
      <c r="M17" t="inlineStr">
        <is>
          <t>Divergente</t>
        </is>
      </c>
      <c r="N17" t="inlineStr">
        <is>
          <t>Gerenciamento de Problemas</t>
        </is>
      </c>
      <c r="O17" t="inlineStr">
        <is>
          <t>Gerenciamento de Incidentes</t>
        </is>
      </c>
      <c r="P17" t="inlineStr">
        <is>
          <t>Divergente</t>
        </is>
      </c>
    </row>
    <row r="18">
      <c r="A18" t="inlineStr">
        <is>
          <t>183</t>
        </is>
      </c>
      <c r="B18" t="inlineStr">
        <is>
          <t>Cobrança Incorreta para o MySQL 8.0.30 Relato da Assinatura</t>
        </is>
      </c>
      <c r="C18" t="inlineStr">
        <is>
          <t>Gerenciamento Financeiro</t>
        </is>
      </c>
      <c r="D18" t="inlineStr">
        <is>
          <t>Gerenciamento de Incidentes</t>
        </is>
      </c>
      <c r="E18" t="inlineStr">
        <is>
          <t>Gerenciamento Financeiro de Serviços</t>
        </is>
      </c>
      <c r="F18" t="inlineStr">
        <is>
          <t>Gerenciamento de Relacionamento</t>
        </is>
      </c>
      <c r="G18" t="inlineStr">
        <is>
          <t>ERROU</t>
        </is>
      </c>
      <c r="H18" t="inlineStr">
        <is>
          <t>Gerenciamento Financeiro de Serviços</t>
        </is>
      </c>
      <c r="I18" t="inlineStr">
        <is>
          <t>Gerenciamento de Relacionamento</t>
        </is>
      </c>
      <c r="J18" t="inlineStr">
        <is>
          <t>ERROU</t>
        </is>
      </c>
      <c r="K18" t="inlineStr">
        <is>
          <t>Gerenciamento Financeiro de Serviços</t>
        </is>
      </c>
      <c r="L18" t="inlineStr">
        <is>
          <t>Gerenciamento de Relacionamento</t>
        </is>
      </c>
      <c r="M18" t="inlineStr">
        <is>
          <t>Divergente</t>
        </is>
      </c>
      <c r="N18" t="inlineStr">
        <is>
          <t>Gerenciamento de Nível de Serviço</t>
        </is>
      </c>
      <c r="O18" t="inlineStr">
        <is>
          <t>Não se aplica</t>
        </is>
      </c>
      <c r="P18" t="inlineStr">
        <is>
          <t>Divergente</t>
        </is>
      </c>
    </row>
    <row r="19">
      <c r="A19" t="inlineStr">
        <is>
          <t>189</t>
        </is>
      </c>
      <c r="B19" t="inlineStr">
        <is>
          <t>Problema de Conectividade Wi-Fi</t>
        </is>
      </c>
      <c r="C19" t="inlineStr">
        <is>
          <t>Gerenciamento de Incidentes</t>
        </is>
      </c>
      <c r="D19" t="inlineStr">
        <is>
          <t>Gerenciamento de Problemas</t>
        </is>
      </c>
      <c r="E19" t="inlineStr">
        <is>
          <t>Gerenciamento de Incidentes</t>
        </is>
      </c>
      <c r="F19" t="inlineStr">
        <is>
          <t>Gerenciamento de Problemas</t>
        </is>
      </c>
      <c r="G19" t="inlineStr">
        <is>
          <t>ACERTOU</t>
        </is>
      </c>
      <c r="H19" t="inlineStr">
        <is>
          <t>Gerenciamento de Incidentes</t>
        </is>
      </c>
      <c r="I19" t="inlineStr">
        <is>
          <t>Gerenciamento de Problemas</t>
        </is>
      </c>
      <c r="J19" t="inlineStr">
        <is>
          <t>PARCIALMENTE</t>
        </is>
      </c>
      <c r="K19" t="inlineStr">
        <is>
          <t>Gerenciamento de Configuração de Serviço</t>
        </is>
      </c>
      <c r="L19" t="inlineStr">
        <is>
          <t>Gerenciamento de Conhecimento</t>
        </is>
      </c>
      <c r="M19" t="inlineStr">
        <is>
          <t>Divergente</t>
        </is>
      </c>
      <c r="N19" t="inlineStr">
        <is>
          <t>Gerenciamento de Incidentes</t>
        </is>
      </c>
      <c r="O19" t="inlineStr">
        <is>
          <t>Não se aplica</t>
        </is>
      </c>
      <c r="P19" t="inlineStr">
        <is>
          <t>Parcial</t>
        </is>
      </c>
    </row>
    <row r="20">
      <c r="A20" t="inlineStr">
        <is>
          <t>194</t>
        </is>
      </c>
      <c r="B20" t="inlineStr">
        <is>
          <t>Buscando Assistência Imediata para Problema de Ruído da Impressora HP DeskJet 3755</t>
        </is>
      </c>
      <c r="C20" t="inlineStr">
        <is>
          <t>Gerenciamento de Incidentes</t>
        </is>
      </c>
      <c r="D20" t="inlineStr">
        <is>
          <t>Gerenciamento de Ativos de TI</t>
        </is>
      </c>
      <c r="E20" t="inlineStr">
        <is>
          <t>Gerenciamento de Incidentes</t>
        </is>
      </c>
      <c r="F20" t="inlineStr">
        <is>
          <t>Gerenciamento de Problemas</t>
        </is>
      </c>
      <c r="G20" t="inlineStr">
        <is>
          <t>ACERTOU</t>
        </is>
      </c>
      <c r="H20" t="inlineStr">
        <is>
          <t>Gerenciamento de Incidentes</t>
        </is>
      </c>
      <c r="I20" t="inlineStr">
        <is>
          <t>Gerenciamento de Problemas</t>
        </is>
      </c>
      <c r="J20" t="inlineStr">
        <is>
          <t>ACERTOU</t>
        </is>
      </c>
      <c r="K20" t="inlineStr">
        <is>
          <t>Gerenciamento de Ativos de TI</t>
        </is>
      </c>
      <c r="L20" t="inlineStr">
        <is>
          <t>Gerenciamento de Fornecedor</t>
        </is>
      </c>
      <c r="M20" t="inlineStr">
        <is>
          <t>Divergente</t>
        </is>
      </c>
      <c r="N20" t="inlineStr">
        <is>
          <t>Gerenciamento de Incidentes</t>
        </is>
      </c>
      <c r="O20" t="inlineStr">
        <is>
          <t>Gerenciamento de Ativos de TI</t>
        </is>
      </c>
      <c r="P20" t="inlineStr">
        <is>
          <t>Convergente</t>
        </is>
      </c>
    </row>
    <row r="21">
      <c r="A21" t="inlineStr">
        <is>
          <t>201</t>
        </is>
      </c>
      <c r="B21" t="inlineStr">
        <is>
          <t>Solicitação de Assistência com Erro de Instalação do Office 365</t>
        </is>
      </c>
      <c r="C21" t="inlineStr">
        <is>
          <t>Gerenciamento de Incidentes</t>
        </is>
      </c>
      <c r="D21" t="inlineStr">
        <is>
          <t>Gerenciamento de Mudanças</t>
        </is>
      </c>
      <c r="E21" t="inlineStr">
        <is>
          <t>Gerenciamento de Requisição de Serviço</t>
        </is>
      </c>
      <c r="F21" t="inlineStr">
        <is>
          <t>Gerenciamento de Incidentes</t>
        </is>
      </c>
      <c r="G21" t="inlineStr">
        <is>
          <t>PARCIALMENTE</t>
        </is>
      </c>
      <c r="H21" t="inlineStr">
        <is>
          <t>Gerenciamento de Requisição de Serviço</t>
        </is>
      </c>
      <c r="I21" t="inlineStr">
        <is>
          <t>Gerenciamento de Incidentes</t>
        </is>
      </c>
      <c r="J21" t="inlineStr">
        <is>
          <t>PARCIALMENTE</t>
        </is>
      </c>
      <c r="K21" t="inlineStr">
        <is>
          <t>Gerenciamento de Liberação</t>
        </is>
      </c>
      <c r="L21" t="inlineStr">
        <is>
          <t>Gerenciamento de Configuração de Serviço</t>
        </is>
      </c>
      <c r="M21" t="inlineStr">
        <is>
          <t>Divergente</t>
        </is>
      </c>
      <c r="N21" t="inlineStr">
        <is>
          <t>Gerenciamento de Incidentes</t>
        </is>
      </c>
      <c r="O21" t="inlineStr">
        <is>
          <t>Não se aplica</t>
        </is>
      </c>
      <c r="P21" t="inlineStr">
        <is>
          <t>Parcial</t>
        </is>
      </c>
    </row>
    <row r="22">
      <c r="A22" t="inlineStr">
        <is>
          <t>203</t>
        </is>
      </c>
      <c r="B22" t="inlineStr">
        <is>
          <t>Problema com a Precisão da Transação de Software</t>
        </is>
      </c>
      <c r="C22" t="inlineStr">
        <is>
          <t>Gerenciamento Financeiro</t>
        </is>
      </c>
      <c r="D22" t="inlineStr">
        <is>
          <t>Gerenciamento de Incidentes</t>
        </is>
      </c>
      <c r="E22" t="inlineStr">
        <is>
          <t>Gerenciamento Financeiro de Serviços</t>
        </is>
      </c>
      <c r="F22" t="inlineStr">
        <is>
          <t>Gerenciamento de Relacionamento</t>
        </is>
      </c>
      <c r="G22" t="inlineStr">
        <is>
          <t>ERROU</t>
        </is>
      </c>
      <c r="H22" t="inlineStr">
        <is>
          <t>Gerenciamento Financeiro de Serviços</t>
        </is>
      </c>
      <c r="I22" t="inlineStr">
        <is>
          <t>Gerenciamento de Relacionamento</t>
        </is>
      </c>
      <c r="J22" t="inlineStr">
        <is>
          <t>ERROU</t>
        </is>
      </c>
      <c r="K22" t="inlineStr">
        <is>
          <t>Gerenciamento Financeiro de Serviços</t>
        </is>
      </c>
      <c r="L22" t="inlineStr">
        <is>
          <t>Gerenciamento de Relacionamento</t>
        </is>
      </c>
      <c r="M22" t="inlineStr">
        <is>
          <t>Divergente</t>
        </is>
      </c>
      <c r="N22" t="inlineStr">
        <is>
          <t>Gerenciamento de Nível de Serviço</t>
        </is>
      </c>
      <c r="O22" t="inlineStr">
        <is>
          <t>Não se aplica</t>
        </is>
      </c>
      <c r="P22" t="inlineStr">
        <is>
          <t>Divergente</t>
        </is>
      </c>
    </row>
    <row r="23">
      <c r="A23" t="inlineStr">
        <is>
          <t>205</t>
        </is>
      </c>
      <c r="B23" t="inlineStr">
        <is>
          <t>Assistência necessária para configuração sem fio da HP DeskJet 3755</t>
        </is>
      </c>
      <c r="C23" t="inlineStr">
        <is>
          <t>Solicitação de Serviço</t>
        </is>
      </c>
      <c r="D23" t="inlineStr">
        <is>
          <t>Gerenciamento de Incidentes</t>
        </is>
      </c>
      <c r="E23" t="inlineStr">
        <is>
          <t>Gerenciamento de Requisição de Serviço</t>
        </is>
      </c>
      <c r="F23" t="inlineStr">
        <is>
          <t>SEM RECOMENDAÇÃO</t>
        </is>
      </c>
      <c r="G23" t="inlineStr">
        <is>
          <t>ERROU</t>
        </is>
      </c>
      <c r="H23" t="inlineStr">
        <is>
          <t>Gerenciamento de Requisição de Serviço</t>
        </is>
      </c>
      <c r="I23" t="inlineStr">
        <is>
          <t>SEM RECOMENDAÇÃO</t>
        </is>
      </c>
      <c r="J23" t="inlineStr">
        <is>
          <t>ERROU</t>
        </is>
      </c>
      <c r="K23" t="inlineStr">
        <is>
          <t>Gerenciamento de Requisição de Serviço</t>
        </is>
      </c>
      <c r="L23" t="inlineStr">
        <is>
          <t>Gerenciamento de Conhecimento</t>
        </is>
      </c>
      <c r="M23" t="inlineStr">
        <is>
          <t>Divergente</t>
        </is>
      </c>
      <c r="N23" t="inlineStr">
        <is>
          <t>Gerenciamento de Incidentes</t>
        </is>
      </c>
      <c r="O23" t="inlineStr">
        <is>
          <t>Não se aplica</t>
        </is>
      </c>
      <c r="P23" t="inlineStr">
        <is>
          <t>Divergente</t>
        </is>
      </c>
    </row>
    <row r="24">
      <c r="A24" t="inlineStr">
        <is>
          <t>219</t>
        </is>
      </c>
      <c r="B24" t="inlineStr">
        <is>
          <t>Consultoria para Otimização de Desempenho de Servidores</t>
        </is>
      </c>
      <c r="C24" t="inlineStr">
        <is>
          <t>Solicitação de Serviço</t>
        </is>
      </c>
      <c r="D24" t="inlineStr">
        <is>
          <t>Gerenciamento de Capacidade</t>
        </is>
      </c>
      <c r="E24" t="inlineStr">
        <is>
          <t>Gerenciamento de Relacionamento</t>
        </is>
      </c>
      <c r="F24" t="inlineStr">
        <is>
          <t>Análise de Negócio</t>
        </is>
      </c>
      <c r="G24" t="inlineStr">
        <is>
          <t>ERROU</t>
        </is>
      </c>
      <c r="H24" t="inlineStr">
        <is>
          <t>Gerenciamento de Relacionamento</t>
        </is>
      </c>
      <c r="I24" t="inlineStr">
        <is>
          <t>Gerenciamento de Nível de Serviço</t>
        </is>
      </c>
      <c r="J24" t="inlineStr">
        <is>
          <t>ERROU</t>
        </is>
      </c>
      <c r="K24" t="inlineStr">
        <is>
          <t>Gerenciamento de Capacidade e Desempenho</t>
        </is>
      </c>
      <c r="L24" t="inlineStr">
        <is>
          <t>Gerenciamento de Relacionamento</t>
        </is>
      </c>
      <c r="M24" t="inlineStr">
        <is>
          <t>Divergente</t>
        </is>
      </c>
      <c r="N24" t="inlineStr">
        <is>
          <t>Melhoria Contínua</t>
        </is>
      </c>
      <c r="O24" t="inlineStr">
        <is>
          <t>Gerenciamento de Relacionamento</t>
        </is>
      </c>
      <c r="P24" t="inlineStr">
        <is>
          <t>Divergente</t>
        </is>
      </c>
    </row>
    <row r="25">
      <c r="A25" t="inlineStr">
        <is>
          <t>223</t>
        </is>
      </c>
      <c r="B25" t="inlineStr">
        <is>
          <t>Atualização do Fluxo de Trabalho do Jira</t>
        </is>
      </c>
      <c r="C25" t="inlineStr">
        <is>
          <t>Gerenciamento de Mudanças</t>
        </is>
      </c>
      <c r="D25" t="inlineStr">
        <is>
          <t>Gerenciamento de Problemas</t>
        </is>
      </c>
      <c r="E25" t="inlineStr">
        <is>
          <t>Gerenciamento de Requisição de Serviço</t>
        </is>
      </c>
      <c r="F25" t="inlineStr">
        <is>
          <t>Gerenciamento de Mudanças</t>
        </is>
      </c>
      <c r="G25" t="inlineStr">
        <is>
          <t>ERROU</t>
        </is>
      </c>
      <c r="H25" t="inlineStr">
        <is>
          <t>Gerenciamento de Requisição de Serviço</t>
        </is>
      </c>
      <c r="I25" t="inlineStr">
        <is>
          <t>Gerenciamento de Mudanças</t>
        </is>
      </c>
      <c r="J25" t="inlineStr">
        <is>
          <t>ERROU</t>
        </is>
      </c>
      <c r="K25" t="inlineStr">
        <is>
          <t>Habilitação de Mudança</t>
        </is>
      </c>
      <c r="L25" t="inlineStr">
        <is>
          <t>Gerenciamento de Relacionamento</t>
        </is>
      </c>
      <c r="M25" t="inlineStr">
        <is>
          <t>Divergente</t>
        </is>
      </c>
      <c r="N25" t="inlineStr">
        <is>
          <t>Gerenciamento de Configuração</t>
        </is>
      </c>
      <c r="O25" t="inlineStr">
        <is>
          <t>Gerenciamento de Mudanças</t>
        </is>
      </c>
      <c r="P25" t="inlineStr">
        <is>
          <t>Divergente</t>
        </is>
      </c>
    </row>
    <row r="26">
      <c r="A26" t="inlineStr">
        <is>
          <t>225</t>
        </is>
      </c>
      <c r="B26" t="inlineStr">
        <is>
          <t>Cliente Precisa de Modo Escuro e Extensões para Configuração do VS Code</t>
        </is>
      </c>
      <c r="C26" t="inlineStr">
        <is>
          <t>Solicitação de Serviço</t>
        </is>
      </c>
      <c r="D26" t="inlineStr">
        <is>
          <t>Gerenciamento de Configuração</t>
        </is>
      </c>
      <c r="E26" t="inlineStr">
        <is>
          <t>Gerenciamento de Requisição de Serviço</t>
        </is>
      </c>
      <c r="F26" t="inlineStr">
        <is>
          <t>SEM RECOMENDAÇÃO</t>
        </is>
      </c>
      <c r="G26" t="inlineStr">
        <is>
          <t>ERROU</t>
        </is>
      </c>
      <c r="H26" t="inlineStr">
        <is>
          <t>Gerenciamento de Requisição de Serviço</t>
        </is>
      </c>
      <c r="I26" t="inlineStr">
        <is>
          <t>SEM RECOMENDAÇÃO</t>
        </is>
      </c>
      <c r="J26" t="inlineStr">
        <is>
          <t>ERROU</t>
        </is>
      </c>
      <c r="K26" t="inlineStr">
        <is>
          <t>Gerenciamento de Requisição de Serviço</t>
        </is>
      </c>
      <c r="L26" t="inlineStr">
        <is>
          <t>Gerenciamento de Catálogo de Serviço</t>
        </is>
      </c>
      <c r="M26" t="inlineStr">
        <is>
          <t>Divergente</t>
        </is>
      </c>
      <c r="N26" t="inlineStr">
        <is>
          <t>Gerenciamento de Requisições de Serviço</t>
        </is>
      </c>
      <c r="O26" t="inlineStr">
        <is>
          <t>Não se aplica</t>
        </is>
      </c>
      <c r="P26" t="inlineStr">
        <is>
          <t>Divergente</t>
        </is>
      </c>
    </row>
    <row r="27">
      <c r="A27" t="inlineStr">
        <is>
          <t>228</t>
        </is>
      </c>
      <c r="B27" t="inlineStr">
        <is>
          <t>Assistência Necessária: Problema de Configuração Sem Fio</t>
        </is>
      </c>
      <c r="C27" t="inlineStr">
        <is>
          <t>Solicitação de Serviço</t>
        </is>
      </c>
      <c r="D27" t="inlineStr">
        <is>
          <t>Gerenciamento de Incidentes</t>
        </is>
      </c>
      <c r="E27" t="inlineStr">
        <is>
          <t>Gerenciamento de Requisição de Serviço</t>
        </is>
      </c>
      <c r="F27" t="inlineStr">
        <is>
          <t>SEM RECOMENDAÇÃO</t>
        </is>
      </c>
      <c r="G27" t="inlineStr">
        <is>
          <t>ERROU</t>
        </is>
      </c>
      <c r="H27" t="inlineStr">
        <is>
          <t>Gerenciamento de Requisição de Serviço</t>
        </is>
      </c>
      <c r="I27" t="inlineStr">
        <is>
          <t>SEM RECOMENDAÇÃO</t>
        </is>
      </c>
      <c r="J27" t="inlineStr">
        <is>
          <t>ERROU</t>
        </is>
      </c>
      <c r="K27" t="inlineStr">
        <is>
          <t>Gerenciamento de Requisição de Serviço</t>
        </is>
      </c>
      <c r="L27" t="inlineStr">
        <is>
          <t>Gerenciamento de Conhecimento</t>
        </is>
      </c>
      <c r="M27" t="inlineStr">
        <is>
          <t>Divergente</t>
        </is>
      </c>
      <c r="N27" t="inlineStr">
        <is>
          <t>Gerenciamento de Requisições de Serviço</t>
        </is>
      </c>
      <c r="O27" t="inlineStr">
        <is>
          <t>Não se aplica</t>
        </is>
      </c>
      <c r="P27" t="inlineStr">
        <is>
          <t>Divergente</t>
        </is>
      </c>
    </row>
    <row r="28">
      <c r="A28" t="inlineStr">
        <is>
          <t>229</t>
        </is>
      </c>
      <c r="B28" t="inlineStr">
        <is>
          <t>Urgente: Problema de Acesso ao Jira</t>
        </is>
      </c>
      <c r="C28" t="inlineStr">
        <is>
          <t>Gerenciamento de Incidentes</t>
        </is>
      </c>
      <c r="D28" t="inlineStr">
        <is>
          <t>Gerenciamento de Acesso</t>
        </is>
      </c>
      <c r="E28" t="inlineStr">
        <is>
          <t>Gerenciamento de Acessos</t>
        </is>
      </c>
      <c r="F28" t="inlineStr">
        <is>
          <t>Gerenciamento de Incidentes</t>
        </is>
      </c>
      <c r="G28" t="inlineStr">
        <is>
          <t>PARCIALMENTE</t>
        </is>
      </c>
      <c r="H28" t="inlineStr">
        <is>
          <t>Gerenciamento de Incidentes</t>
        </is>
      </c>
      <c r="I28" t="inlineStr">
        <is>
          <t>Gerenciamento de Acessos</t>
        </is>
      </c>
      <c r="J28" t="inlineStr">
        <is>
          <t>ACERTOU</t>
        </is>
      </c>
      <c r="K28" t="inlineStr">
        <is>
          <t>Gerenciamento de Segurança da Informação</t>
        </is>
      </c>
      <c r="L28" t="inlineStr">
        <is>
          <t>Gerenciamento de Configuração de Serviço</t>
        </is>
      </c>
      <c r="M28" t="inlineStr">
        <is>
          <t>Divergente</t>
        </is>
      </c>
      <c r="N28" t="inlineStr">
        <is>
          <t>Gerenciamento de Acesso</t>
        </is>
      </c>
      <c r="O28" t="inlineStr">
        <is>
          <t>Gerenciamento de Incidentes</t>
        </is>
      </c>
      <c r="P28" t="inlineStr">
        <is>
          <t>Divergente</t>
        </is>
      </c>
    </row>
    <row r="29">
      <c r="A29" t="inlineStr">
        <is>
          <t>230</t>
        </is>
      </c>
      <c r="B29" t="inlineStr">
        <is>
          <t>Consulta sobre o Dell XPS 13</t>
        </is>
      </c>
      <c r="C29" t="inlineStr">
        <is>
          <t>Solicitação de Serviço</t>
        </is>
      </c>
      <c r="D29" t="inlineStr">
        <is>
          <t>Gerenciamento de Ativos de TI</t>
        </is>
      </c>
      <c r="E29" t="inlineStr">
        <is>
          <t>Gerenciamento de Requisição de Serviço</t>
        </is>
      </c>
      <c r="F29" t="inlineStr">
        <is>
          <t>SEM RECOMENDAÇÃO</t>
        </is>
      </c>
      <c r="G29" t="inlineStr">
        <is>
          <t>NÃO RECOMENDOU</t>
        </is>
      </c>
      <c r="H29" t="inlineStr">
        <is>
          <t>Gerenciamento de Requisição de Serviço</t>
        </is>
      </c>
      <c r="I29" t="inlineStr">
        <is>
          <t>SEM RECOMENDAÇÃO</t>
        </is>
      </c>
      <c r="J29" t="inlineStr">
        <is>
          <t>NÃO RECOMENDOU</t>
        </is>
      </c>
      <c r="K29" t="inlineStr">
        <is>
          <t>Gerenciamento de Relacionamento</t>
        </is>
      </c>
      <c r="L29" t="inlineStr">
        <is>
          <t>Gerenciamento de Catálogo de Serviço</t>
        </is>
      </c>
      <c r="M29" t="inlineStr">
        <is>
          <t>Divergente</t>
        </is>
      </c>
      <c r="N29" t="inlineStr">
        <is>
          <t>Gerenciamento de Requisições de Serviço</t>
        </is>
      </c>
      <c r="O29" t="inlineStr">
        <is>
          <t>Não se aplica</t>
        </is>
      </c>
      <c r="P29" t="inlineStr">
        <is>
          <t>Divergente</t>
        </is>
      </c>
    </row>
    <row r="30">
      <c r="A30" t="inlineStr">
        <is>
          <t>234</t>
        </is>
      </c>
      <c r="B30" t="inlineStr">
        <is>
          <t>Suporte para Resolução de Problemas com Atolamentos de Papel Consistentes</t>
        </is>
      </c>
      <c r="C30" t="inlineStr">
        <is>
          <t>Gerenciamento de Incidentes</t>
        </is>
      </c>
      <c r="D30" t="inlineStr">
        <is>
          <t>Gerenciamento de Problemas</t>
        </is>
      </c>
      <c r="E30" t="inlineStr">
        <is>
          <t>Gerenciamento de Incidentes</t>
        </is>
      </c>
      <c r="F30" t="inlineStr">
        <is>
          <t>Gerenciamento de Problemas</t>
        </is>
      </c>
      <c r="G30" t="inlineStr">
        <is>
          <t>ACERTOU</t>
        </is>
      </c>
      <c r="H30" t="inlineStr">
        <is>
          <t>Gerenciamento de Incidentes</t>
        </is>
      </c>
      <c r="I30" t="inlineStr">
        <is>
          <t>Gerenciamento de Problemas</t>
        </is>
      </c>
      <c r="J30" t="inlineStr">
        <is>
          <t>PARCIALMENTE</t>
        </is>
      </c>
      <c r="K30" t="inlineStr">
        <is>
          <t>Gerenciamento de Ativos de TI</t>
        </is>
      </c>
      <c r="L30" t="inlineStr">
        <is>
          <t>Gerenciamento de Problemas</t>
        </is>
      </c>
      <c r="M30" t="inlineStr">
        <is>
          <t>Parcial</t>
        </is>
      </c>
      <c r="N30" t="inlineStr">
        <is>
          <t>Gerenciamento de Problemas</t>
        </is>
      </c>
      <c r="O30" t="inlineStr">
        <is>
          <t>Gerenciamento de Incidentes</t>
        </is>
      </c>
      <c r="P30" t="inlineStr">
        <is>
          <t>Divergente</t>
        </is>
      </c>
    </row>
    <row r="31">
      <c r="A31" t="inlineStr">
        <is>
          <t>240</t>
        </is>
      </c>
      <c r="B31" t="inlineStr">
        <is>
          <t>Problemas de Conectividade com HP DeskJet 3755</t>
        </is>
      </c>
      <c r="C31" t="inlineStr">
        <is>
          <t>Gerenciamento de Incidentes</t>
        </is>
      </c>
      <c r="D31" t="inlineStr">
        <is>
          <t>Gerenciamento de Problemas</t>
        </is>
      </c>
      <c r="E31" t="inlineStr">
        <is>
          <t>Gerenciamento de Incidentes</t>
        </is>
      </c>
      <c r="F31" t="inlineStr">
        <is>
          <t>Gerenciamento de Problemas</t>
        </is>
      </c>
      <c r="G31" t="inlineStr">
        <is>
          <t>ACERTOU</t>
        </is>
      </c>
      <c r="H31" t="inlineStr">
        <is>
          <t>Gerenciamento de Incidentes</t>
        </is>
      </c>
      <c r="I31" t="inlineStr">
        <is>
          <t>Gerenciamento de Problemas</t>
        </is>
      </c>
      <c r="J31" t="inlineStr">
        <is>
          <t>PARCIALMENTE</t>
        </is>
      </c>
      <c r="K31" t="inlineStr">
        <is>
          <t>Gerenciamento de Problemas</t>
        </is>
      </c>
      <c r="L31" t="inlineStr">
        <is>
          <t>Gerenciamento de Configuração de Serviço</t>
        </is>
      </c>
      <c r="M31" t="inlineStr">
        <is>
          <t>Divergente</t>
        </is>
      </c>
      <c r="N31" t="inlineStr">
        <is>
          <t>Gerenciamento de Problemas</t>
        </is>
      </c>
      <c r="O31" t="inlineStr">
        <is>
          <t>Gerenciamento de Incidentes</t>
        </is>
      </c>
      <c r="P31" t="inlineStr">
        <is>
          <t>Divergente</t>
        </is>
      </c>
    </row>
    <row r="32">
      <c r="A32" t="inlineStr">
        <is>
          <t>252</t>
        </is>
      </c>
      <c r="B32" t="inlineStr">
        <is>
          <t>Solicitação de Devolução para Compra do MacBook Air M1</t>
        </is>
      </c>
      <c r="C32" t="inlineStr">
        <is>
          <t>Solicitação de Serviço</t>
        </is>
      </c>
      <c r="D32" t="inlineStr">
        <is>
          <t>Gerenciamento de Ativos de TI</t>
        </is>
      </c>
      <c r="E32" t="inlineStr">
        <is>
          <t>Gerenciamento de Requisição de Serviço</t>
        </is>
      </c>
      <c r="F32" t="inlineStr">
        <is>
          <t>Gerenciamento de Catálogo de Serviço</t>
        </is>
      </c>
      <c r="G32" t="inlineStr">
        <is>
          <t>NÃO RECOMENDOU</t>
        </is>
      </c>
      <c r="H32" t="inlineStr">
        <is>
          <t>Gerenciamento de Requisição de Serviço</t>
        </is>
      </c>
      <c r="I32" t="inlineStr">
        <is>
          <t>Gerenciamento de Catálogo de Serviço</t>
        </is>
      </c>
      <c r="J32" t="inlineStr">
        <is>
          <t>NÃO RECOMENDOU</t>
        </is>
      </c>
      <c r="K32" t="inlineStr">
        <is>
          <t>Gerenciamento de Requisição de Serviço</t>
        </is>
      </c>
      <c r="L32" t="inlineStr">
        <is>
          <t>Gerenciamento de Catálogo de Serviço</t>
        </is>
      </c>
      <c r="M32" t="inlineStr">
        <is>
          <t>Divergente</t>
        </is>
      </c>
    </row>
    <row r="33">
      <c r="A33" t="inlineStr">
        <is>
          <t>257</t>
        </is>
      </c>
      <c r="B33" t="inlineStr">
        <is>
          <t>Pedido de Troca da Canon PIXMA MG3620</t>
        </is>
      </c>
      <c r="C33" t="inlineStr">
        <is>
          <t>Solicitação de Serviço</t>
        </is>
      </c>
      <c r="D33" t="inlineStr">
        <is>
          <t>Gerenciamento de Ativos de TI</t>
        </is>
      </c>
      <c r="E33" t="inlineStr">
        <is>
          <t>Gerenciamento de Incidentes</t>
        </is>
      </c>
      <c r="F33" t="inlineStr">
        <is>
          <t>Gerenciamento de Configuração de Serviço</t>
        </is>
      </c>
      <c r="G33" t="inlineStr">
        <is>
          <t>PARCIALMENTE</t>
        </is>
      </c>
      <c r="H33" t="inlineStr">
        <is>
          <t>Gerenciamento de Incidentes</t>
        </is>
      </c>
      <c r="I33" t="inlineStr">
        <is>
          <t>Gerenciamento de Nível de Serviço</t>
        </is>
      </c>
      <c r="J33" t="inlineStr">
        <is>
          <t>PARCIALMENTE</t>
        </is>
      </c>
      <c r="K33" t="inlineStr">
        <is>
          <t>Gerenciamento de Incidentes</t>
        </is>
      </c>
      <c r="L33" t="inlineStr">
        <is>
          <t>Gerenciamento de Fornecedor</t>
        </is>
      </c>
      <c r="M33" t="inlineStr">
        <is>
          <t>Divergente</t>
        </is>
      </c>
      <c r="N33" t="inlineStr">
        <is>
          <t>Gerenciamento de Incidentes</t>
        </is>
      </c>
      <c r="O33" t="inlineStr">
        <is>
          <t>Gerenciamento de Nível de Serviço</t>
        </is>
      </c>
      <c r="P33" t="inlineStr">
        <is>
          <t>Divergente</t>
        </is>
      </c>
    </row>
    <row r="34">
      <c r="A34" t="inlineStr">
        <is>
          <t>264</t>
        </is>
      </c>
      <c r="B34" t="inlineStr">
        <is>
          <t>Problemas de Rede</t>
        </is>
      </c>
      <c r="C34" t="inlineStr">
        <is>
          <t>Gerenciamento de Incidentes</t>
        </is>
      </c>
      <c r="D34" t="inlineStr">
        <is>
          <t>Gerenciamento de Disponibilidade</t>
        </is>
      </c>
      <c r="E34" t="inlineStr">
        <is>
          <t>Gerenciamento de Incidentes</t>
        </is>
      </c>
      <c r="F34" t="inlineStr">
        <is>
          <t>Gerenciamento de Problemas</t>
        </is>
      </c>
      <c r="G34" t="inlineStr">
        <is>
          <t>PARCIALMENTE</t>
        </is>
      </c>
      <c r="H34" t="inlineStr">
        <is>
          <t>Gerenciamento de Incidentes</t>
        </is>
      </c>
      <c r="I34" t="inlineStr">
        <is>
          <t>Gerenciamento de Problemas</t>
        </is>
      </c>
      <c r="J34" t="inlineStr">
        <is>
          <t>ACERTOU</t>
        </is>
      </c>
      <c r="K34" t="inlineStr">
        <is>
          <t>Gerenciamento de Incidentes</t>
        </is>
      </c>
      <c r="L34" t="inlineStr">
        <is>
          <t>Gerenciamento de Problemas</t>
        </is>
      </c>
      <c r="M34" t="inlineStr">
        <is>
          <t>Parcial</t>
        </is>
      </c>
      <c r="N34" t="inlineStr">
        <is>
          <t>Gerenciamento de Incidentes</t>
        </is>
      </c>
      <c r="O34" t="inlineStr">
        <is>
          <t>Gerenciamento de Disponibilidade</t>
        </is>
      </c>
      <c r="P34" t="inlineStr">
        <is>
          <t>Convergente</t>
        </is>
      </c>
    </row>
    <row r="35">
      <c r="A35" t="inlineStr">
        <is>
          <t>279</t>
        </is>
      </c>
      <c r="B35" t="inlineStr">
        <is>
          <t>Crítico: Problemas com o Sistema de Bilhetagem</t>
        </is>
      </c>
      <c r="C35" t="inlineStr">
        <is>
          <t>Gerenciamento de Incidentes</t>
        </is>
      </c>
      <c r="D35" t="inlineStr">
        <is>
          <t>Gerenciamento de Problemas</t>
        </is>
      </c>
      <c r="E35" t="inlineStr">
        <is>
          <t>Gerenciamento de Incidentes</t>
        </is>
      </c>
      <c r="F35" t="inlineStr">
        <is>
          <t>Gerenciamento de Problemas</t>
        </is>
      </c>
      <c r="G35" t="inlineStr">
        <is>
          <t>ACERTOU</t>
        </is>
      </c>
      <c r="H35" t="inlineStr">
        <is>
          <t>Gerenciamento de Incidentes</t>
        </is>
      </c>
      <c r="I35" t="inlineStr">
        <is>
          <t>Gerenciamento de Problemas</t>
        </is>
      </c>
      <c r="J35" t="inlineStr">
        <is>
          <t>PARCIALMENTE</t>
        </is>
      </c>
      <c r="K35" t="inlineStr">
        <is>
          <t>Gerenciamento de Problemas</t>
        </is>
      </c>
      <c r="L35" t="inlineStr">
        <is>
          <t>Validação e Teste de Serviço</t>
        </is>
      </c>
      <c r="M35" t="inlineStr">
        <is>
          <t>Divergente</t>
        </is>
      </c>
      <c r="N35" t="inlineStr">
        <is>
          <t>Gerenciamento de Problemas</t>
        </is>
      </c>
      <c r="O35" t="inlineStr">
        <is>
          <t>Gerenciamento de Incidentes</t>
        </is>
      </c>
      <c r="P35" t="inlineStr">
        <is>
          <t>Divergente</t>
        </is>
      </c>
    </row>
    <row r="36">
      <c r="A36" t="inlineStr">
        <is>
          <t>294</t>
        </is>
      </c>
      <c r="B36" t="inlineStr">
        <is>
          <t>Problemas técnicos com os recursos de vídeo e compartilhamento de tela do Zoom 5.11.0</t>
        </is>
      </c>
      <c r="C36" t="inlineStr">
        <is>
          <t>Gerenciamento de Incidentes</t>
        </is>
      </c>
      <c r="D36" t="inlineStr">
        <is>
          <t>Gerenciamento de Problemas</t>
        </is>
      </c>
      <c r="E36" t="inlineStr">
        <is>
          <t>Gerenciamento de Incidentes</t>
        </is>
      </c>
      <c r="F36" t="inlineStr">
        <is>
          <t>Gerenciamento de Problemas</t>
        </is>
      </c>
      <c r="G36" t="inlineStr">
        <is>
          <t>ACERTOU</t>
        </is>
      </c>
      <c r="H36" t="inlineStr">
        <is>
          <t>Gerenciamento de Incidentes</t>
        </is>
      </c>
      <c r="I36" t="inlineStr">
        <is>
          <t>Gerenciamento de Problemas</t>
        </is>
      </c>
      <c r="J36" t="inlineStr">
        <is>
          <t>ACERTOU</t>
        </is>
      </c>
      <c r="K36" t="inlineStr">
        <is>
          <t>Gerenciamento de Problemas</t>
        </is>
      </c>
      <c r="L36" t="inlineStr">
        <is>
          <t>Gerenciamento de Liberação</t>
        </is>
      </c>
      <c r="M36" t="inlineStr">
        <is>
          <t>Divergente</t>
        </is>
      </c>
      <c r="N36" t="inlineStr">
        <is>
          <t>Gerenciamento de Problemas</t>
        </is>
      </c>
      <c r="O36" t="inlineStr">
        <is>
          <t>Gerenciamento de Mudanças</t>
        </is>
      </c>
      <c r="P36" t="inlineStr">
        <is>
          <t>Divergente</t>
        </is>
      </c>
    </row>
    <row r="37">
      <c r="A37" t="inlineStr">
        <is>
          <t>299</t>
        </is>
      </c>
      <c r="B37" t="inlineStr">
        <is>
          <t>Pedido de Troca: MacBook Air M1 com Defeito Após Uso</t>
        </is>
      </c>
      <c r="C37" t="inlineStr">
        <is>
          <t>Solicitação de Serviço</t>
        </is>
      </c>
      <c r="D37" t="inlineStr">
        <is>
          <t>Gerenciamento de Ativos de TI</t>
        </is>
      </c>
      <c r="E37" t="inlineStr">
        <is>
          <t>Gerenciamento de Requisição de Serviço</t>
        </is>
      </c>
      <c r="F37" t="inlineStr">
        <is>
          <t>Gerenciamento de Ativos de TI</t>
        </is>
      </c>
      <c r="G37" t="inlineStr">
        <is>
          <t>PARCIALMENTE</t>
        </is>
      </c>
      <c r="H37" t="inlineStr">
        <is>
          <t>Gerenciamento de Requisição de Serviço</t>
        </is>
      </c>
      <c r="I37" t="inlineStr">
        <is>
          <t>Gerenciamento de Ativos de TI</t>
        </is>
      </c>
      <c r="J37" t="inlineStr">
        <is>
          <t>PARCIALMENTE</t>
        </is>
      </c>
      <c r="K37" t="inlineStr">
        <is>
          <t>Gerenciamento de Incidentes</t>
        </is>
      </c>
      <c r="L37" t="inlineStr">
        <is>
          <t>Gerenciamento de Ativos de TI</t>
        </is>
      </c>
      <c r="M37" t="inlineStr">
        <is>
          <t>Parcial</t>
        </is>
      </c>
      <c r="N37" t="inlineStr">
        <is>
          <t>Gerenciamento de Incidentes</t>
        </is>
      </c>
      <c r="O37" t="inlineStr">
        <is>
          <t>Gerenciamento de Nível de Serviço</t>
        </is>
      </c>
      <c r="P37" t="inlineStr">
        <is>
          <t>Divergente</t>
        </is>
      </c>
    </row>
    <row r="38">
      <c r="A38" t="inlineStr">
        <is>
          <t>301</t>
        </is>
      </c>
      <c r="B38" t="inlineStr">
        <is>
          <t>Urgente: Problema de Conectividade do Roteador</t>
        </is>
      </c>
      <c r="C38" t="inlineStr">
        <is>
          <t>Gerenciamento de Incidentes</t>
        </is>
      </c>
      <c r="D38" t="inlineStr">
        <is>
          <t>Gerenciamento de Disponibilidade</t>
        </is>
      </c>
      <c r="E38" t="inlineStr">
        <is>
          <t>Gerenciamento de Incidentes</t>
        </is>
      </c>
      <c r="F38" t="inlineStr">
        <is>
          <t>Gerenciamento de Disponibilidade</t>
        </is>
      </c>
      <c r="G38" t="inlineStr">
        <is>
          <t>PARCIALMENTE</t>
        </is>
      </c>
      <c r="H38" t="inlineStr">
        <is>
          <t>Gerenciamento de Incidentes</t>
        </is>
      </c>
      <c r="I38" t="inlineStr">
        <is>
          <t>Gerenciamento de Disponibilidade</t>
        </is>
      </c>
      <c r="J38" t="inlineStr">
        <is>
          <t>PARCIALMENTE</t>
        </is>
      </c>
      <c r="K38" t="inlineStr">
        <is>
          <t>Gerenciamento de Incidentes</t>
        </is>
      </c>
      <c r="L38" t="inlineStr">
        <is>
          <t>Gerenciamento de Disponibilidade</t>
        </is>
      </c>
      <c r="M38" t="inlineStr">
        <is>
          <t>Convergente</t>
        </is>
      </c>
      <c r="N38" t="inlineStr">
        <is>
          <t>Gerenciamento de Problemas</t>
        </is>
      </c>
      <c r="O38" t="inlineStr">
        <is>
          <t>Gerenciamento de Disponibilidade</t>
        </is>
      </c>
      <c r="P38" t="inlineStr">
        <is>
          <t>Parcial</t>
        </is>
      </c>
    </row>
    <row r="39">
      <c r="A39" t="inlineStr">
        <is>
          <t>305</t>
        </is>
      </c>
      <c r="B39" t="inlineStr">
        <is>
          <t>Assistência Necessária: Problema de Configuração de Wi-Fi para Impressora Canon PIXMA MG3620</t>
        </is>
      </c>
      <c r="C39" t="inlineStr">
        <is>
          <t>Gerenciamento de Incidentes</t>
        </is>
      </c>
      <c r="D39" t="inlineStr">
        <is>
          <t>Gerenciamento de Problemas</t>
        </is>
      </c>
      <c r="E39" t="inlineStr">
        <is>
          <t>Gerenciamento de Requisição de Serviço</t>
        </is>
      </c>
      <c r="F39" t="inlineStr">
        <is>
          <t>Gerenciamento de Configuração de Serviço</t>
        </is>
      </c>
      <c r="G39" t="inlineStr">
        <is>
          <t>ERROU</t>
        </is>
      </c>
      <c r="H39" t="inlineStr">
        <is>
          <t>Gerenciamento de Requisição de Serviço</t>
        </is>
      </c>
      <c r="I39" t="inlineStr">
        <is>
          <t>Gerenciamento de Configuração de Serviço</t>
        </is>
      </c>
      <c r="J39" t="inlineStr">
        <is>
          <t>ERROU</t>
        </is>
      </c>
      <c r="K39" t="inlineStr">
        <is>
          <t>Gerenciamento de Requisição de Serviço</t>
        </is>
      </c>
      <c r="L39" t="inlineStr">
        <is>
          <t>Central de Serviço</t>
        </is>
      </c>
      <c r="M39" t="inlineStr">
        <is>
          <t>Divergente</t>
        </is>
      </c>
      <c r="N39" t="inlineStr">
        <is>
          <t>Gerenciamento de Requisição de Serviço</t>
        </is>
      </c>
      <c r="O39" t="inlineStr">
        <is>
          <t>Não se aplica</t>
        </is>
      </c>
      <c r="P39" t="inlineStr">
        <is>
          <t>Divergente</t>
        </is>
      </c>
    </row>
    <row r="40">
      <c r="A40" t="inlineStr">
        <is>
          <t>331</t>
        </is>
      </c>
      <c r="B40" t="inlineStr">
        <is>
          <t>Discrepância de Cobrança com o Serviço AWS</t>
        </is>
      </c>
      <c r="C40" t="inlineStr">
        <is>
          <t>Gerenciamento Financeiro</t>
        </is>
      </c>
      <c r="D40" t="inlineStr">
        <is>
          <t>Gerenciamento de Incidentes</t>
        </is>
      </c>
      <c r="E40" t="inlineStr">
        <is>
          <t>Gerenciamento Financeiro de Serviços</t>
        </is>
      </c>
      <c r="F40" t="inlineStr">
        <is>
          <t>Gerenciamento de Relacionamento</t>
        </is>
      </c>
      <c r="G40" t="inlineStr">
        <is>
          <t>ERROU</t>
        </is>
      </c>
      <c r="H40" t="inlineStr">
        <is>
          <t>Gerenciamento Financeiro de Serviços</t>
        </is>
      </c>
      <c r="I40" t="inlineStr">
        <is>
          <t>Gerenciamento de Relacionamento</t>
        </is>
      </c>
      <c r="J40" t="inlineStr">
        <is>
          <t>ERROU</t>
        </is>
      </c>
      <c r="K40" t="inlineStr">
        <is>
          <t>Gerenciamento Financeiro de Serviços</t>
        </is>
      </c>
      <c r="L40" t="inlineStr">
        <is>
          <t>Gerenciamento de Nível de Serviço</t>
        </is>
      </c>
      <c r="M40" t="inlineStr">
        <is>
          <t>Divergente</t>
        </is>
      </c>
      <c r="N40" t="inlineStr">
        <is>
          <t>Gerenciamento de Requisição de Serviço</t>
        </is>
      </c>
      <c r="O40" t="inlineStr">
        <is>
          <t>Gerenciamento Financeiro de TI</t>
        </is>
      </c>
      <c r="P40" t="inlineStr">
        <is>
          <t>Divergente</t>
        </is>
      </c>
    </row>
    <row r="41">
      <c r="A41" t="inlineStr">
        <is>
          <t>350</t>
        </is>
      </c>
      <c r="B41" t="inlineStr">
        <is>
          <t>Problemas de Conectividade com Impressora Canon</t>
        </is>
      </c>
      <c r="C41" t="inlineStr">
        <is>
          <t>Gerenciamento de Incidentes</t>
        </is>
      </c>
      <c r="D41" t="inlineStr">
        <is>
          <t>Gerenciamento de Problemas</t>
        </is>
      </c>
      <c r="E41" t="inlineStr">
        <is>
          <t>Gerenciamento de Incidentes</t>
        </is>
      </c>
      <c r="F41" t="inlineStr">
        <is>
          <t>Gerenciamento de Problemas</t>
        </is>
      </c>
      <c r="G41" t="inlineStr">
        <is>
          <t>ACERTOU</t>
        </is>
      </c>
      <c r="H41" t="inlineStr">
        <is>
          <t>Gerenciamento de Incidentes</t>
        </is>
      </c>
      <c r="I41" t="inlineStr">
        <is>
          <t>Gerenciamento de Problemas</t>
        </is>
      </c>
      <c r="J41" t="inlineStr">
        <is>
          <t>PARCIALMENTE</t>
        </is>
      </c>
      <c r="K41" t="inlineStr">
        <is>
          <t>Gerenciamento de Problemas</t>
        </is>
      </c>
      <c r="L41" t="inlineStr">
        <is>
          <t>Gerenciamento de Incidentes</t>
        </is>
      </c>
      <c r="M41" t="inlineStr">
        <is>
          <t>Divergente</t>
        </is>
      </c>
      <c r="N41" t="inlineStr">
        <is>
          <t>Gerenciamento de Incidentes</t>
        </is>
      </c>
      <c r="O41" t="inlineStr">
        <is>
          <t>Gerenciamento de Problemas</t>
        </is>
      </c>
      <c r="P41" t="inlineStr">
        <is>
          <t>Convergente</t>
        </is>
      </c>
    </row>
    <row r="42">
      <c r="A42" t="inlineStr">
        <is>
          <t>356</t>
        </is>
      </c>
      <c r="B42" t="inlineStr">
        <is>
          <t>Solicitação de Assistência para Dicas de Otimização do Excel</t>
        </is>
      </c>
      <c r="C42" t="inlineStr">
        <is>
          <t>Solicitação de Serviço</t>
        </is>
      </c>
      <c r="D42" t="inlineStr">
        <is>
          <t>Gerenciamento de Capacidade</t>
        </is>
      </c>
      <c r="E42" t="inlineStr">
        <is>
          <t>Gerenciamento de Requisição de Serviço</t>
        </is>
      </c>
      <c r="F42" t="inlineStr">
        <is>
          <t>Gerenciamento de Capacidade e Desempenho</t>
        </is>
      </c>
      <c r="G42" t="inlineStr">
        <is>
          <t>ERROU</t>
        </is>
      </c>
      <c r="H42" t="inlineStr">
        <is>
          <t>Gerenciamento de Requisição de Serviço</t>
        </is>
      </c>
      <c r="I42" t="inlineStr">
        <is>
          <t>Gerenciamento de Capacidade e Desempenho</t>
        </is>
      </c>
      <c r="J42" t="inlineStr">
        <is>
          <t>ERROU</t>
        </is>
      </c>
      <c r="K42" t="inlineStr">
        <is>
          <t>Gerenciamento de Requisição de Serviço</t>
        </is>
      </c>
      <c r="L42" t="inlineStr">
        <is>
          <t>Gerenciamento de Capacidade e Desempenho</t>
        </is>
      </c>
      <c r="M42" t="inlineStr">
        <is>
          <t>Divergente</t>
        </is>
      </c>
      <c r="N42" t="inlineStr">
        <is>
          <t>Gerenciamento de Requisição de Serviço</t>
        </is>
      </c>
      <c r="O42" t="inlineStr">
        <is>
          <t>Não se aplica</t>
        </is>
      </c>
      <c r="P42" t="inlineStr">
        <is>
          <t>Divergente</t>
        </is>
      </c>
    </row>
    <row r="43">
      <c r="A43" t="inlineStr">
        <is>
          <t>364</t>
        </is>
      </c>
      <c r="B43" t="inlineStr">
        <is>
          <t>Problemas de Conectividade e Desempenho do Wi-Fi com o Roteador Cisco</t>
        </is>
      </c>
      <c r="C43" t="inlineStr">
        <is>
          <t>Gerenciamento de Incidentes</t>
        </is>
      </c>
      <c r="D43" t="inlineStr">
        <is>
          <t>Gerenciamento de Problemas</t>
        </is>
      </c>
      <c r="E43" t="inlineStr">
        <is>
          <t>Gerenciamento de Incidentes</t>
        </is>
      </c>
      <c r="F43" t="inlineStr">
        <is>
          <t>Gerenciamento de Problemas</t>
        </is>
      </c>
      <c r="G43" t="inlineStr">
        <is>
          <t>ACERTOU</t>
        </is>
      </c>
      <c r="H43" t="inlineStr">
        <is>
          <t>Gerenciamento de Incidentes</t>
        </is>
      </c>
      <c r="I43" t="inlineStr">
        <is>
          <t>Gerenciamento de Problemas</t>
        </is>
      </c>
      <c r="J43" t="inlineStr">
        <is>
          <t>PARCIALMENTE</t>
        </is>
      </c>
      <c r="K43" t="inlineStr">
        <is>
          <t>Gerenciamento de Configuração de Serviço</t>
        </is>
      </c>
      <c r="L43" t="inlineStr">
        <is>
          <t>Gerenciamento de Incidentes</t>
        </is>
      </c>
      <c r="M43" t="inlineStr">
        <is>
          <t>Divergente</t>
        </is>
      </c>
      <c r="N43" t="inlineStr">
        <is>
          <t>Gerenciamento de Problemas</t>
        </is>
      </c>
      <c r="O43" t="inlineStr">
        <is>
          <t>Gerenciamento de Mudanças</t>
        </is>
      </c>
      <c r="P43" t="inlineStr">
        <is>
          <t>Divergente</t>
        </is>
      </c>
    </row>
    <row r="44">
      <c r="A44" t="inlineStr">
        <is>
          <t>366</t>
        </is>
      </c>
      <c r="B44" t="inlineStr">
        <is>
          <t>Solicitação de Recurso de Bug Adicional no VSCode</t>
        </is>
      </c>
      <c r="C44" t="inlineStr">
        <is>
          <t>Gerenciamento de Problemas</t>
        </is>
      </c>
      <c r="D44" t="inlineStr">
        <is>
          <t>Gerenciamento de Mudanças</t>
        </is>
      </c>
      <c r="E44" t="inlineStr">
        <is>
          <t>Gerenciamento de Incidentes</t>
        </is>
      </c>
      <c r="F44" t="inlineStr">
        <is>
          <t>Gerenciamento de Problemas</t>
        </is>
      </c>
      <c r="G44" t="inlineStr">
        <is>
          <t>PARCIALMENTE</t>
        </is>
      </c>
      <c r="H44" t="inlineStr">
        <is>
          <t>Gerenciamento de Incidentes</t>
        </is>
      </c>
      <c r="I44" t="inlineStr">
        <is>
          <t>Gerenciamento de Problemas</t>
        </is>
      </c>
      <c r="J44" t="inlineStr">
        <is>
          <t>PARCIALMENTE</t>
        </is>
      </c>
      <c r="K44" t="inlineStr">
        <is>
          <t>Gerenciamento de Problemas</t>
        </is>
      </c>
      <c r="L44" t="inlineStr">
        <is>
          <t>Desenvolvimento e Gerenciamento de Software</t>
        </is>
      </c>
      <c r="M44" t="inlineStr">
        <is>
          <t>Parcial</t>
        </is>
      </c>
      <c r="N44" t="inlineStr">
        <is>
          <t>Gerenciamento de Problemas</t>
        </is>
      </c>
      <c r="O44" t="inlineStr">
        <is>
          <t>Gerenciamento de Mudanças</t>
        </is>
      </c>
      <c r="P44" t="inlineStr">
        <is>
          <t>Convergente</t>
        </is>
      </c>
    </row>
    <row r="45">
      <c r="A45" t="inlineStr">
        <is>
          <t>372</t>
        </is>
      </c>
      <c r="B45" t="inlineStr">
        <is>
          <t>Assistência Imediata Necessária: Problemas de Conexão ao Zoom</t>
        </is>
      </c>
      <c r="C45" t="inlineStr">
        <is>
          <t>Gerenciamento de Incidentes</t>
        </is>
      </c>
      <c r="D45" t="inlineStr">
        <is>
          <t>Gerenciamento de Problemas</t>
        </is>
      </c>
      <c r="E45" t="inlineStr">
        <is>
          <t>Gerenciamento de Incidentes</t>
        </is>
      </c>
      <c r="F45" t="inlineStr">
        <is>
          <t>Gerenciamento de Problemas</t>
        </is>
      </c>
      <c r="G45" t="inlineStr">
        <is>
          <t>ACERTOU</t>
        </is>
      </c>
      <c r="H45" t="inlineStr">
        <is>
          <t>Gerenciamento de Incidentes</t>
        </is>
      </c>
      <c r="I45" t="inlineStr">
        <is>
          <t>Gerenciamento de Disponibilidade</t>
        </is>
      </c>
      <c r="J45" t="inlineStr">
        <is>
          <t>PARCIALMENTE</t>
        </is>
      </c>
      <c r="K45" t="inlineStr">
        <is>
          <t>Gerenciamento de Incidentes</t>
        </is>
      </c>
      <c r="L45" t="inlineStr">
        <is>
          <t>Gerenciamento de Disponibilidade</t>
        </is>
      </c>
      <c r="M45" t="inlineStr">
        <is>
          <t>Parcial</t>
        </is>
      </c>
      <c r="N45" t="inlineStr">
        <is>
          <t>Gerenciamento de Incidentes</t>
        </is>
      </c>
      <c r="O45" t="inlineStr">
        <is>
          <t>Não se aplica</t>
        </is>
      </c>
      <c r="P45" t="inlineStr">
        <is>
          <t>Parcial</t>
        </is>
      </c>
    </row>
    <row r="46">
      <c r="A46" t="inlineStr">
        <is>
          <t>376</t>
        </is>
      </c>
      <c r="B46" t="inlineStr">
        <is>
          <t>Pedido de Assistência para Mudança de Configuração da AWS</t>
        </is>
      </c>
      <c r="C46" t="inlineStr">
        <is>
          <t>Solicitação de Serviço</t>
        </is>
      </c>
      <c r="D46" t="inlineStr">
        <is>
          <t>Gerenciamento Financeiro</t>
        </is>
      </c>
      <c r="E46" t="inlineStr">
        <is>
          <t>Gerenciamento de Requisição de Serviço</t>
        </is>
      </c>
      <c r="F46" t="inlineStr">
        <is>
          <t>Gerenciamento de Nível de Serviço</t>
        </is>
      </c>
      <c r="G46" t="inlineStr">
        <is>
          <t>ERROU</t>
        </is>
      </c>
      <c r="H46" t="inlineStr">
        <is>
          <t>Gerenciamento de Requisição de Serviço</t>
        </is>
      </c>
      <c r="I46" t="inlineStr">
        <is>
          <t>Gerenciamento Financeiro de Serviços</t>
        </is>
      </c>
      <c r="J46" t="inlineStr">
        <is>
          <t>ERROU</t>
        </is>
      </c>
      <c r="K46" t="inlineStr">
        <is>
          <t>Habilitação de Mudança</t>
        </is>
      </c>
      <c r="L46" t="inlineStr">
        <is>
          <t>Gerenciamento Financeiro de Serviços</t>
        </is>
      </c>
      <c r="M46" t="inlineStr">
        <is>
          <t>Divergente</t>
        </is>
      </c>
      <c r="N46" t="inlineStr">
        <is>
          <t>Gerenciamento de Requisição de Serviço</t>
        </is>
      </c>
      <c r="O46" t="inlineStr">
        <is>
          <t>Gerenciamento Financeiro de TI</t>
        </is>
      </c>
      <c r="P46" t="inlineStr">
        <is>
          <t>Divergente</t>
        </is>
      </c>
    </row>
    <row r="47">
      <c r="A47" t="inlineStr">
        <is>
          <t>398</t>
        </is>
      </c>
      <c r="B47" t="inlineStr">
        <is>
          <t>Suporte Urgente para Problema de Laptop</t>
        </is>
      </c>
      <c r="C47" t="inlineStr">
        <is>
          <t>Gerenciamento de Incidentes</t>
        </is>
      </c>
      <c r="D47" t="inlineStr">
        <is>
          <t>Gerenciamento de Ativos de TI</t>
        </is>
      </c>
      <c r="E47" t="inlineStr">
        <is>
          <t>Gerenciamento de Incidentes</t>
        </is>
      </c>
      <c r="F47" t="inlineStr">
        <is>
          <t>Gerenciamento de Ativos de TI</t>
        </is>
      </c>
      <c r="H47" t="inlineStr">
        <is>
          <t>Gerenciamento de Incidentes</t>
        </is>
      </c>
      <c r="I47" t="inlineStr">
        <is>
          <t>Gerenciamento de Ativos de TI</t>
        </is>
      </c>
      <c r="J47" t="inlineStr">
        <is>
          <t>ACERTOU</t>
        </is>
      </c>
      <c r="K47" t="inlineStr">
        <is>
          <t>Gerenciamento de Incidentes</t>
        </is>
      </c>
      <c r="L47" t="inlineStr">
        <is>
          <t>Gerenciamento de Ativos de TI</t>
        </is>
      </c>
      <c r="M47" t="inlineStr">
        <is>
          <t>Convergente</t>
        </is>
      </c>
      <c r="N47" t="inlineStr">
        <is>
          <t>Gerenciamento de Incidentes</t>
        </is>
      </c>
      <c r="O47" t="inlineStr">
        <is>
          <t>Gerenciamento de Disponibilidade</t>
        </is>
      </c>
      <c r="P47" t="inlineStr">
        <is>
          <t>Parcial</t>
        </is>
      </c>
    </row>
    <row r="48">
      <c r="A48" t="inlineStr">
        <is>
          <t>403</t>
        </is>
      </c>
      <c r="B48" t="inlineStr">
        <is>
          <t>Relatório de Problema: Dell XPS 13 Superaquecendo Durante o Uso</t>
        </is>
      </c>
      <c r="C48" t="inlineStr">
        <is>
          <t>Gerenciamento de Incidentes</t>
        </is>
      </c>
      <c r="D48" t="inlineStr">
        <is>
          <t>Gerenciamento de Problemas</t>
        </is>
      </c>
      <c r="E48" t="inlineStr">
        <is>
          <t>Gerenciamento de Incidentes</t>
        </is>
      </c>
      <c r="F48" t="inlineStr">
        <is>
          <t>Gerenciamento de Problemas</t>
        </is>
      </c>
      <c r="H48" t="inlineStr">
        <is>
          <t>Gerenciamento de Incidentes</t>
        </is>
      </c>
      <c r="I48" t="inlineStr">
        <is>
          <t>Gerenciamento de Problemas</t>
        </is>
      </c>
      <c r="J48" t="inlineStr">
        <is>
          <t>PARCIALMENTE</t>
        </is>
      </c>
      <c r="K48" t="inlineStr">
        <is>
          <t>Gerenciamento de Problemas</t>
        </is>
      </c>
      <c r="L48" t="inlineStr">
        <is>
          <t>Gerenciamento de Capacidade e Desempenho</t>
        </is>
      </c>
      <c r="M48" t="inlineStr">
        <is>
          <t>Divergente</t>
        </is>
      </c>
      <c r="N48" t="inlineStr">
        <is>
          <t>Gerenciamento de Incidentes</t>
        </is>
      </c>
      <c r="O48" t="inlineStr">
        <is>
          <t>Gerenciamento de Problemas</t>
        </is>
      </c>
      <c r="P48" t="inlineStr">
        <is>
          <t>Convergente</t>
        </is>
      </c>
    </row>
    <row r="49">
      <c r="A49" t="inlineStr">
        <is>
          <t>405</t>
        </is>
      </c>
      <c r="B49" t="inlineStr">
        <is>
          <t>Assistência Necessária para Configuração Inicial</t>
        </is>
      </c>
      <c r="C49" t="inlineStr">
        <is>
          <t>Solicitação de Serviço</t>
        </is>
      </c>
      <c r="D49" t="inlineStr">
        <is>
          <t>Gerenciamento de Configuração</t>
        </is>
      </c>
      <c r="E49" t="inlineStr">
        <is>
          <t>Gerenciamento de Requisição de Serviço</t>
        </is>
      </c>
      <c r="F49" t="inlineStr">
        <is>
          <t>Gerenciamento de Configuração de Serviço</t>
        </is>
      </c>
      <c r="H49" t="inlineStr">
        <is>
          <t>Gerenciamento de Requisição de Serviço</t>
        </is>
      </c>
      <c r="I49" t="inlineStr">
        <is>
          <t>Gerenciamento de Configuração de Serviço</t>
        </is>
      </c>
      <c r="J49" t="inlineStr">
        <is>
          <t>ERROU</t>
        </is>
      </c>
      <c r="K49" t="inlineStr">
        <is>
          <t>Gerenciamento de Requisição de Serviço</t>
        </is>
      </c>
      <c r="L49" t="inlineStr">
        <is>
          <t>Central de Serviço</t>
        </is>
      </c>
      <c r="M49" t="inlineStr">
        <is>
          <t>Divergente</t>
        </is>
      </c>
      <c r="N49" t="inlineStr">
        <is>
          <t>Gerenciamento de Requisição de Serviço</t>
        </is>
      </c>
      <c r="O49" t="inlineStr">
        <is>
          <t>Não se aplica</t>
        </is>
      </c>
      <c r="P49" t="inlineStr">
        <is>
          <t>Divergente</t>
        </is>
      </c>
    </row>
    <row r="50">
      <c r="A50" t="inlineStr">
        <is>
          <t>424</t>
        </is>
      </c>
      <c r="B50" t="inlineStr">
        <is>
          <t>Solicitando Alterações para Melhoria da Estratégia AWS</t>
        </is>
      </c>
      <c r="C50" t="inlineStr">
        <is>
          <t>Solicitação de Serviço</t>
        </is>
      </c>
      <c r="D50" t="inlineStr">
        <is>
          <t>Gerenciamento Financeiro</t>
        </is>
      </c>
      <c r="E50" t="inlineStr">
        <is>
          <t>Gerenciamento de Requisição de Serviço</t>
        </is>
      </c>
      <c r="F50" t="inlineStr">
        <is>
          <t>Gerenciamento de Nível de Serviço</t>
        </is>
      </c>
      <c r="H50" t="inlineStr">
        <is>
          <t>Gerenciamento de Requisição de Serviço</t>
        </is>
      </c>
      <c r="I50" t="inlineStr">
        <is>
          <t>Gerenciamento Financeiro de Serviços</t>
        </is>
      </c>
      <c r="J50" t="inlineStr">
        <is>
          <t>ERROU</t>
        </is>
      </c>
      <c r="K50" t="inlineStr">
        <is>
          <t>Gerenciamento de Nível de Serviço</t>
        </is>
      </c>
      <c r="L50" t="inlineStr">
        <is>
          <t>Gerenciamento Financeiro de Serviços</t>
        </is>
      </c>
      <c r="M50" t="inlineStr">
        <is>
          <t>Divergente</t>
        </is>
      </c>
      <c r="N50" t="inlineStr">
        <is>
          <t>Gerenciamento de Nível de Serviço</t>
        </is>
      </c>
      <c r="O50" t="inlineStr">
        <is>
          <t>Planejamento Estratégico</t>
        </is>
      </c>
      <c r="P50" t="inlineStr">
        <is>
          <t>Divergente</t>
        </is>
      </c>
    </row>
    <row r="51">
      <c r="A51" t="inlineStr">
        <is>
          <t>451</t>
        </is>
      </c>
      <c r="B51" t="inlineStr">
        <is>
          <t>Solicitação de Troca de Impressora</t>
        </is>
      </c>
      <c r="C51" t="inlineStr">
        <is>
          <t>Solicitação de Serviço</t>
        </is>
      </c>
      <c r="D51" t="inlineStr">
        <is>
          <t>Gerenciamento de Ativos de TI</t>
        </is>
      </c>
      <c r="E51" t="inlineStr">
        <is>
          <t>Gerenciamento de Requisição de Serviço</t>
        </is>
      </c>
      <c r="F51" t="inlineStr">
        <is>
          <t>Gerenciamento de Ativos de TI</t>
        </is>
      </c>
      <c r="H51" t="inlineStr">
        <is>
          <t>Gerenciamento de Requisição de Serviço</t>
        </is>
      </c>
      <c r="I51" t="inlineStr">
        <is>
          <t>Gerenciamento de Ativos de TI</t>
        </is>
      </c>
      <c r="J51" t="inlineStr">
        <is>
          <t>PARCIALMENTE</t>
        </is>
      </c>
      <c r="K51" t="inlineStr">
        <is>
          <t>Gerenciamento de Incidentes</t>
        </is>
      </c>
      <c r="L51" t="inlineStr">
        <is>
          <t>Gerenciamento de Fornecedor</t>
        </is>
      </c>
      <c r="M51" t="inlineStr">
        <is>
          <t>Divergente</t>
        </is>
      </c>
      <c r="N51" t="inlineStr">
        <is>
          <t>Gerenciamento de Incidentes</t>
        </is>
      </c>
      <c r="O51" t="inlineStr">
        <is>
          <t>Gerenciamento de Problemas</t>
        </is>
      </c>
      <c r="P51" t="inlineStr">
        <is>
          <t>Divergente</t>
        </is>
      </c>
    </row>
    <row r="52">
      <c r="A52" t="inlineStr">
        <is>
          <t>452</t>
        </is>
      </c>
      <c r="B52" t="inlineStr">
        <is>
          <t>Assistência imediata necessária para problemas de cobrança</t>
        </is>
      </c>
      <c r="C52" t="inlineStr">
        <is>
          <t>Gerenciamento Financeiro</t>
        </is>
      </c>
      <c r="D52" t="inlineStr">
        <is>
          <t>Gerenciamento de Incidentes</t>
        </is>
      </c>
      <c r="E52" t="inlineStr">
        <is>
          <t>Gerenciamento Financeiro de Serviços</t>
        </is>
      </c>
      <c r="F52" t="inlineStr">
        <is>
          <t>Gerenciamento de Incidentes</t>
        </is>
      </c>
      <c r="H52" t="inlineStr">
        <is>
          <t>Gerenciamento Financeiro de Serviços</t>
        </is>
      </c>
      <c r="I52" t="inlineStr">
        <is>
          <t>Gerenciamento de Incidentes</t>
        </is>
      </c>
      <c r="J52" t="inlineStr">
        <is>
          <t>ERROU</t>
        </is>
      </c>
      <c r="K52" t="inlineStr">
        <is>
          <t>Gerenciamento Financeiro de Serviços</t>
        </is>
      </c>
      <c r="L52" t="inlineStr">
        <is>
          <t>Gerenciamento de Segurança da Informação</t>
        </is>
      </c>
      <c r="M52" t="inlineStr">
        <is>
          <t>Divergente</t>
        </is>
      </c>
      <c r="N52" t="inlineStr">
        <is>
          <t>Gerenciamento de Requisição de Serviço</t>
        </is>
      </c>
      <c r="O52" t="inlineStr">
        <is>
          <t>Gerenciamento Financeiro de TI</t>
        </is>
      </c>
      <c r="P52" t="inlineStr">
        <is>
          <t>Divergente</t>
        </is>
      </c>
    </row>
    <row r="53">
      <c r="A53" t="inlineStr">
        <is>
          <t>459</t>
        </is>
      </c>
      <c r="B53" t="inlineStr">
        <is>
          <t>Pedido de Alteração para o Plano de Assinatura do Office 365</t>
        </is>
      </c>
      <c r="C53" t="inlineStr">
        <is>
          <t>Solicitação de Serviço</t>
        </is>
      </c>
      <c r="D53" t="inlineStr">
        <is>
          <t>Gerenciamento Financeiro</t>
        </is>
      </c>
      <c r="E53" t="inlineStr">
        <is>
          <t>Gerenciamento de Requisição de Serviço</t>
        </is>
      </c>
      <c r="F53" t="inlineStr">
        <is>
          <t>Gerenciamento de Catálogo de Serviço</t>
        </is>
      </c>
      <c r="H53" t="inlineStr">
        <is>
          <t>Gerenciamento de Requisição de Serviço</t>
        </is>
      </c>
      <c r="I53" t="inlineStr">
        <is>
          <t>Gerenciamento Financeiro de Serviços</t>
        </is>
      </c>
      <c r="J53" t="inlineStr">
        <is>
          <t>ERROU</t>
        </is>
      </c>
      <c r="K53" t="inlineStr">
        <is>
          <t>Gerenciamento de Requisição de Serviço</t>
        </is>
      </c>
      <c r="L53" t="inlineStr">
        <is>
          <t>Habilitação de Mudança</t>
        </is>
      </c>
      <c r="M53" t="inlineStr">
        <is>
          <t>Divergente</t>
        </is>
      </c>
      <c r="N53" t="inlineStr">
        <is>
          <t>Gerenciamento de Requisição de Serviço</t>
        </is>
      </c>
      <c r="O53" t="inlineStr">
        <is>
          <t>Não se aplica</t>
        </is>
      </c>
      <c r="P53" t="inlineStr">
        <is>
          <t>Divergente</t>
        </is>
      </c>
    </row>
    <row r="54">
      <c r="A54" t="inlineStr">
        <is>
          <t>461</t>
        </is>
      </c>
      <c r="B54" t="inlineStr">
        <is>
          <t>Solicitação de Otimização de Recursos e Estabilidade da Nuvem AWS</t>
        </is>
      </c>
      <c r="C54" t="inlineStr">
        <is>
          <t>Gerenciamento de Incidentes</t>
        </is>
      </c>
      <c r="D54" t="inlineStr">
        <is>
          <t>Gerenciamento Financeiro</t>
        </is>
      </c>
      <c r="E54" t="inlineStr">
        <is>
          <t>Gerenciamento de Requisição de Serviço</t>
        </is>
      </c>
      <c r="F54" t="inlineStr">
        <is>
          <t>Gerenciamento de Capacidade e Desempenho</t>
        </is>
      </c>
      <c r="H54" t="inlineStr">
        <is>
          <t>Gerenciamento de Problemas</t>
        </is>
      </c>
      <c r="I54" t="inlineStr">
        <is>
          <t>Gerenciamento Financeiro de Serviços</t>
        </is>
      </c>
      <c r="J54" t="inlineStr">
        <is>
          <t>ERROU</t>
        </is>
      </c>
      <c r="K54" t="inlineStr">
        <is>
          <t>Gerenciamento Financeiro de Serviços</t>
        </is>
      </c>
      <c r="L54" t="inlineStr">
        <is>
          <t>Gerenciamento de Capacidade e Desempenho</t>
        </is>
      </c>
      <c r="M54" t="inlineStr">
        <is>
          <t>Divergente</t>
        </is>
      </c>
      <c r="N54" t="inlineStr">
        <is>
          <t>Gerenciamento de Problemas</t>
        </is>
      </c>
      <c r="O54" t="inlineStr">
        <is>
          <t>Gerenciamento Financeiro de TI</t>
        </is>
      </c>
      <c r="P54" t="inlineStr">
        <is>
          <t>Divergente</t>
        </is>
      </c>
    </row>
    <row r="55">
      <c r="A55" t="inlineStr">
        <is>
          <t>466</t>
        </is>
      </c>
      <c r="B55" t="inlineStr">
        <is>
          <t>Solicitação de Devolução para HP DeskJet 3755</t>
        </is>
      </c>
      <c r="C55" t="inlineStr">
        <is>
          <t>Solicitação de Serviço</t>
        </is>
      </c>
      <c r="D55" t="inlineStr">
        <is>
          <t>Gerenciamento de Ativos de TI</t>
        </is>
      </c>
      <c r="E55" t="inlineStr">
        <is>
          <t>Gerenciamento de Requisição de Serviço</t>
        </is>
      </c>
      <c r="F55" t="inlineStr">
        <is>
          <t>Gerenciamento de Ativos de TI</t>
        </is>
      </c>
      <c r="H55" t="inlineStr">
        <is>
          <t>Gerenciamento de Requisição de Serviço</t>
        </is>
      </c>
      <c r="I55" t="inlineStr">
        <is>
          <t>Gerenciamento de Ativos de TI</t>
        </is>
      </c>
      <c r="J55" t="inlineStr">
        <is>
          <t>ERROU</t>
        </is>
      </c>
      <c r="K55" t="inlineStr">
        <is>
          <t>Gerenciamento de Requisição de Serviço</t>
        </is>
      </c>
      <c r="L55" t="inlineStr">
        <is>
          <t>Gerenciamento de Relacionamento</t>
        </is>
      </c>
      <c r="M55" t="inlineStr">
        <is>
          <t>Divergente</t>
        </is>
      </c>
      <c r="N55" t="inlineStr">
        <is>
          <t>Gerenciamento de Incidentes</t>
        </is>
      </c>
      <c r="O55" t="inlineStr">
        <is>
          <t>Gerenciamento de Nível de Serviço</t>
        </is>
      </c>
      <c r="P55" t="inlineStr">
        <is>
          <t>Divergente</t>
        </is>
      </c>
    </row>
    <row r="56">
      <c r="A56" t="inlineStr">
        <is>
          <t>468</t>
        </is>
      </c>
      <c r="B56" t="inlineStr">
        <is>
          <t>Solicitação para Iniciar Devolução da Impressora Epson EcoTank ET-4760</t>
        </is>
      </c>
      <c r="C56" t="inlineStr">
        <is>
          <t>Solicitação de Serviço</t>
        </is>
      </c>
      <c r="D56" t="inlineStr">
        <is>
          <t>Gerenciamento de Ativos de TI</t>
        </is>
      </c>
      <c r="E56" t="inlineStr">
        <is>
          <t>Gerenciamento de Requisição de Serviço</t>
        </is>
      </c>
      <c r="F56" t="inlineStr">
        <is>
          <t>Gerenciamento de Ativos de TI</t>
        </is>
      </c>
      <c r="H56" t="inlineStr">
        <is>
          <t>Gerenciamento de Requisição de Serviço</t>
        </is>
      </c>
      <c r="I56" t="inlineStr">
        <is>
          <t>Gerenciamento de Ativos de TI</t>
        </is>
      </c>
      <c r="J56" t="inlineStr">
        <is>
          <t>PARCIALMENTE</t>
        </is>
      </c>
      <c r="K56" t="inlineStr">
        <is>
          <t>Gerenciamento de Requisição de Serviço</t>
        </is>
      </c>
      <c r="L56" t="inlineStr">
        <is>
          <t>Gerenciamento de Fornecedor</t>
        </is>
      </c>
      <c r="M56" t="inlineStr">
        <is>
          <t>Divergente</t>
        </is>
      </c>
      <c r="N56" t="inlineStr">
        <is>
          <t>Gerenciamento de Incidentes</t>
        </is>
      </c>
      <c r="O56" t="inlineStr">
        <is>
          <t>Não se aplica</t>
        </is>
      </c>
      <c r="P56" t="inlineStr">
        <is>
          <t>Divergente</t>
        </is>
      </c>
    </row>
    <row r="57">
      <c r="A57" t="inlineStr">
        <is>
          <t>470</t>
        </is>
      </c>
      <c r="B57" t="inlineStr">
        <is>
          <t>Problema com erro de assinatura</t>
        </is>
      </c>
      <c r="C57" t="inlineStr">
        <is>
          <t>Gerenciamento de Incidentes</t>
        </is>
      </c>
      <c r="D57" t="inlineStr">
        <is>
          <t>Gerenciamento de Acesso</t>
        </is>
      </c>
      <c r="E57" t="inlineStr">
        <is>
          <t>Gerenciamento de Incidentes</t>
        </is>
      </c>
      <c r="F57" t="inlineStr">
        <is>
          <t>Gerenciamento de Problemas</t>
        </is>
      </c>
      <c r="H57" t="inlineStr">
        <is>
          <t>Gerenciamento de Incidentes</t>
        </is>
      </c>
      <c r="I57" t="inlineStr">
        <is>
          <t>Gerenciamento de Acessos</t>
        </is>
      </c>
      <c r="J57" t="inlineStr">
        <is>
          <t>ACERTOU</t>
        </is>
      </c>
      <c r="K57" t="inlineStr">
        <is>
          <t>Gerenciamento de Incidentes</t>
        </is>
      </c>
      <c r="L57" t="inlineStr">
        <is>
          <t>Gerenciamento de Problemas</t>
        </is>
      </c>
      <c r="M57" t="inlineStr">
        <is>
          <t>Parcial</t>
        </is>
      </c>
      <c r="N57" t="inlineStr">
        <is>
          <t>Gerenciamento de Incidentes</t>
        </is>
      </c>
      <c r="O57" t="inlineStr">
        <is>
          <t>Gerenciamento de Disponibilidade</t>
        </is>
      </c>
      <c r="P57" t="inlineStr">
        <is>
          <t>Parcial</t>
        </is>
      </c>
    </row>
    <row r="58">
      <c r="A58" t="inlineStr">
        <is>
          <t>479</t>
        </is>
      </c>
      <c r="B58" t="inlineStr">
        <is>
          <t>Otimização Urgente da AWS</t>
        </is>
      </c>
      <c r="C58" t="inlineStr">
        <is>
          <t>Gerenciamento Financeiro</t>
        </is>
      </c>
      <c r="D58" t="inlineStr">
        <is>
          <t>Gerenciamento de Incidentes</t>
        </is>
      </c>
      <c r="E58" t="inlineStr">
        <is>
          <t>Gerenciamento de Requisição de Serviço</t>
        </is>
      </c>
      <c r="F58" t="inlineStr">
        <is>
          <t>Gerenciamento Financeiro de Serviços</t>
        </is>
      </c>
      <c r="H58" t="inlineStr">
        <is>
          <t>Gerenciamento Financeiro de Serviços</t>
        </is>
      </c>
      <c r="I58" t="inlineStr">
        <is>
          <t>Gerenciamento de Capacidade e Desempenho</t>
        </is>
      </c>
      <c r="J58" t="inlineStr">
        <is>
          <t>ERROU</t>
        </is>
      </c>
      <c r="K58" t="inlineStr">
        <is>
          <t>Gerenciamento Financeiro de Serviços</t>
        </is>
      </c>
      <c r="L58" t="inlineStr">
        <is>
          <t>Gerenciamento de Capacidade e Desempenho</t>
        </is>
      </c>
      <c r="M58" t="inlineStr">
        <is>
          <t>Divergente</t>
        </is>
      </c>
      <c r="N58" t="inlineStr">
        <is>
          <t>Gerenciamento Financeiro de TI</t>
        </is>
      </c>
      <c r="O58" t="inlineStr">
        <is>
          <t>Gerenciamento de Requisição de Serviço</t>
        </is>
      </c>
      <c r="P58" t="inlineStr">
        <is>
          <t>Divergente</t>
        </is>
      </c>
    </row>
    <row r="59">
      <c r="A59" t="inlineStr">
        <is>
          <t>485</t>
        </is>
      </c>
      <c r="B59" t="inlineStr">
        <is>
          <t>Urgente: Problema de Interrupção do Serviço AWS</t>
        </is>
      </c>
      <c r="C59" t="inlineStr">
        <is>
          <t>Gerenciamento de Incidentes</t>
        </is>
      </c>
      <c r="D59" t="inlineStr">
        <is>
          <t>Gerenciamento de Disponibilidade</t>
        </is>
      </c>
      <c r="E59" t="inlineStr">
        <is>
          <t>Gerenciamento de Incidentes</t>
        </is>
      </c>
      <c r="F59" t="inlineStr">
        <is>
          <t>Gerenciamento de Continuidade de Serviço</t>
        </is>
      </c>
      <c r="H59" t="inlineStr">
        <is>
          <t>Gerenciamento de Incidentes</t>
        </is>
      </c>
      <c r="I59" t="inlineStr">
        <is>
          <t>Gerenciamento de Continuidade de Serviço</t>
        </is>
      </c>
      <c r="J59" t="inlineStr">
        <is>
          <t>ACERTOU</t>
        </is>
      </c>
      <c r="K59" t="inlineStr">
        <is>
          <t>Gerenciamento de Incidentes</t>
        </is>
      </c>
      <c r="L59" t="inlineStr">
        <is>
          <t>Gerenciamento de Continuidade de Serviço</t>
        </is>
      </c>
      <c r="M59" t="inlineStr">
        <is>
          <t>Parcial</t>
        </is>
      </c>
      <c r="N59" t="inlineStr">
        <is>
          <t>Gerenciamento de Incidentes</t>
        </is>
      </c>
      <c r="O59" t="inlineStr">
        <is>
          <t>Gerenciamento de Disponibilidade</t>
        </is>
      </c>
      <c r="P59" t="inlineStr">
        <is>
          <t>Convergente</t>
        </is>
      </c>
    </row>
    <row r="60">
      <c r="A60" t="inlineStr">
        <is>
          <t>492</t>
        </is>
      </c>
      <c r="B60" t="inlineStr">
        <is>
          <t>Investigação Imediata Necessária: Problemas de Conectividade</t>
        </is>
      </c>
      <c r="C60" t="inlineStr">
        <is>
          <t>Gerenciamento de Incidentes</t>
        </is>
      </c>
      <c r="D60" t="inlineStr">
        <is>
          <t>Gerenciamento de Problemas</t>
        </is>
      </c>
      <c r="E60" t="inlineStr">
        <is>
          <t>Gerenciamento de Incidentes</t>
        </is>
      </c>
      <c r="F60" t="inlineStr">
        <is>
          <t>Gerenciamento de Problemas</t>
        </is>
      </c>
      <c r="H60" t="inlineStr">
        <is>
          <t>Gerenciamento de Incidentes</t>
        </is>
      </c>
      <c r="I60" t="inlineStr">
        <is>
          <t>Gerenciamento de Problemas</t>
        </is>
      </c>
      <c r="J60" t="inlineStr">
        <is>
          <t>PARCIALMENTE</t>
        </is>
      </c>
      <c r="K60" t="inlineStr">
        <is>
          <t>Gerenciamento de Problemas</t>
        </is>
      </c>
      <c r="L60" t="inlineStr">
        <is>
          <t>Gerenciamento de Infraestrutura e Plataforma</t>
        </is>
      </c>
      <c r="M60" t="inlineStr">
        <is>
          <t>Divergente</t>
        </is>
      </c>
      <c r="N60" t="inlineStr">
        <is>
          <t>Gerenciamento de Problemas</t>
        </is>
      </c>
      <c r="O60" t="inlineStr">
        <is>
          <t>Gerenciamento de Disponibilidade</t>
        </is>
      </c>
      <c r="P60" t="inlineStr">
        <is>
          <t>Divergente</t>
        </is>
      </c>
    </row>
    <row r="61">
      <c r="A61" t="inlineStr">
        <is>
          <t>496</t>
        </is>
      </c>
      <c r="B61" t="inlineStr">
        <is>
          <t>Assistência Necessária para Problemas Persistentes de Atolamento de Papel com Impressora Canon</t>
        </is>
      </c>
      <c r="C61" t="inlineStr">
        <is>
          <t>Gerenciamento de Incidentes</t>
        </is>
      </c>
      <c r="D61" t="inlineStr">
        <is>
          <t>Gerenciamento de Problemas</t>
        </is>
      </c>
      <c r="E61" t="inlineStr">
        <is>
          <t>Gerenciamento de Incidentes</t>
        </is>
      </c>
      <c r="F61" t="inlineStr">
        <is>
          <t>Gerenciamento de Problemas</t>
        </is>
      </c>
      <c r="H61" t="inlineStr">
        <is>
          <t>Gerenciamento de Incidentes</t>
        </is>
      </c>
      <c r="I61" t="inlineStr">
        <is>
          <t>Gerenciamento de Problemas</t>
        </is>
      </c>
      <c r="J61" t="inlineStr">
        <is>
          <t>ACERTOU</t>
        </is>
      </c>
      <c r="K61" t="inlineStr">
        <is>
          <t>Gerenciamento de Problemas</t>
        </is>
      </c>
      <c r="L61" t="inlineStr">
        <is>
          <t>Gerenciamento de Incidentes</t>
        </is>
      </c>
      <c r="M61" t="inlineStr">
        <is>
          <t>Divergente</t>
        </is>
      </c>
      <c r="N61" t="inlineStr">
        <is>
          <t>Gerenciamento de Incidentes</t>
        </is>
      </c>
      <c r="O61" t="inlineStr">
        <is>
          <t>Gerenciamento de Problemas</t>
        </is>
      </c>
      <c r="P61" t="inlineStr">
        <is>
          <t>Convergente</t>
        </is>
      </c>
    </row>
    <row r="62">
      <c r="A62" t="inlineStr">
        <is>
          <t>504</t>
        </is>
      </c>
      <c r="B62" t="inlineStr">
        <is>
          <t>Problema de Acesso ao Outlook</t>
        </is>
      </c>
      <c r="C62" t="inlineStr">
        <is>
          <t>Gerenciamento de Incidentes</t>
        </is>
      </c>
      <c r="D62" t="inlineStr">
        <is>
          <t>Gerenciamento de Acesso</t>
        </is>
      </c>
      <c r="E62" t="inlineStr">
        <is>
          <t>Gerenciamento de Incidentes</t>
        </is>
      </c>
      <c r="F62" t="inlineStr">
        <is>
          <t>Gerenciamento de Acessos</t>
        </is>
      </c>
      <c r="H62" t="inlineStr">
        <is>
          <t>Gerenciamento de Incidentes</t>
        </is>
      </c>
      <c r="I62" t="inlineStr">
        <is>
          <t>Gerenciamento de Acessos</t>
        </is>
      </c>
      <c r="J62" t="inlineStr">
        <is>
          <t>ACERTOU</t>
        </is>
      </c>
      <c r="K62" t="inlineStr">
        <is>
          <t>Gerenciamento de Problemas</t>
        </is>
      </c>
      <c r="L62" t="inlineStr">
        <is>
          <t>Gerenciamento de Configuração de Serviço</t>
        </is>
      </c>
      <c r="M62" t="inlineStr">
        <is>
          <t>Divergente</t>
        </is>
      </c>
      <c r="N62" t="inlineStr">
        <is>
          <t>Gerenciamento de Incidentes</t>
        </is>
      </c>
      <c r="O62" t="inlineStr">
        <is>
          <t>Gerenciamento de Problemas</t>
        </is>
      </c>
      <c r="P62" t="inlineStr">
        <is>
          <t>Parcial</t>
        </is>
      </c>
    </row>
    <row r="63">
      <c r="A63" t="inlineStr">
        <is>
          <t>516</t>
        </is>
      </c>
      <c r="B63" t="inlineStr">
        <is>
          <t>Solicitação de Otimização das Configurações da AWS</t>
        </is>
      </c>
      <c r="C63" t="inlineStr">
        <is>
          <t>Solicitação de Serviço</t>
        </is>
      </c>
      <c r="D63" t="inlineStr">
        <is>
          <t>Gerenciamento Financeiro</t>
        </is>
      </c>
      <c r="E63" t="inlineStr">
        <is>
          <t>Gerenciamento de Requisição de Serviço</t>
        </is>
      </c>
      <c r="F63" t="inlineStr">
        <is>
          <t>Gerenciamento Financeiro de Serviços</t>
        </is>
      </c>
      <c r="H63" t="inlineStr">
        <is>
          <t>Gerenciamento de Requisição de Serviço</t>
        </is>
      </c>
      <c r="I63" t="inlineStr">
        <is>
          <t>Gerenciamento Financeiro de Serviços</t>
        </is>
      </c>
      <c r="J63" t="inlineStr">
        <is>
          <t>ERROU</t>
        </is>
      </c>
      <c r="K63" t="inlineStr">
        <is>
          <t>Gerenciamento Financeiro de Serviços</t>
        </is>
      </c>
      <c r="L63" t="inlineStr">
        <is>
          <t>Gerenciamento de Capacidade e Desempenho</t>
        </is>
      </c>
      <c r="M63" t="inlineStr">
        <is>
          <t>Divergente</t>
        </is>
      </c>
      <c r="N63" t="inlineStr">
        <is>
          <t>Gerenciamento de Ativos de TI</t>
        </is>
      </c>
      <c r="O63" t="inlineStr">
        <is>
          <t>Gerenciamento Financeiro de TI</t>
        </is>
      </c>
      <c r="P63" t="inlineStr">
        <is>
          <t>Divergente</t>
        </is>
      </c>
    </row>
    <row r="64">
      <c r="A64" t="inlineStr">
        <is>
          <t>537</t>
        </is>
      </c>
      <c r="B64" t="inlineStr">
        <is>
          <t>Assistência de Desempenho do Servidor</t>
        </is>
      </c>
      <c r="C64" t="inlineStr">
        <is>
          <t>Solicitação de Serviço</t>
        </is>
      </c>
      <c r="D64" t="inlineStr">
        <is>
          <t>Gerenciamento de Capacidade</t>
        </is>
      </c>
      <c r="E64" t="inlineStr">
        <is>
          <t>Gerenciamento de Capacidade e Desempenho</t>
        </is>
      </c>
      <c r="F64" t="inlineStr">
        <is>
          <t>Gerenciamento de Nível de Serviço</t>
        </is>
      </c>
      <c r="H64" t="inlineStr">
        <is>
          <t>Gerenciamento de Capacidade e Desempenho</t>
        </is>
      </c>
      <c r="I64" t="inlineStr">
        <is>
          <t>Gerenciamento de Problemas</t>
        </is>
      </c>
      <c r="J64" t="inlineStr">
        <is>
          <t>ERROU</t>
        </is>
      </c>
      <c r="K64" t="inlineStr">
        <is>
          <t>Gerenciamento de Capacidade e Desempenho</t>
        </is>
      </c>
      <c r="L64" t="inlineStr">
        <is>
          <t>Gerenciamento de Nível de Serviço</t>
        </is>
      </c>
      <c r="M64" t="inlineStr">
        <is>
          <t>Divergente</t>
        </is>
      </c>
      <c r="N64" t="inlineStr">
        <is>
          <t>Gerenciamento de Capacidade e Desempenho</t>
        </is>
      </c>
      <c r="O64" t="inlineStr">
        <is>
          <t>Gerenciamento de Problemas</t>
        </is>
      </c>
      <c r="P64" t="inlineStr">
        <is>
          <t>Divergente</t>
        </is>
      </c>
    </row>
    <row r="65">
      <c r="A65" t="inlineStr">
        <is>
          <t>546</t>
        </is>
      </c>
      <c r="B65" t="inlineStr">
        <is>
          <t>Problemas com Instâncias de Implantação da AWS</t>
        </is>
      </c>
      <c r="C65" t="inlineStr">
        <is>
          <t>Gerenciamento de Incidentes</t>
        </is>
      </c>
      <c r="D65" t="inlineStr">
        <is>
          <t>Gerenciamento de Disponibilidade</t>
        </is>
      </c>
      <c r="K65" t="inlineStr">
        <is>
          <t>Gerenciamento de Liberação</t>
        </is>
      </c>
      <c r="L65" t="inlineStr">
        <is>
          <t>Gerenciamento de Disponibilidade</t>
        </is>
      </c>
      <c r="M65" t="inlineStr">
        <is>
          <t>Parcial</t>
        </is>
      </c>
      <c r="N65" t="inlineStr">
        <is>
          <t>Gerenciamento de Incidentes</t>
        </is>
      </c>
      <c r="O65" t="inlineStr">
        <is>
          <t>Gerenciamento de Eventos</t>
        </is>
      </c>
      <c r="P65" t="inlineStr">
        <is>
          <t>Parcial</t>
        </is>
      </c>
    </row>
    <row r="66">
      <c r="A66" t="inlineStr">
        <is>
          <t>547</t>
        </is>
      </c>
      <c r="B66" t="inlineStr">
        <is>
          <t>Problema de Rede Empresarial</t>
        </is>
      </c>
      <c r="C66" t="inlineStr">
        <is>
          <t>Gerenciamento de Incidentes</t>
        </is>
      </c>
      <c r="D66" t="inlineStr">
        <is>
          <t>Gerenciamento de Capacidade</t>
        </is>
      </c>
      <c r="K66" t="inlineStr">
        <is>
          <t>Gerenciamento de Capacidade e Desempenho</t>
        </is>
      </c>
      <c r="L66" t="inlineStr">
        <is>
          <t>Gerenciamento de Ativos de TI</t>
        </is>
      </c>
      <c r="M66" t="inlineStr">
        <is>
          <t>Divergente</t>
        </is>
      </c>
      <c r="N66" t="inlineStr">
        <is>
          <t>Gerenciamento de Capacidade e Desempenho</t>
        </is>
      </c>
      <c r="O66" t="inlineStr">
        <is>
          <t>Gerenciamento de Mudanças</t>
        </is>
      </c>
      <c r="P66" t="inlineStr">
        <is>
          <t>Divergente</t>
        </is>
      </c>
    </row>
    <row r="67">
      <c r="A67" t="inlineStr">
        <is>
          <t>579</t>
        </is>
      </c>
      <c r="B67" t="inlineStr">
        <is>
          <t>Solicitação de Serviço de Garantia</t>
        </is>
      </c>
      <c r="C67" t="inlineStr">
        <is>
          <t>Solicitação de Serviço</t>
        </is>
      </c>
      <c r="D67" t="inlineStr">
        <is>
          <t>Gerenciamento de Ativos de TI</t>
        </is>
      </c>
      <c r="K67" t="inlineStr">
        <is>
          <t>Gerenciamento de Fornecedor</t>
        </is>
      </c>
      <c r="L67" t="inlineStr">
        <is>
          <t>Gerenciamento de Ativos de TI</t>
        </is>
      </c>
      <c r="M67" t="inlineStr">
        <is>
          <t>Parcial</t>
        </is>
      </c>
      <c r="N67" t="inlineStr">
        <is>
          <t>Gerenciamento de Solicitação de Serviço</t>
        </is>
      </c>
      <c r="O67" t="inlineStr">
        <is>
          <t>Gerenciamento de Ativos de TI</t>
        </is>
      </c>
      <c r="P67" t="inlineStr">
        <is>
          <t>Parcial</t>
        </is>
      </c>
    </row>
    <row r="68">
      <c r="A68" t="inlineStr">
        <is>
          <t>580</t>
        </is>
      </c>
      <c r="B68" t="inlineStr">
        <is>
          <t>Problema na Rede da Empresa</t>
        </is>
      </c>
      <c r="C68" t="inlineStr">
        <is>
          <t>Gerenciamento de Incidentes</t>
        </is>
      </c>
      <c r="D68" t="inlineStr">
        <is>
          <t>Gerenciamento de Problemas</t>
        </is>
      </c>
      <c r="K68" t="inlineStr">
        <is>
          <t>Gerenciamento de Problemas</t>
        </is>
      </c>
      <c r="L68" t="inlineStr">
        <is>
          <t>Gerenciamento de Configuração de Serviço</t>
        </is>
      </c>
      <c r="M68" t="inlineStr">
        <is>
          <t>Divergente</t>
        </is>
      </c>
      <c r="N68" t="inlineStr">
        <is>
          <t>Gerenciamento de Problemas</t>
        </is>
      </c>
      <c r="O68" t="inlineStr">
        <is>
          <t>Gerenciamento de Incidentes</t>
        </is>
      </c>
      <c r="P68" t="inlineStr">
        <is>
          <t>Divergente</t>
        </is>
      </c>
    </row>
    <row r="69">
      <c r="A69" t="inlineStr">
        <is>
          <t>585</t>
        </is>
      </c>
      <c r="B69" t="inlineStr">
        <is>
          <t>Experienciando problemas de qualidade de vídeo em reuniões com o cliente Zoom</t>
        </is>
      </c>
      <c r="C69" t="inlineStr">
        <is>
          <t>Gerenciamento de Incidentes</t>
        </is>
      </c>
      <c r="D69" t="inlineStr">
        <is>
          <t>Gerenciamento de Problemas</t>
        </is>
      </c>
      <c r="K69" t="inlineStr">
        <is>
          <t>Gerenciamento de Capacidade e Desempenho</t>
        </is>
      </c>
      <c r="L69" t="inlineStr">
        <is>
          <t>Habilitação de Mudança</t>
        </is>
      </c>
      <c r="M69" t="inlineStr">
        <is>
          <t>Divergente</t>
        </is>
      </c>
      <c r="N69" t="inlineStr">
        <is>
          <t>Gerenciamento de Solicitação de Serviço</t>
        </is>
      </c>
      <c r="O69" t="inlineStr">
        <is>
          <t>Não se aplica</t>
        </is>
      </c>
      <c r="P69" t="inlineStr">
        <is>
          <t>Divergente</t>
        </is>
      </c>
    </row>
    <row r="70">
      <c r="A70" t="inlineStr">
        <is>
          <t>620</t>
        </is>
      </c>
      <c r="B70" t="inlineStr">
        <is>
          <t>Solicitação para Abordar Discrepâncias na Fatura</t>
        </is>
      </c>
      <c r="C70" t="inlineStr">
        <is>
          <t>Gerenciamento Financeiro</t>
        </is>
      </c>
      <c r="D70" t="inlineStr">
        <is>
          <t>Gerenciamento de Incidentes</t>
        </is>
      </c>
      <c r="K70" t="inlineStr">
        <is>
          <t>Gerenciamento Financeiro de Serviços</t>
        </is>
      </c>
      <c r="L70" t="inlineStr">
        <is>
          <t>Gerenciamento de Catálogo de Serviço</t>
        </is>
      </c>
      <c r="M70" t="inlineStr">
        <is>
          <t>Divergente</t>
        </is>
      </c>
      <c r="N70" t="inlineStr">
        <is>
          <t>Gerenciamento Financeiro de TI</t>
        </is>
      </c>
      <c r="O70" t="inlineStr">
        <is>
          <t>Gerenciamento de Solicitação de Serviço</t>
        </is>
      </c>
      <c r="P70" t="inlineStr">
        <is>
          <t>Divergente</t>
        </is>
      </c>
    </row>
    <row r="71">
      <c r="A71" t="inlineStr">
        <is>
          <t>634</t>
        </is>
      </c>
      <c r="B71" t="inlineStr">
        <is>
          <t>Consulta de Serviço</t>
        </is>
      </c>
      <c r="C71" t="inlineStr">
        <is>
          <t>Solicitação de Serviço</t>
        </is>
      </c>
      <c r="D71" t="inlineStr">
        <is>
          <t>Gerenciamento de Nível de Serviço</t>
        </is>
      </c>
      <c r="K71" t="inlineStr">
        <is>
          <t>Gerenciamento de Catálogo de Serviço</t>
        </is>
      </c>
      <c r="L71" t="inlineStr">
        <is>
          <t>Gerenciamento de Relacionamento</t>
        </is>
      </c>
      <c r="M71" t="inlineStr">
        <is>
          <t>Divergente</t>
        </is>
      </c>
      <c r="N71" t="inlineStr">
        <is>
          <t>Gerenciamento de Relacionamento</t>
        </is>
      </c>
      <c r="O71" t="inlineStr">
        <is>
          <t>Não se aplica</t>
        </is>
      </c>
      <c r="P71" t="inlineStr">
        <is>
          <t>Divergente</t>
        </is>
      </c>
    </row>
    <row r="72">
      <c r="A72" t="inlineStr">
        <is>
          <t>650</t>
        </is>
      </c>
      <c r="B72" t="inlineStr">
        <is>
          <t>Solicitação de Devolução de Produto - Canon PIXMA MG3620</t>
        </is>
      </c>
      <c r="C72" t="inlineStr">
        <is>
          <t>Solicitação de Serviço</t>
        </is>
      </c>
      <c r="D72" t="inlineStr">
        <is>
          <t>Gerenciamento de Ativos de TI</t>
        </is>
      </c>
      <c r="K72" t="inlineStr">
        <is>
          <t>Gerenciamento de Problemas</t>
        </is>
      </c>
      <c r="L72" t="inlineStr">
        <is>
          <t>Gerenciamento de Fornecedor</t>
        </is>
      </c>
      <c r="M72" t="inlineStr">
        <is>
          <t>Divergente</t>
        </is>
      </c>
      <c r="N72" t="inlineStr">
        <is>
          <t>Gerenciamento de Incidentes</t>
        </is>
      </c>
      <c r="O72" t="inlineStr">
        <is>
          <t>Gerenciamento de Solicitação de Serviço</t>
        </is>
      </c>
      <c r="P72" t="inlineStr">
        <is>
          <t>Divergente</t>
        </is>
      </c>
    </row>
    <row r="73">
      <c r="A73" t="inlineStr">
        <is>
          <t>656</t>
        </is>
      </c>
      <c r="B73" t="inlineStr">
        <is>
          <t>Ajuda solicitada para problemas de inicialização do Dell XPS 13</t>
        </is>
      </c>
      <c r="C73" t="inlineStr">
        <is>
          <t>Gerenciamento de Incidentes</t>
        </is>
      </c>
      <c r="D73" t="inlineStr">
        <is>
          <t>Gerenciamento de Problemas</t>
        </is>
      </c>
      <c r="K73" t="inlineStr">
        <is>
          <t>Habilitação de Mudança</t>
        </is>
      </c>
      <c r="L73" t="inlineStr">
        <is>
          <t>Gerenciamento de Liberação</t>
        </is>
      </c>
      <c r="M73" t="inlineStr">
        <is>
          <t>Divergente</t>
        </is>
      </c>
      <c r="N73" t="inlineStr">
        <is>
          <t>Gerenciamento de Mudanças</t>
        </is>
      </c>
      <c r="O73" t="inlineStr">
        <is>
          <t>Gerenciamento de Incidentes</t>
        </is>
      </c>
      <c r="P73" t="inlineStr">
        <is>
          <t>Divergente</t>
        </is>
      </c>
    </row>
    <row r="74">
      <c r="A74" t="inlineStr">
        <is>
          <t>658</t>
        </is>
      </c>
      <c r="B74" t="inlineStr">
        <is>
          <t>Urgente: Assistência Imediata Necessária para Problema com AWS</t>
        </is>
      </c>
      <c r="C74" t="inlineStr">
        <is>
          <t>Gerenciamento de Incidentes</t>
        </is>
      </c>
      <c r="D74" t="inlineStr">
        <is>
          <t>Gerenciamento de Disponibilidade</t>
        </is>
      </c>
      <c r="K74" t="inlineStr">
        <is>
          <t>Gerenciamento de Disponibilidade</t>
        </is>
      </c>
      <c r="L74" t="inlineStr">
        <is>
          <t>Gerenciamento de Continuidade de Serviço</t>
        </is>
      </c>
      <c r="M74" t="inlineStr">
        <is>
          <t>Divergente</t>
        </is>
      </c>
      <c r="N74" t="inlineStr">
        <is>
          <t>Gerenciamento de Incidentes</t>
        </is>
      </c>
      <c r="O74" t="inlineStr">
        <is>
          <t>Gerenciamento de Disponibilidade</t>
        </is>
      </c>
      <c r="P74" t="inlineStr">
        <is>
          <t>Convergente</t>
        </is>
      </c>
    </row>
    <row r="75">
      <c r="A75" t="inlineStr">
        <is>
          <t>663</t>
        </is>
      </c>
      <c r="B75" t="inlineStr">
        <is>
          <t>Solicitação de assistência urgente sobre falhas frequentes no sistema</t>
        </is>
      </c>
      <c r="C75" t="inlineStr">
        <is>
          <t>Gerenciamento de Problemas</t>
        </is>
      </c>
      <c r="D75" t="inlineStr">
        <is>
          <t>Gerenciamento de Mudanças</t>
        </is>
      </c>
      <c r="K75" t="inlineStr">
        <is>
          <t>Habilitação de Mudança</t>
        </is>
      </c>
      <c r="L75" t="inlineStr">
        <is>
          <t>Gerenciamento de Problemas</t>
        </is>
      </c>
      <c r="M75" t="inlineStr">
        <is>
          <t>Divergente</t>
        </is>
      </c>
      <c r="N75" t="inlineStr">
        <is>
          <t>Gerenciamento de Mudanças</t>
        </is>
      </c>
      <c r="O75" t="inlineStr">
        <is>
          <t>Gerenciamento de Problemas</t>
        </is>
      </c>
      <c r="P75" t="inlineStr">
        <is>
          <t>Divergente</t>
        </is>
      </c>
    </row>
    <row r="76">
      <c r="A76" t="inlineStr">
        <is>
          <t>664</t>
        </is>
      </c>
      <c r="B76" t="inlineStr">
        <is>
          <t>Problema Urgente de Implantação da AWS</t>
        </is>
      </c>
      <c r="C76" t="inlineStr">
        <is>
          <t>Gerenciamento de Incidentes</t>
        </is>
      </c>
      <c r="D76" t="inlineStr">
        <is>
          <t>Gerenciamento de Disponibilidade</t>
        </is>
      </c>
      <c r="K76" t="inlineStr">
        <is>
          <t>Gerenciamento de Disponibilidade</t>
        </is>
      </c>
      <c r="L76" t="inlineStr">
        <is>
          <t>Gerenciamento de Liberação</t>
        </is>
      </c>
      <c r="M76" t="inlineStr">
        <is>
          <t>Divergente</t>
        </is>
      </c>
      <c r="N76" t="inlineStr">
        <is>
          <t>Gerenciamento de Incidentes</t>
        </is>
      </c>
      <c r="O76" t="inlineStr">
        <is>
          <t>Gerenciamento de Disponibilidade</t>
        </is>
      </c>
      <c r="P76" t="inlineStr">
        <is>
          <t>Convergente</t>
        </is>
      </c>
    </row>
    <row r="77">
      <c r="A77" t="inlineStr">
        <is>
          <t>670</t>
        </is>
      </c>
      <c r="B77" t="inlineStr">
        <is>
          <t>Solicitação de Processamento de Troca de Laptop Dell</t>
        </is>
      </c>
      <c r="C77" t="inlineStr">
        <is>
          <t>Solicitação de Serviço</t>
        </is>
      </c>
      <c r="D77" t="inlineStr">
        <is>
          <t>Gerenciamento de Ativos de TI</t>
        </is>
      </c>
      <c r="K77" t="inlineStr">
        <is>
          <t>Gerenciamento de Ativos de TI</t>
        </is>
      </c>
      <c r="L77" t="inlineStr">
        <is>
          <t>Gerenciamento de Fornecedor</t>
        </is>
      </c>
      <c r="M77" t="inlineStr">
        <is>
          <t>Divergente</t>
        </is>
      </c>
      <c r="N77" t="inlineStr">
        <is>
          <t>Gerenciamento de Solicitação de Serviço</t>
        </is>
      </c>
      <c r="O77" t="inlineStr">
        <is>
          <t>Gerenciamento de Ativos de TI</t>
        </is>
      </c>
      <c r="P77" t="inlineStr">
        <is>
          <t>Parcial</t>
        </is>
      </c>
    </row>
    <row r="78">
      <c r="A78" t="inlineStr">
        <is>
          <t>674</t>
        </is>
      </c>
      <c r="B78" t="inlineStr">
        <is>
          <t>Problema urgente de conectividade com a AWS</t>
        </is>
      </c>
      <c r="C78" t="inlineStr">
        <is>
          <t>Gerenciamento de Incidentes</t>
        </is>
      </c>
      <c r="D78" t="inlineStr">
        <is>
          <t>Gerenciamento de Disponibilidade</t>
        </is>
      </c>
      <c r="K78" t="inlineStr">
        <is>
          <t>Gerenciamento de Disponibilidade</t>
        </is>
      </c>
      <c r="L78" t="inlineStr">
        <is>
          <t>Gerenciamento de Nível de Serviço</t>
        </is>
      </c>
      <c r="M78" t="inlineStr">
        <is>
          <t>Divergente</t>
        </is>
      </c>
      <c r="N78" t="inlineStr">
        <is>
          <t>Gerenciamento de Incidentes</t>
        </is>
      </c>
      <c r="O78" t="inlineStr">
        <is>
          <t>Gerenciamento de Disponibilidade</t>
        </is>
      </c>
      <c r="P78" t="inlineStr">
        <is>
          <t>Convergente</t>
        </is>
      </c>
    </row>
    <row r="79">
      <c r="A79" t="inlineStr">
        <is>
          <t>683</t>
        </is>
      </c>
      <c r="B79" t="inlineStr">
        <is>
          <t>Solicitação de Alterações no Painel de Gerenciamento da AWS</t>
        </is>
      </c>
      <c r="C79" t="inlineStr">
        <is>
          <t>Solicitação de Serviço</t>
        </is>
      </c>
      <c r="D79" t="inlineStr">
        <is>
          <t>Gerenciamento Financeiro</t>
        </is>
      </c>
      <c r="K79" t="inlineStr">
        <is>
          <t>Gerenciamento de Capacidade e Desempenho</t>
        </is>
      </c>
      <c r="L79" t="inlineStr">
        <is>
          <t>Gerenciamento Financeiro de Serviços</t>
        </is>
      </c>
      <c r="M79" t="inlineStr">
        <is>
          <t>Divergente</t>
        </is>
      </c>
      <c r="N79" t="inlineStr">
        <is>
          <t>Gerenciamento de Mudanças</t>
        </is>
      </c>
      <c r="O79" t="inlineStr">
        <is>
          <t>Gerenciamento de Capacidade e Desempenho</t>
        </is>
      </c>
      <c r="P79" t="inlineStr">
        <is>
          <t>Divergente</t>
        </is>
      </c>
    </row>
    <row r="80">
      <c r="A80" t="inlineStr">
        <is>
          <t>698</t>
        </is>
      </c>
      <c r="B80" t="inlineStr">
        <is>
          <t>Urgente: Interrupção de Rede - Roteador Cisco ISR4331</t>
        </is>
      </c>
      <c r="C80" t="inlineStr">
        <is>
          <t>Gerenciamento de Incidentes</t>
        </is>
      </c>
      <c r="D80" t="inlineStr">
        <is>
          <t>Gerenciamento de Disponibilidade</t>
        </is>
      </c>
      <c r="K80" t="inlineStr">
        <is>
          <t>Gerenciamento de Disponibilidade</t>
        </is>
      </c>
      <c r="L80" t="inlineStr">
        <is>
          <t>Gerenciamento de Problemas</t>
        </is>
      </c>
      <c r="M80" t="inlineStr">
        <is>
          <t>Divergente</t>
        </is>
      </c>
      <c r="N80" t="inlineStr">
        <is>
          <t>Gerenciamento de Incidentes</t>
        </is>
      </c>
      <c r="O80" t="inlineStr">
        <is>
          <t>Gerenciamento de Problemas</t>
        </is>
      </c>
      <c r="P80" t="inlineStr">
        <is>
          <t>Parcial</t>
        </is>
      </c>
    </row>
    <row r="81">
      <c r="A81" t="inlineStr">
        <is>
          <t>706</t>
        </is>
      </c>
      <c r="B81" t="inlineStr">
        <is>
          <t>Problemas de rede com o roteador Cisco</t>
        </is>
      </c>
      <c r="C81" t="inlineStr">
        <is>
          <t>Gerenciamento de Incidentes</t>
        </is>
      </c>
      <c r="D81" t="inlineStr">
        <is>
          <t>Gerenciamento de Problemas</t>
        </is>
      </c>
      <c r="K81" t="inlineStr">
        <is>
          <t>Gerenciamento de Problemas</t>
        </is>
      </c>
      <c r="L81" t="inlineStr">
        <is>
          <t>Gerenciamento de Configuração de Serviço</t>
        </is>
      </c>
      <c r="M81" t="inlineStr">
        <is>
          <t>Divergente</t>
        </is>
      </c>
      <c r="N81" t="inlineStr">
        <is>
          <t>Gerenciamento de Problemas</t>
        </is>
      </c>
      <c r="O81" t="inlineStr">
        <is>
          <t>Gerenciamento de Incidentes</t>
        </is>
      </c>
      <c r="P81" t="inlineStr">
        <is>
          <t>Divergente</t>
        </is>
      </c>
    </row>
    <row r="82">
      <c r="A82" t="inlineStr">
        <is>
          <t>707</t>
        </is>
      </c>
      <c r="B82" t="inlineStr">
        <is>
          <t>Solicitação para Alterar o Processo de Administração do Servidor</t>
        </is>
      </c>
      <c r="C82" t="inlineStr">
        <is>
          <t>Solicitação de Serviço</t>
        </is>
      </c>
      <c r="D82" t="inlineStr">
        <is>
          <t>Gerenciamento de Mudanças</t>
        </is>
      </c>
      <c r="K82" t="inlineStr">
        <is>
          <t>Melhoria Contínua</t>
        </is>
      </c>
      <c r="L82" t="inlineStr">
        <is>
          <t>Gerenciamento de Configuração de Serviço</t>
        </is>
      </c>
      <c r="M82" t="inlineStr">
        <is>
          <t>Divergente</t>
        </is>
      </c>
      <c r="N82" t="inlineStr">
        <is>
          <t>Melhoria Contínua</t>
        </is>
      </c>
      <c r="O82" t="inlineStr">
        <is>
          <t>Gerenciamento de Relacionamento</t>
        </is>
      </c>
      <c r="P82" t="inlineStr">
        <is>
          <t>Divergente</t>
        </is>
      </c>
    </row>
    <row r="83">
      <c r="A83" t="inlineStr">
        <is>
          <t>709</t>
        </is>
      </c>
      <c r="B83" t="inlineStr">
        <is>
          <t>Consulta sobre Integrações Adicionais</t>
        </is>
      </c>
      <c r="C83" t="inlineStr">
        <is>
          <t>Solicitação de Serviço</t>
        </is>
      </c>
      <c r="D83" t="inlineStr">
        <is>
          <t>Gerenciamento de Problemas</t>
        </is>
      </c>
      <c r="K83" t="inlineStr">
        <is>
          <t>Gerenciamento de Catálogo de Serviço</t>
        </is>
      </c>
      <c r="L83" t="inlineStr">
        <is>
          <t>Gerenciamento de Relacionamento</t>
        </is>
      </c>
      <c r="M83" t="inlineStr">
        <is>
          <t>Divergente</t>
        </is>
      </c>
      <c r="N83" t="inlineStr">
        <is>
          <t>Gerenciamento de Solicitação de Serviço</t>
        </is>
      </c>
      <c r="O83" t="inlineStr">
        <is>
          <t>Não se aplica</t>
        </is>
      </c>
      <c r="P83" t="inlineStr">
        <is>
          <t>Divergente</t>
        </is>
      </c>
    </row>
    <row r="84">
      <c r="A84" t="inlineStr">
        <is>
          <t>710</t>
        </is>
      </c>
      <c r="B84" t="inlineStr">
        <is>
          <t>Solicitação de Retorno: Recurso HDR Defeituoso do Samsung QN90A</t>
        </is>
      </c>
      <c r="C84" t="inlineStr">
        <is>
          <t>Solicitação de Serviço</t>
        </is>
      </c>
      <c r="D84" t="inlineStr">
        <is>
          <t>Gerenciamento de Ativos de TI</t>
        </is>
      </c>
      <c r="K84" t="inlineStr">
        <is>
          <t>Gerenciamento de Fornecedor</t>
        </is>
      </c>
      <c r="L84" t="inlineStr">
        <is>
          <t>Gerenciamento de Ativos de TI</t>
        </is>
      </c>
      <c r="M84" t="inlineStr">
        <is>
          <t>Parcial</t>
        </is>
      </c>
      <c r="N84" t="inlineStr">
        <is>
          <t>Gerenciamento de Solicitação de Serviço</t>
        </is>
      </c>
      <c r="O84" t="inlineStr">
        <is>
          <t>Não se aplica</t>
        </is>
      </c>
      <c r="P84" t="inlineStr">
        <is>
          <t>Divergente</t>
        </is>
      </c>
    </row>
    <row r="85">
      <c r="A85" t="inlineStr">
        <is>
          <t>720</t>
        </is>
      </c>
      <c r="B85" t="inlineStr">
        <is>
          <t>Solicitação de detalhes sobre o plano de transição dos sistemas de TI e suporte</t>
        </is>
      </c>
      <c r="C85" t="inlineStr">
        <is>
          <t>Solicitação de Serviço</t>
        </is>
      </c>
      <c r="D85" t="inlineStr">
        <is>
          <t>Gerenciamento de Nível de Serviço</t>
        </is>
      </c>
      <c r="K85" t="inlineStr">
        <is>
          <t>Gerenciamento de Liberação</t>
        </is>
      </c>
      <c r="L85" t="inlineStr">
        <is>
          <t>Gerenciamento de Configuração de Serviço</t>
        </is>
      </c>
      <c r="M85" t="inlineStr">
        <is>
          <t>Divergente</t>
        </is>
      </c>
      <c r="N85" t="inlineStr">
        <is>
          <t>Gerenciamento de Mudanças</t>
        </is>
      </c>
      <c r="O85" t="inlineStr">
        <is>
          <t>Gerenciamento de Relacionamento</t>
        </is>
      </c>
      <c r="P85" t="inlineStr">
        <is>
          <t>Divergente</t>
        </is>
      </c>
    </row>
    <row r="86">
      <c r="A86" t="inlineStr">
        <is>
          <t>752</t>
        </is>
      </c>
      <c r="B86" t="inlineStr">
        <is>
          <t>Solicitação de Alteração de Permissões de Acesso</t>
        </is>
      </c>
      <c r="C86" t="inlineStr">
        <is>
          <t>Solicitação de Serviço</t>
        </is>
      </c>
      <c r="D86" t="inlineStr">
        <is>
          <t>Gerenciamento de Acesso</t>
        </is>
      </c>
      <c r="K86" t="inlineStr">
        <is>
          <t>Gerenciamento de Segurança da Informação</t>
        </is>
      </c>
      <c r="L86" t="inlineStr">
        <is>
          <t>Gerenciamento de Configuração de Serviço</t>
        </is>
      </c>
      <c r="M86" t="inlineStr">
        <is>
          <t>Divergente</t>
        </is>
      </c>
      <c r="N86" t="inlineStr">
        <is>
          <t>Gerenciamento de Solicitação de Serviço</t>
        </is>
      </c>
      <c r="O86" t="inlineStr">
        <is>
          <t>Não se aplica</t>
        </is>
      </c>
      <c r="P86" t="inlineStr">
        <is>
          <t>Divergente</t>
        </is>
      </c>
    </row>
    <row r="87">
      <c r="A87" t="inlineStr">
        <is>
          <t>756</t>
        </is>
      </c>
      <c r="B87" t="inlineStr">
        <is>
          <t>Solicitação de Devolução: Problema de Vazamento no Tanque de Tinta</t>
        </is>
      </c>
      <c r="C87" t="inlineStr">
        <is>
          <t>Solicitação de Serviço</t>
        </is>
      </c>
      <c r="D87" t="inlineStr">
        <is>
          <t>Gerenciamento de Ativos de TI</t>
        </is>
      </c>
      <c r="K87" t="inlineStr">
        <is>
          <t>Gerenciamento de Fornecedor</t>
        </is>
      </c>
      <c r="L87" t="inlineStr">
        <is>
          <t>Gerenciamento de Ativos de TI</t>
        </is>
      </c>
      <c r="M87" t="inlineStr">
        <is>
          <t>Parcial</t>
        </is>
      </c>
      <c r="N87" t="inlineStr">
        <is>
          <t>Gerenciamento de Solicitação de Serviço</t>
        </is>
      </c>
      <c r="O87" t="inlineStr">
        <is>
          <t>Não se aplica</t>
        </is>
      </c>
      <c r="P87" t="inlineStr">
        <is>
          <t>Divergente</t>
        </is>
      </c>
    </row>
    <row r="88">
      <c r="A88" t="inlineStr">
        <is>
          <t>757</t>
        </is>
      </c>
      <c r="B88" t="inlineStr">
        <is>
          <t>Urgente: Problema com Dell XPS 13 9310</t>
        </is>
      </c>
      <c r="C88" t="inlineStr">
        <is>
          <t>Gerenciamento de Incidentes</t>
        </is>
      </c>
      <c r="D88" t="inlineStr">
        <is>
          <t>Gerenciamento de Problemas</t>
        </is>
      </c>
      <c r="K88" t="inlineStr">
        <is>
          <t>Gerenciamento de Problemas</t>
        </is>
      </c>
      <c r="L88" t="inlineStr">
        <is>
          <t>Gerenciamento de Capacidade e Desempenho</t>
        </is>
      </c>
      <c r="M88" t="inlineStr">
        <is>
          <t>Divergente</t>
        </is>
      </c>
      <c r="N88" t="inlineStr">
        <is>
          <t>Gerenciamento de Incidentes</t>
        </is>
      </c>
      <c r="O88" t="inlineStr">
        <is>
          <t>Gerenciamento de Problemas</t>
        </is>
      </c>
      <c r="P88" t="inlineStr">
        <is>
          <t>Convergente</t>
        </is>
      </c>
    </row>
    <row r="89">
      <c r="A89" t="inlineStr">
        <is>
          <t>764</t>
        </is>
      </c>
      <c r="B89" t="inlineStr">
        <is>
          <t>Pedido de Devolução para Compra do MacBook Air M1</t>
        </is>
      </c>
      <c r="C89" t="inlineStr">
        <is>
          <t>Solicitação de Serviço</t>
        </is>
      </c>
      <c r="D89" t="inlineStr">
        <is>
          <t>Gerenciamento de Ativos de TI</t>
        </is>
      </c>
      <c r="K89" t="inlineStr">
        <is>
          <t>Gerenciamento de Relacionamento</t>
        </is>
      </c>
      <c r="L89" t="inlineStr">
        <is>
          <t>Gerenciamento de Requisição de Serviço</t>
        </is>
      </c>
      <c r="M89" t="inlineStr">
        <is>
          <t>Divergente</t>
        </is>
      </c>
      <c r="N89" t="inlineStr">
        <is>
          <t>Gerenciamento de Solicitação de Serviço</t>
        </is>
      </c>
      <c r="O89" t="inlineStr">
        <is>
          <t>Não se aplica</t>
        </is>
      </c>
      <c r="P89" t="inlineStr">
        <is>
          <t>Divergente</t>
        </is>
      </c>
    </row>
    <row r="90">
      <c r="A90" t="inlineStr">
        <is>
          <t>768</t>
        </is>
      </c>
      <c r="B90" t="inlineStr">
        <is>
          <t>Urgente: Bug Grave no Sistema de Tickets</t>
        </is>
      </c>
      <c r="C90" t="inlineStr">
        <is>
          <t>Gerenciamento de Incidentes</t>
        </is>
      </c>
      <c r="D90" t="inlineStr">
        <is>
          <t>Gerenciamento de Problemas</t>
        </is>
      </c>
      <c r="K90" t="inlineStr">
        <is>
          <t>Gerenciamento de Problemas</t>
        </is>
      </c>
      <c r="L90" t="inlineStr">
        <is>
          <t>Gerenciamento de Liberação</t>
        </is>
      </c>
      <c r="M90" t="inlineStr">
        <is>
          <t>Divergente</t>
        </is>
      </c>
      <c r="N90" t="inlineStr">
        <is>
          <t>Gerenciamento de Problemas</t>
        </is>
      </c>
      <c r="O90" t="inlineStr">
        <is>
          <t>Gerenciamento de Incidentes</t>
        </is>
      </c>
      <c r="P90" t="inlineStr">
        <is>
          <t>Divergente</t>
        </is>
      </c>
    </row>
    <row r="91">
      <c r="A91" t="inlineStr">
        <is>
          <t>783</t>
        </is>
      </c>
      <c r="B91" t="inlineStr">
        <is>
          <t>Problemas de Conectividade</t>
        </is>
      </c>
      <c r="C91" t="inlineStr">
        <is>
          <t>Solicitação de Serviço</t>
        </is>
      </c>
      <c r="D91" t="inlineStr">
        <is>
          <t>Gerenciamento de Incidentes</t>
        </is>
      </c>
      <c r="K91" t="inlineStr">
        <is>
          <t>Gerenciamento de Configuração de Serviço</t>
        </is>
      </c>
      <c r="L91" t="inlineStr">
        <is>
          <t>Gerenciamento de Catálogo de Serviço</t>
        </is>
      </c>
      <c r="M91" t="inlineStr">
        <is>
          <t>Divergente</t>
        </is>
      </c>
      <c r="N91" t="inlineStr">
        <is>
          <t>Gerenciamento de Solicitação de Serviço</t>
        </is>
      </c>
      <c r="O91" t="inlineStr">
        <is>
          <t>Não se aplica</t>
        </is>
      </c>
      <c r="P91" t="inlineStr">
        <is>
          <t>Divergente</t>
        </is>
      </c>
    </row>
    <row r="92">
      <c r="A92" t="inlineStr">
        <is>
          <t>787</t>
        </is>
      </c>
      <c r="B92" t="inlineStr">
        <is>
          <t>Quedas frequentes de áudio durante videochamadas</t>
        </is>
      </c>
      <c r="C92" t="inlineStr">
        <is>
          <t>Gerenciamento de Incidentes</t>
        </is>
      </c>
      <c r="D92" t="inlineStr">
        <is>
          <t>Gerenciamento de Problemas</t>
        </is>
      </c>
      <c r="K92" t="inlineStr">
        <is>
          <t>Gerenciamento de Problemas</t>
        </is>
      </c>
      <c r="L92" t="inlineStr">
        <is>
          <t>Gerenciamento de Liberação</t>
        </is>
      </c>
      <c r="M92" t="inlineStr">
        <is>
          <t>Divergente</t>
        </is>
      </c>
    </row>
    <row r="93">
      <c r="A93" t="inlineStr">
        <is>
          <t>788</t>
        </is>
      </c>
      <c r="B93" t="inlineStr">
        <is>
          <t>Problema com o Microsoft Surface Pro 7</t>
        </is>
      </c>
      <c r="C93" t="inlineStr">
        <is>
          <t>Gerenciamento de Incidentes</t>
        </is>
      </c>
      <c r="D93" t="inlineStr">
        <is>
          <t>Gerenciamento de Problemas</t>
        </is>
      </c>
      <c r="K93" t="inlineStr">
        <is>
          <t>Gerenciamento de Problemas</t>
        </is>
      </c>
      <c r="L93" t="inlineStr">
        <is>
          <t>Gerenciamento de Configuração de Serviço</t>
        </is>
      </c>
      <c r="M93" t="inlineStr">
        <is>
          <t>Divergente</t>
        </is>
      </c>
      <c r="N93" t="inlineStr">
        <is>
          <t>Gerenciamento de Incidentes</t>
        </is>
      </c>
      <c r="O93" t="inlineStr">
        <is>
          <t>Gerenciamento de Ativos de TI</t>
        </is>
      </c>
      <c r="P93" t="inlineStr">
        <is>
          <t>Parcial</t>
        </is>
      </c>
    </row>
    <row r="94">
      <c r="A94" t="inlineStr">
        <is>
          <t>794</t>
        </is>
      </c>
      <c r="B94" t="inlineStr">
        <is>
          <t>Problema de Desempenho do Navegador</t>
        </is>
      </c>
      <c r="C94" t="inlineStr">
        <is>
          <t>Gerenciamento de Incidentes</t>
        </is>
      </c>
      <c r="D94" t="inlineStr">
        <is>
          <t>Gerenciamento de Problemas</t>
        </is>
      </c>
      <c r="K94" t="inlineStr">
        <is>
          <t>Gerenciamento de Problemas</t>
        </is>
      </c>
      <c r="L94" t="inlineStr">
        <is>
          <t>Gerenciamento de Capacidade e Desempenho</t>
        </is>
      </c>
      <c r="M94" t="inlineStr">
        <is>
          <t>Divergente</t>
        </is>
      </c>
      <c r="N94" t="inlineStr">
        <is>
          <t>Gerenciamento de Problemas</t>
        </is>
      </c>
      <c r="O94" t="inlineStr">
        <is>
          <t>Gerenciamento de Incidentes</t>
        </is>
      </c>
      <c r="P94" t="inlineStr">
        <is>
          <t>Divergente</t>
        </is>
      </c>
    </row>
    <row r="95">
      <c r="A95" t="inlineStr">
        <is>
          <t>800</t>
        </is>
      </c>
      <c r="B95" t="inlineStr">
        <is>
          <t>Assistência Necessária para Configuração da Impressora Canon</t>
        </is>
      </c>
      <c r="C95" t="inlineStr">
        <is>
          <t>Solicitação de Serviço</t>
        </is>
      </c>
      <c r="D95" t="inlineStr">
        <is>
          <t>Gerenciamento de Incidentes</t>
        </is>
      </c>
      <c r="K95" t="inlineStr">
        <is>
          <t>Gerenciamento de Requisição de Serviço</t>
        </is>
      </c>
      <c r="L95" t="inlineStr">
        <is>
          <t>Gerenciamento de Catálogo de Serviço</t>
        </is>
      </c>
      <c r="M95" t="inlineStr">
        <is>
          <t>Divergente</t>
        </is>
      </c>
      <c r="N95" t="inlineStr">
        <is>
          <t>Gerenciamento de Incidentes</t>
        </is>
      </c>
      <c r="O95" t="inlineStr">
        <is>
          <t>Gerenciamento de Nível de Serviço</t>
        </is>
      </c>
      <c r="P95" t="inlineStr">
        <is>
          <t>Divergente</t>
        </is>
      </c>
    </row>
    <row r="96">
      <c r="A96" t="inlineStr">
        <is>
          <t>801</t>
        </is>
      </c>
      <c r="B96" t="inlineStr">
        <is>
          <t>Problema de Tela Preta com LG OLED C1</t>
        </is>
      </c>
      <c r="C96" t="inlineStr">
        <is>
          <t>Gerenciamento de Incidentes</t>
        </is>
      </c>
      <c r="D96" t="inlineStr">
        <is>
          <t>Gerenciamento de Ativos de TI</t>
        </is>
      </c>
      <c r="K96" t="inlineStr">
        <is>
          <t>Gerenciamento de Incidentes</t>
        </is>
      </c>
      <c r="L96" t="inlineStr">
        <is>
          <t>Gerenciamento de Ativos de TI</t>
        </is>
      </c>
      <c r="M96" t="inlineStr">
        <is>
          <t>Convergente</t>
        </is>
      </c>
      <c r="N96" t="inlineStr">
        <is>
          <t>Gerenciamento de Incidentes</t>
        </is>
      </c>
      <c r="O96" t="inlineStr">
        <is>
          <t>Gerenciamento de Ativos de TI</t>
        </is>
      </c>
      <c r="P96" t="inlineStr">
        <is>
          <t>Convergente</t>
        </is>
      </c>
    </row>
    <row r="97">
      <c r="A97" t="inlineStr">
        <is>
          <t>807</t>
        </is>
      </c>
      <c r="B97" t="inlineStr">
        <is>
          <t>Assistência Técnica Necessária para Surface Pro 7 Touchscreen</t>
        </is>
      </c>
      <c r="C97" t="inlineStr">
        <is>
          <t>Gerenciamento de Incidentes</t>
        </is>
      </c>
      <c r="D97" t="inlineStr">
        <is>
          <t>Gerenciamento de Ativos de TI</t>
        </is>
      </c>
      <c r="K97" t="inlineStr">
        <is>
          <t>Gerenciamento de Problemas</t>
        </is>
      </c>
      <c r="L97" t="inlineStr">
        <is>
          <t>Gerenciamento de Ativos de TI</t>
        </is>
      </c>
      <c r="M97" t="inlineStr">
        <is>
          <t>Parcial</t>
        </is>
      </c>
    </row>
    <row r="98">
      <c r="A98" t="inlineStr">
        <is>
          <t>824</t>
        </is>
      </c>
      <c r="B98" t="inlineStr">
        <is>
          <t>Resolução Urgente Necessária: Cobrança Incorreta para o Plano Google Workspace</t>
        </is>
      </c>
      <c r="C98" t="inlineStr">
        <is>
          <t>Gerenciamento Financeiro</t>
        </is>
      </c>
      <c r="D98" t="inlineStr">
        <is>
          <t>Gerenciamento de Incidentes</t>
        </is>
      </c>
      <c r="K98" t="inlineStr">
        <is>
          <t>Gerenciamento Financeiro de Serviços</t>
        </is>
      </c>
      <c r="L98" t="inlineStr">
        <is>
          <t>Gerenciamento de Relacionamento</t>
        </is>
      </c>
      <c r="M98" t="inlineStr">
        <is>
          <t>Divergente</t>
        </is>
      </c>
      <c r="N98" t="inlineStr">
        <is>
          <t>Gerenciamento de Requisições de Serviço</t>
        </is>
      </c>
      <c r="O98" t="inlineStr">
        <is>
          <t>Gerenciamento Financeiro de TI</t>
        </is>
      </c>
      <c r="P98" t="inlineStr">
        <is>
          <t>Divergente</t>
        </is>
      </c>
    </row>
    <row r="99">
      <c r="A99" t="inlineStr">
        <is>
          <t>825</t>
        </is>
      </c>
      <c r="B99" t="inlineStr">
        <is>
          <t>Consulta Sobre Consultoria de TI</t>
        </is>
      </c>
      <c r="C99" t="inlineStr">
        <is>
          <t>Solicitação de Serviço</t>
        </is>
      </c>
      <c r="D99" t="inlineStr">
        <is>
          <t>Gerenciamento de Nível de Serviço</t>
        </is>
      </c>
      <c r="K99" t="inlineStr">
        <is>
          <t>Gerenciamento de Relacionamento</t>
        </is>
      </c>
      <c r="L99" t="inlineStr">
        <is>
          <t>Gerenciamento de Catálogo de Serviço</t>
        </is>
      </c>
      <c r="M99" t="inlineStr">
        <is>
          <t>Divergente</t>
        </is>
      </c>
      <c r="N99" t="inlineStr">
        <is>
          <t>Gerenciamento de Requisições de Serviço</t>
        </is>
      </c>
      <c r="O99" t="inlineStr">
        <is>
          <t>Não se aplica</t>
        </is>
      </c>
      <c r="P99" t="inlineStr">
        <is>
          <t>Divergente</t>
        </is>
      </c>
    </row>
    <row r="100">
      <c r="A100" t="inlineStr">
        <is>
          <t>830</t>
        </is>
      </c>
      <c r="B100" t="inlineStr">
        <is>
          <t>Urgente: Atrasos na Resposta no Serviço de Consultoria em TI</t>
        </is>
      </c>
      <c r="C100" t="inlineStr">
        <is>
          <t>Gerenciamento de Nível de Serviço</t>
        </is>
      </c>
      <c r="D100" t="inlineStr">
        <is>
          <t>Gerenciamento de Incidentes</t>
        </is>
      </c>
      <c r="K100" t="inlineStr">
        <is>
          <t>Gerenciamento de Nível de Serviço</t>
        </is>
      </c>
      <c r="L100" t="inlineStr">
        <is>
          <t>Gerenciamento de Problemas</t>
        </is>
      </c>
      <c r="M100" t="inlineStr">
        <is>
          <t>Parcial</t>
        </is>
      </c>
      <c r="N100" t="inlineStr">
        <is>
          <t>Gerenciamento de Nível de Serviço</t>
        </is>
      </c>
      <c r="O100" t="inlineStr">
        <is>
          <t>Gerenciamento de Incidentes</t>
        </is>
      </c>
      <c r="P100" t="inlineStr">
        <is>
          <t>Convergente</t>
        </is>
      </c>
    </row>
    <row r="101">
      <c r="A101" t="inlineStr">
        <is>
          <t>837</t>
        </is>
      </c>
      <c r="B101" t="inlineStr">
        <is>
          <t>Assistência para Solicitação de Migração</t>
        </is>
      </c>
      <c r="C101" t="inlineStr">
        <is>
          <t>Solicitação de Serviço</t>
        </is>
      </c>
      <c r="D101" t="inlineStr">
        <is>
          <t>Gerenciamento de Mudanças</t>
        </is>
      </c>
      <c r="K101" t="inlineStr">
        <is>
          <t>Gerenciamento de Requisição de Serviço</t>
        </is>
      </c>
      <c r="L101" t="inlineStr">
        <is>
          <t>Habilitação de Mudança</t>
        </is>
      </c>
      <c r="M101" t="inlineStr">
        <is>
          <t>Divergente</t>
        </is>
      </c>
      <c r="N101" t="inlineStr">
        <is>
          <t>Gerenciamento de Requisições de Serviço</t>
        </is>
      </c>
      <c r="O101" t="inlineStr">
        <is>
          <t>Gerenciamento de Mudanças</t>
        </is>
      </c>
      <c r="P101" t="inlineStr">
        <is>
          <t>Parcial</t>
        </is>
      </c>
    </row>
    <row r="102">
      <c r="A102" t="inlineStr">
        <is>
          <t>852</t>
        </is>
      </c>
      <c r="B102" t="inlineStr">
        <is>
          <t>Assistência Necessária para Problema de Atualização do macOS</t>
        </is>
      </c>
      <c r="C102" t="inlineStr">
        <is>
          <t>Solicitação de Serviço</t>
        </is>
      </c>
      <c r="D102" t="inlineStr">
        <is>
          <t>Gerenciamento de Incidentes</t>
        </is>
      </c>
      <c r="K102" t="inlineStr">
        <is>
          <t>Gerenciamento de Problemas</t>
        </is>
      </c>
      <c r="L102" t="inlineStr">
        <is>
          <t>Gerenciamento de Capacidade e Desempenho</t>
        </is>
      </c>
      <c r="M102" t="inlineStr">
        <is>
          <t>Divergente</t>
        </is>
      </c>
      <c r="N102" t="inlineStr">
        <is>
          <t>Gerenciamento de Mudanças</t>
        </is>
      </c>
      <c r="O102" t="inlineStr">
        <is>
          <t>Gerenciamento de Incidentes</t>
        </is>
      </c>
      <c r="P102" t="inlineStr">
        <is>
          <t>Parcial</t>
        </is>
      </c>
    </row>
    <row r="103">
      <c r="A103" t="inlineStr">
        <is>
          <t>863</t>
        </is>
      </c>
      <c r="B103" t="inlineStr">
        <is>
          <t>Erro Código 502 Frequente no Acesso à Plataforma Jira</t>
        </is>
      </c>
      <c r="C103" t="inlineStr">
        <is>
          <t>Gerenciamento de Incidentes</t>
        </is>
      </c>
      <c r="D103" t="inlineStr">
        <is>
          <t>Gerenciamento de Disponibilidade</t>
        </is>
      </c>
      <c r="K103" t="inlineStr">
        <is>
          <t>Gerenciamento de Disponibilidade</t>
        </is>
      </c>
      <c r="L103" t="inlineStr">
        <is>
          <t>Gerenciamento de Incidentes</t>
        </is>
      </c>
      <c r="M103" t="inlineStr">
        <is>
          <t>Divergente</t>
        </is>
      </c>
    </row>
    <row r="104">
      <c r="A104" t="inlineStr">
        <is>
          <t>866</t>
        </is>
      </c>
      <c r="B104" t="inlineStr">
        <is>
          <t>Consulta sobre a disponibilidade do MacBook Air M1</t>
        </is>
      </c>
      <c r="C104" t="inlineStr">
        <is>
          <t>Solicitação de Serviço</t>
        </is>
      </c>
      <c r="D104" t="inlineStr">
        <is>
          <t>Gerenciamento de Ativos de TI</t>
        </is>
      </c>
      <c r="K104" t="inlineStr">
        <is>
          <t>Gerenciamento de Catálogo de Serviço</t>
        </is>
      </c>
      <c r="L104" t="inlineStr">
        <is>
          <t>Gerenciamento de Relacionamento</t>
        </is>
      </c>
      <c r="M104" t="inlineStr">
        <is>
          <t>Divergente</t>
        </is>
      </c>
      <c r="N104" t="inlineStr">
        <is>
          <t>Gerenciamento de Requisições de Serviço</t>
        </is>
      </c>
      <c r="O104" t="inlineStr">
        <is>
          <t>Não se aplica</t>
        </is>
      </c>
      <c r="P104" t="inlineStr">
        <is>
          <t>Divergente</t>
        </is>
      </c>
    </row>
    <row r="105">
      <c r="A105" t="inlineStr">
        <is>
          <t>872</t>
        </is>
      </c>
      <c r="B105" t="inlineStr">
        <is>
          <t>Problema com a Cobrança do Office 365</t>
        </is>
      </c>
      <c r="C105" t="inlineStr">
        <is>
          <t>Gerenciamento Financeiro</t>
        </is>
      </c>
      <c r="D105" t="inlineStr">
        <is>
          <t>Gerenciamento de Incidentes</t>
        </is>
      </c>
      <c r="K105" t="inlineStr">
        <is>
          <t>Gerenciamento Financeiro de Serviços</t>
        </is>
      </c>
      <c r="L105" t="inlineStr">
        <is>
          <t>Gerenciamento de Incidentes</t>
        </is>
      </c>
      <c r="M105" t="inlineStr">
        <is>
          <t>Parcial</t>
        </is>
      </c>
    </row>
    <row r="106">
      <c r="A106" t="inlineStr">
        <is>
          <t>873</t>
        </is>
      </c>
      <c r="B106" t="inlineStr">
        <is>
          <t>Problemas Frequentes de Encravamento de Papel: HP DeskJet 3755</t>
        </is>
      </c>
      <c r="C106" t="inlineStr">
        <is>
          <t>Gerenciamento de Incidentes</t>
        </is>
      </c>
      <c r="D106" t="inlineStr">
        <is>
          <t>Gerenciamento de Problemas</t>
        </is>
      </c>
      <c r="K106" t="inlineStr">
        <is>
          <t>Gerenciamento de Problemas</t>
        </is>
      </c>
      <c r="L106" t="inlineStr">
        <is>
          <t>Gerenciamento de Ativos de TI</t>
        </is>
      </c>
      <c r="M106" t="inlineStr">
        <is>
          <t>Divergente</t>
        </is>
      </c>
    </row>
    <row r="107">
      <c r="A107" t="inlineStr">
        <is>
          <t>890</t>
        </is>
      </c>
      <c r="B107" t="inlineStr">
        <is>
          <t>Jams frequentes de papel com Canon PIXMA MG3620</t>
        </is>
      </c>
      <c r="C107" t="inlineStr">
        <is>
          <t>Gerenciamento de Incidentes</t>
        </is>
      </c>
      <c r="D107" t="inlineStr">
        <is>
          <t>Gerenciamento de Ativos de TI</t>
        </is>
      </c>
      <c r="K107" t="inlineStr">
        <is>
          <t>Gerenciamento de Problemas</t>
        </is>
      </c>
      <c r="L107" t="inlineStr">
        <is>
          <t>Gerenciamento de Ativos de TI</t>
        </is>
      </c>
      <c r="M107" t="inlineStr">
        <is>
          <t>Parcial</t>
        </is>
      </c>
    </row>
    <row r="108">
      <c r="A108" t="inlineStr">
        <is>
          <t>895</t>
        </is>
      </c>
      <c r="B108" t="inlineStr">
        <is>
          <t>Problemas com os Recursos de Refatoração do IntelliJ IDEA 2024.1</t>
        </is>
      </c>
      <c r="C108" t="inlineStr">
        <is>
          <t>Gerenciamento de Problemas</t>
        </is>
      </c>
      <c r="D108" t="inlineStr">
        <is>
          <t>Gerenciamento de Mudanças</t>
        </is>
      </c>
      <c r="K108" t="inlineStr">
        <is>
          <t>Gerenciamento de Problemas</t>
        </is>
      </c>
      <c r="L108" t="inlineStr">
        <is>
          <t>Gerenciamento de Liberação</t>
        </is>
      </c>
      <c r="M108" t="inlineStr">
        <is>
          <t>Parcial</t>
        </is>
      </c>
      <c r="N108" t="inlineStr">
        <is>
          <t>Gerenciamento de Problemas</t>
        </is>
      </c>
      <c r="O108" t="inlineStr">
        <is>
          <t>Gerenciamento de Incidentes</t>
        </is>
      </c>
      <c r="P108" t="inlineStr">
        <is>
          <t>Parcial</t>
        </is>
      </c>
    </row>
    <row r="109">
      <c r="A109" t="inlineStr">
        <is>
          <t>896</t>
        </is>
      </c>
      <c r="B109" t="inlineStr">
        <is>
          <t>Problema com a Canon PIXMA MG3620</t>
        </is>
      </c>
      <c r="C109" t="inlineStr">
        <is>
          <t>Gerenciamento de Incidentes</t>
        </is>
      </c>
      <c r="D109" t="inlineStr">
        <is>
          <t>Gerenciamento de Ativos de TI</t>
        </is>
      </c>
      <c r="K109" t="inlineStr">
        <is>
          <t>Gerenciamento de Problemas</t>
        </is>
      </c>
      <c r="L109" t="inlineStr">
        <is>
          <t>Gerenciamento de Configuração de Serviço</t>
        </is>
      </c>
      <c r="M109" t="inlineStr">
        <is>
          <t>Divergente</t>
        </is>
      </c>
    </row>
    <row r="110">
      <c r="A110" t="inlineStr">
        <is>
          <t>909</t>
        </is>
      </c>
      <c r="B110" t="inlineStr">
        <is>
          <t>Problema com o Acesso ao Quadro Scrum</t>
        </is>
      </c>
      <c r="C110" t="inlineStr">
        <is>
          <t>Gerenciamento de Incidentes</t>
        </is>
      </c>
      <c r="D110" t="inlineStr">
        <is>
          <t>Gerenciamento de Acesso</t>
        </is>
      </c>
      <c r="K110" t="inlineStr">
        <is>
          <t>Gerenciamento de Configuração de Serviço</t>
        </is>
      </c>
      <c r="L110" t="inlineStr">
        <is>
          <t>Gerenciamento de Segurança da Informação</t>
        </is>
      </c>
      <c r="M110" t="inlineStr">
        <is>
          <t>Divergente</t>
        </is>
      </c>
      <c r="N110" t="inlineStr">
        <is>
          <t>Gerenciamento de Acesso</t>
        </is>
      </c>
      <c r="O110" t="inlineStr">
        <is>
          <t>Gerenciamento de Incidentes</t>
        </is>
      </c>
      <c r="P110" t="inlineStr">
        <is>
          <t>Divergente</t>
        </is>
      </c>
    </row>
    <row r="111">
      <c r="A111" t="inlineStr">
        <is>
          <t>932</t>
        </is>
      </c>
      <c r="B111" t="inlineStr">
        <is>
          <t>Interrupção Urgente do Banco de Dados</t>
        </is>
      </c>
      <c r="C111" t="inlineStr">
        <is>
          <t>Gerenciamento de Incidentes</t>
        </is>
      </c>
      <c r="D111" t="inlineStr">
        <is>
          <t>Gerenciamento de Disponibilidade</t>
        </is>
      </c>
      <c r="K111" t="inlineStr">
        <is>
          <t>Gerenciamento de Disponibilidade</t>
        </is>
      </c>
      <c r="L111" t="inlineStr">
        <is>
          <t>Gerenciamento de Continuidade de Serviço</t>
        </is>
      </c>
      <c r="M111" t="inlineStr">
        <is>
          <t>Divergente</t>
        </is>
      </c>
      <c r="N111" t="inlineStr">
        <is>
          <t>Gerenciamento de Incidentes</t>
        </is>
      </c>
      <c r="O111" t="inlineStr">
        <is>
          <t>Gerenciamento de Disponibilidade</t>
        </is>
      </c>
      <c r="P111" t="inlineStr">
        <is>
          <t>Convergente</t>
        </is>
      </c>
    </row>
    <row r="112">
      <c r="A112" t="inlineStr">
        <is>
          <t>935</t>
        </is>
      </c>
      <c r="B112" t="inlineStr">
        <is>
          <t>Problema com a Bateria do Surface Pro</t>
        </is>
      </c>
      <c r="C112" t="inlineStr">
        <is>
          <t>Gerenciamento de Incidentes</t>
        </is>
      </c>
      <c r="D112" t="inlineStr">
        <is>
          <t>Gerenciamento de Ativos de TI</t>
        </is>
      </c>
      <c r="K112" t="inlineStr">
        <is>
          <t>Gerenciamento de Problemas</t>
        </is>
      </c>
      <c r="L112" t="inlineStr">
        <is>
          <t>Gerenciamento de Ativos de TI</t>
        </is>
      </c>
      <c r="M112" t="inlineStr">
        <is>
          <t>Parcial</t>
        </is>
      </c>
    </row>
    <row r="113">
      <c r="A113" t="inlineStr">
        <is>
          <t>948</t>
        </is>
      </c>
      <c r="B113" t="inlineStr">
        <is>
          <t>Urgente: Tentativas de Acesso Não Autorizadas à Conta AWS</t>
        </is>
      </c>
      <c r="C113" t="inlineStr">
        <is>
          <t>Gerenciamento de Segurança da Informação</t>
        </is>
      </c>
      <c r="D113" t="inlineStr">
        <is>
          <t>Gerenciamento de Incidentes</t>
        </is>
      </c>
      <c r="K113" t="inlineStr">
        <is>
          <t>Gerenciamento de Segurança da Informação</t>
        </is>
      </c>
      <c r="L113" t="inlineStr">
        <is>
          <t>Gerenciamento de Monitoração e Eventos</t>
        </is>
      </c>
      <c r="M113" t="inlineStr">
        <is>
          <t>Parcial</t>
        </is>
      </c>
      <c r="N113" t="inlineStr">
        <is>
          <t>Gerenciamento de Segurança da Informação</t>
        </is>
      </c>
      <c r="O113" t="inlineStr">
        <is>
          <t>Gerenciamento de Incidentes</t>
        </is>
      </c>
      <c r="P113" t="inlineStr">
        <is>
          <t>Convergente</t>
        </is>
      </c>
    </row>
    <row r="114">
      <c r="A114" t="inlineStr">
        <is>
          <t>960</t>
        </is>
      </c>
      <c r="B114" t="inlineStr">
        <is>
          <t>Problema de Faturamento com o Serviço de Gerenciamento da AWS</t>
        </is>
      </c>
      <c r="C114" t="inlineStr">
        <is>
          <t>Gerenciamento Financeiro</t>
        </is>
      </c>
      <c r="D114" t="inlineStr">
        <is>
          <t>Gerenciamento de Incidentes</t>
        </is>
      </c>
      <c r="K114" t="inlineStr">
        <is>
          <t>Gerenciamento Financeiro de Serviços</t>
        </is>
      </c>
      <c r="L114" t="inlineStr">
        <is>
          <t>Gerenciamento de Nível de Serviço</t>
        </is>
      </c>
      <c r="M114" t="inlineStr">
        <is>
          <t>Divergente</t>
        </is>
      </c>
    </row>
    <row r="115">
      <c r="A115" t="inlineStr">
        <is>
          <t>967</t>
        </is>
      </c>
      <c r="B115" t="inlineStr">
        <is>
          <t>Solicitação de Detalhamento da Declaração de Cobrança</t>
        </is>
      </c>
      <c r="C115" t="inlineStr">
        <is>
          <t>Gerenciamento Financeiro</t>
        </is>
      </c>
      <c r="D115" t="inlineStr">
        <is>
          <t>Solicitação de Serviço</t>
        </is>
      </c>
      <c r="K115" t="inlineStr">
        <is>
          <t>Gerenciamento Financeiro de Serviços</t>
        </is>
      </c>
      <c r="L115" t="inlineStr">
        <is>
          <t>Gerenciamento de Requisição de Serviço</t>
        </is>
      </c>
      <c r="M115" t="inlineStr">
        <is>
          <t>Divergente</t>
        </is>
      </c>
    </row>
    <row r="116">
      <c r="A116" t="inlineStr">
        <is>
          <t>977</t>
        </is>
      </c>
      <c r="B116" t="inlineStr">
        <is>
          <t>Urgente: Erro Grave no Sistema de Tickets</t>
        </is>
      </c>
      <c r="C116" t="inlineStr">
        <is>
          <t>Gerenciamento de Incidentes</t>
        </is>
      </c>
      <c r="D116" t="inlineStr">
        <is>
          <t>Gerenciamento de Problemas</t>
        </is>
      </c>
      <c r="K116" t="inlineStr">
        <is>
          <t>Gerenciamento de Disponibilidade</t>
        </is>
      </c>
      <c r="L116" t="inlineStr">
        <is>
          <t>Gerenciamento de Problemas</t>
        </is>
      </c>
      <c r="M116" t="inlineStr">
        <is>
          <t>Parcial</t>
        </is>
      </c>
    </row>
    <row r="117">
      <c r="A117" t="inlineStr">
        <is>
          <t>992</t>
        </is>
      </c>
      <c r="B117" t="inlineStr">
        <is>
          <t>Urgente: Tempo de Inatividade do Serviço AWS</t>
        </is>
      </c>
      <c r="C117" t="inlineStr">
        <is>
          <t>Gerenciamento de Incidentes</t>
        </is>
      </c>
      <c r="D117" t="inlineStr">
        <is>
          <t>Gerenciamento de Disponibilidade</t>
        </is>
      </c>
      <c r="K117" t="inlineStr">
        <is>
          <t>Gerenciamento de Disponibilidade</t>
        </is>
      </c>
      <c r="L117" t="inlineStr">
        <is>
          <t>Gerenciamento de Incidentes</t>
        </is>
      </c>
      <c r="M117" t="inlineStr">
        <is>
          <t>Divergente</t>
        </is>
      </c>
    </row>
    <row r="118">
      <c r="A118" t="inlineStr">
        <is>
          <t>994</t>
        </is>
      </c>
      <c r="B118" t="inlineStr">
        <is>
          <t>Modificações Necessárias para o Sistema de Chamadas de TI</t>
        </is>
      </c>
      <c r="C118" t="inlineStr">
        <is>
          <t>Solicitação de Serviço</t>
        </is>
      </c>
      <c r="D118" t="inlineStr">
        <is>
          <t>Gerenciamento de Mudanças</t>
        </is>
      </c>
      <c r="K118" t="inlineStr">
        <is>
          <t>Habilitação de Mudança</t>
        </is>
      </c>
      <c r="L118" t="inlineStr">
        <is>
          <t>Gerenciamento de Relacionamento</t>
        </is>
      </c>
      <c r="M118" t="inlineStr">
        <is>
          <t>Divergente</t>
        </is>
      </c>
      <c r="N118" t="inlineStr">
        <is>
          <t>Gerenciamento de Requisições de Serviço</t>
        </is>
      </c>
      <c r="O118" t="inlineStr">
        <is>
          <t>Melhoria Contínua</t>
        </is>
      </c>
      <c r="P118" t="inlineStr">
        <is>
          <t>Divergente</t>
        </is>
      </c>
    </row>
    <row r="119">
      <c r="A119" t="inlineStr">
        <is>
          <t>997</t>
        </is>
      </c>
      <c r="B119" t="inlineStr">
        <is>
          <t>Assistência Urgente Necessária para Tempo de Inatividade do Servidor</t>
        </is>
      </c>
      <c r="C119" t="inlineStr">
        <is>
          <t>Gerenciamento de Incidentes</t>
        </is>
      </c>
      <c r="D119" t="inlineStr">
        <is>
          <t>Gerenciamento de Disponibilidade</t>
        </is>
      </c>
      <c r="K119" t="inlineStr">
        <is>
          <t>Gerenciamento de Continuidade de Serviço</t>
        </is>
      </c>
      <c r="L119" t="inlineStr">
        <is>
          <t>Gerenciamento de Disponibilidade</t>
        </is>
      </c>
      <c r="M119" t="inlineStr">
        <is>
          <t>Parcial</t>
        </is>
      </c>
    </row>
    <row r="120">
      <c r="A120" t="inlineStr">
        <is>
          <t>1000</t>
        </is>
      </c>
      <c r="B120" t="inlineStr">
        <is>
          <t>Urgente: Problema com Dell XPS 13</t>
        </is>
      </c>
      <c r="C120" t="inlineStr">
        <is>
          <t>Gerenciamento de Incidentes</t>
        </is>
      </c>
      <c r="D120" t="inlineStr">
        <is>
          <t>Gerenciamento de Ativos de TI</t>
        </is>
      </c>
      <c r="K120" t="inlineStr">
        <is>
          <t>Gerenciamento de Problemas</t>
        </is>
      </c>
      <c r="L120" t="inlineStr">
        <is>
          <t>Gerenciamento de Ativos de TI</t>
        </is>
      </c>
      <c r="M120" t="inlineStr">
        <is>
          <t>Parcial</t>
        </is>
      </c>
    </row>
    <row r="121">
      <c r="A121" t="inlineStr">
        <is>
          <t>1001</t>
        </is>
      </c>
      <c r="B121" t="inlineStr">
        <is>
          <t>Problema de impressão sem fio da HP DeskJet 3755</t>
        </is>
      </c>
      <c r="C121" t="inlineStr">
        <is>
          <t>Gerenciamento de Incidentes</t>
        </is>
      </c>
      <c r="D121" t="inlineStr">
        <is>
          <t>Gerenciamento de Problemas</t>
        </is>
      </c>
      <c r="K121" t="inlineStr">
        <is>
          <t>Gerenciamento de Problemas</t>
        </is>
      </c>
      <c r="L121" t="inlineStr">
        <is>
          <t>Gerenciamento de Configuração de Serviço</t>
        </is>
      </c>
      <c r="M121" t="inlineStr">
        <is>
          <t>Divergente</t>
        </is>
      </c>
    </row>
    <row r="122">
      <c r="A122" t="inlineStr">
        <is>
          <t>1008</t>
        </is>
      </c>
      <c r="B122" t="inlineStr">
        <is>
          <t>Assistência Necessária para Gestão da AWS</t>
        </is>
      </c>
      <c r="C122" t="inlineStr">
        <is>
          <t>Solicitação de Serviço</t>
        </is>
      </c>
      <c r="D122" t="inlineStr">
        <is>
          <t>Gerenciamento Financeiro</t>
        </is>
      </c>
      <c r="K122" t="inlineStr">
        <is>
          <t>Gerenciamento Financeiro de Serviços</t>
        </is>
      </c>
      <c r="L122" t="inlineStr">
        <is>
          <t>Gerenciamento de Relacionamento</t>
        </is>
      </c>
      <c r="M122" t="inlineStr">
        <is>
          <t>Divergente</t>
        </is>
      </c>
      <c r="N122" t="inlineStr">
        <is>
          <t>Gerenciamento de Nível de Serviço</t>
        </is>
      </c>
      <c r="O122" t="inlineStr">
        <is>
          <t>Gerenciamento Financeiro de TI</t>
        </is>
      </c>
      <c r="P122" t="inlineStr">
        <is>
          <t>Divergente</t>
        </is>
      </c>
    </row>
    <row r="123">
      <c r="A123" t="inlineStr">
        <is>
          <t>1010</t>
        </is>
      </c>
      <c r="B123" t="inlineStr">
        <is>
          <t>Problema Urgente no Banco de Dados MySQL 8.0.30</t>
        </is>
      </c>
      <c r="C123" t="inlineStr">
        <is>
          <t>Gerenciamento de Incidentes</t>
        </is>
      </c>
      <c r="D123" t="inlineStr">
        <is>
          <t>Gerenciamento de Problemas</t>
        </is>
      </c>
      <c r="K123" t="inlineStr">
        <is>
          <t>Gerenciamento de Problemas</t>
        </is>
      </c>
      <c r="L123" t="inlineStr">
        <is>
          <t>Habilitação de Mudança</t>
        </is>
      </c>
      <c r="M123" t="inlineStr">
        <is>
          <t>Divergente</t>
        </is>
      </c>
      <c r="N123" t="inlineStr">
        <is>
          <t>Gerenciamento de Mudanças</t>
        </is>
      </c>
      <c r="O123" t="inlineStr">
        <is>
          <t>Gerenciamento de Problemas</t>
        </is>
      </c>
      <c r="P123" t="inlineStr">
        <is>
          <t>Parcial</t>
        </is>
      </c>
    </row>
    <row r="124">
      <c r="A124" t="inlineStr">
        <is>
          <t>1014</t>
        </is>
      </c>
      <c r="B124" t="inlineStr">
        <is>
          <t>Complicações de Sincronização</t>
        </is>
      </c>
      <c r="C124" t="inlineStr">
        <is>
          <t>Gerenciamento de Incidentes</t>
        </is>
      </c>
      <c r="D124" t="inlineStr">
        <is>
          <t>Gerenciamento de Problemas</t>
        </is>
      </c>
      <c r="K124" t="inlineStr">
        <is>
          <t>Gerenciamento de Nível de Serviço</t>
        </is>
      </c>
      <c r="L124" t="inlineStr">
        <is>
          <t>Gerenciamento de Configuração de Serviço</t>
        </is>
      </c>
      <c r="M124" t="inlineStr">
        <is>
          <t>Divergente</t>
        </is>
      </c>
      <c r="N124" t="inlineStr">
        <is>
          <t>Gerenciamento de Incidentes</t>
        </is>
      </c>
      <c r="O124" t="inlineStr">
        <is>
          <t>Gerenciamento de Configuração</t>
        </is>
      </c>
      <c r="P124" t="inlineStr">
        <is>
          <t>Parcial</t>
        </is>
      </c>
    </row>
    <row r="125">
      <c r="A125" t="inlineStr">
        <is>
          <t>1029</t>
        </is>
      </c>
      <c r="B125" t="inlineStr">
        <is>
          <t>Problemas técnicos com o Jira Software afetando o fluxo de trabalho da equipe</t>
        </is>
      </c>
      <c r="C125" t="inlineStr">
        <is>
          <t>Gerenciamento de Incidentes</t>
        </is>
      </c>
      <c r="D125" t="inlineStr">
        <is>
          <t>Gerenciamento de Problemas</t>
        </is>
      </c>
      <c r="K125" t="inlineStr">
        <is>
          <t>Gerenciamento de Problemas</t>
        </is>
      </c>
      <c r="L125" t="inlineStr">
        <is>
          <t>Gerenciamento de Capacidade e Desempenho</t>
        </is>
      </c>
      <c r="M125" t="inlineStr">
        <is>
          <t>Divergente</t>
        </is>
      </c>
      <c r="N125" t="inlineStr">
        <is>
          <t>Gerenciamento de Problemas</t>
        </is>
      </c>
      <c r="O125" t="inlineStr">
        <is>
          <t>Gerenciamento de Disponibilidade</t>
        </is>
      </c>
      <c r="P125" t="inlineStr">
        <is>
          <t>Divergente</t>
        </is>
      </c>
    </row>
    <row r="126">
      <c r="A126" t="inlineStr">
        <is>
          <t>1031</t>
        </is>
      </c>
      <c r="B126" t="inlineStr">
        <is>
          <t>Preciso de ajuda para configurar a impressora Canon</t>
        </is>
      </c>
      <c r="C126" t="inlineStr">
        <is>
          <t>Solicitação de Serviço</t>
        </is>
      </c>
      <c r="D126" t="inlineStr">
        <is>
          <t>Gerenciamento de Incidentes</t>
        </is>
      </c>
      <c r="K126" t="inlineStr">
        <is>
          <t>Gerenciamento de Requisição de Serviço</t>
        </is>
      </c>
      <c r="L126" t="inlineStr">
        <is>
          <t>Gerenciamento de Conhecimento</t>
        </is>
      </c>
      <c r="M126" t="inlineStr">
        <is>
          <t>Divergente</t>
        </is>
      </c>
      <c r="N126" t="inlineStr">
        <is>
          <t>Central de Serviços</t>
        </is>
      </c>
      <c r="O126" t="inlineStr">
        <is>
          <t>Não se aplica</t>
        </is>
      </c>
      <c r="P126" t="inlineStr">
        <is>
          <t>Divergente</t>
        </is>
      </c>
    </row>
    <row r="127">
      <c r="A127" t="inlineStr">
        <is>
          <t>1034</t>
        </is>
      </c>
      <c r="B127" t="inlineStr">
        <is>
          <t>Assistência Urgente Necessária: Inatividade do Cisco ISR4331</t>
        </is>
      </c>
      <c r="C127" t="inlineStr">
        <is>
          <t>Gerenciamento de Incidentes</t>
        </is>
      </c>
      <c r="D127" t="inlineStr">
        <is>
          <t>Gerenciamento de Disponibilidade</t>
        </is>
      </c>
      <c r="K127" t="inlineStr">
        <is>
          <t>Gerenciamento de Disponibilidade</t>
        </is>
      </c>
      <c r="L127" t="inlineStr">
        <is>
          <t>Monitoração e Gerenciamento de Eventos</t>
        </is>
      </c>
      <c r="M127" t="inlineStr">
        <is>
          <t>Divergente</t>
        </is>
      </c>
      <c r="N127" t="inlineStr">
        <is>
          <t>Gerenciamento de Incidentes</t>
        </is>
      </c>
      <c r="O127" t="inlineStr">
        <is>
          <t>Gerenciamento de Disponibilidade</t>
        </is>
      </c>
      <c r="P127" t="inlineStr">
        <is>
          <t>Convergente</t>
        </is>
      </c>
    </row>
    <row r="128">
      <c r="A128" t="inlineStr">
        <is>
          <t>1062</t>
        </is>
      </c>
      <c r="B128" t="inlineStr">
        <is>
          <t>Problema de Não Salvamento de Planilhas do Excel no Office 365</t>
        </is>
      </c>
      <c r="C128" t="inlineStr">
        <is>
          <t>Gerenciamento de Incidentes</t>
        </is>
      </c>
      <c r="D128" t="inlineStr">
        <is>
          <t>Gerenciamento de Problemas</t>
        </is>
      </c>
      <c r="K128" t="inlineStr">
        <is>
          <t>Gerenciamento de Incidentes</t>
        </is>
      </c>
      <c r="L128" t="inlineStr">
        <is>
          <t>Gerenciamento de Configuração de Serviço</t>
        </is>
      </c>
      <c r="M128" t="inlineStr">
        <is>
          <t>Parcial</t>
        </is>
      </c>
      <c r="N128" t="inlineStr">
        <is>
          <t>Gerenciamento de Incidentes</t>
        </is>
      </c>
      <c r="O128" t="inlineStr">
        <is>
          <t>Gerenciamento de Configuração</t>
        </is>
      </c>
      <c r="P128" t="inlineStr">
        <is>
          <t>Parcial</t>
        </is>
      </c>
    </row>
    <row r="129">
      <c r="A129" t="inlineStr">
        <is>
          <t>1067</t>
        </is>
      </c>
      <c r="B129" t="inlineStr">
        <is>
          <t>Solicitação de Orientação sobre Otimização de Custos da AWS</t>
        </is>
      </c>
      <c r="C129" t="inlineStr">
        <is>
          <t>Solicitação de Serviço</t>
        </is>
      </c>
      <c r="D129" t="inlineStr">
        <is>
          <t>Gerenciamento Financeiro</t>
        </is>
      </c>
      <c r="K129" t="inlineStr">
        <is>
          <t>Gerenciamento Financeiro de Serviços</t>
        </is>
      </c>
      <c r="L129" t="inlineStr">
        <is>
          <t>Gerenciamento de Nível de Serviço</t>
        </is>
      </c>
      <c r="M129" t="inlineStr">
        <is>
          <t>Divergente</t>
        </is>
      </c>
      <c r="N129" t="inlineStr">
        <is>
          <t>Gerenciamento Financeiro de TI</t>
        </is>
      </c>
      <c r="O129" t="inlineStr">
        <is>
          <t>Gerenciamento de Nível de Serviço</t>
        </is>
      </c>
      <c r="P129" t="inlineStr">
        <is>
          <t>Divergente</t>
        </is>
      </c>
    </row>
    <row r="130">
      <c r="A130" t="inlineStr">
        <is>
          <t>1068</t>
        </is>
      </c>
      <c r="B130" t="inlineStr">
        <is>
          <t>Suporte Urgente Necessário</t>
        </is>
      </c>
      <c r="C130" t="inlineStr">
        <is>
          <t>Gerenciamento de Incidentes</t>
        </is>
      </c>
      <c r="D130" t="inlineStr">
        <is>
          <t>Gerenciamento de Ativos de TI</t>
        </is>
      </c>
      <c r="K130" t="inlineStr">
        <is>
          <t>Gerenciamento de Problemas</t>
        </is>
      </c>
      <c r="L130" t="inlineStr">
        <is>
          <t>Gerenciamento de Ativos de TI</t>
        </is>
      </c>
      <c r="M130" t="inlineStr">
        <is>
          <t>Parcial</t>
        </is>
      </c>
      <c r="N130" t="inlineStr">
        <is>
          <t>Gerenciamento de Incidentes</t>
        </is>
      </c>
      <c r="O130" t="inlineStr">
        <is>
          <t>Gerenciamento de Ativos de TI</t>
        </is>
      </c>
      <c r="P130" t="inlineStr">
        <is>
          <t>Convergente</t>
        </is>
      </c>
    </row>
    <row r="131">
      <c r="A131" t="inlineStr">
        <is>
          <t>1080</t>
        </is>
      </c>
      <c r="B131" t="inlineStr">
        <is>
          <t>Urgente: Crashes frequentes do servidor PostgreSQL</t>
        </is>
      </c>
      <c r="C131" t="inlineStr">
        <is>
          <t>Gerenciamento de Incidentes</t>
        </is>
      </c>
      <c r="D131" t="inlineStr">
        <is>
          <t>Gerenciamento de Disponibilidade</t>
        </is>
      </c>
      <c r="K131" t="inlineStr">
        <is>
          <t>Gerenciamento de Problemas</t>
        </is>
      </c>
      <c r="L131" t="inlineStr">
        <is>
          <t>Gerenciamento de Capacidade e Desempenho</t>
        </is>
      </c>
      <c r="M131" t="inlineStr">
        <is>
          <t>Divergente</t>
        </is>
      </c>
      <c r="N131" t="inlineStr">
        <is>
          <t>Gerenciamento de Problemas</t>
        </is>
      </c>
      <c r="O131" t="inlineStr">
        <is>
          <t>Gerenciamento de Disponibilidade</t>
        </is>
      </c>
      <c r="P131" t="inlineStr">
        <is>
          <t>Parcial</t>
        </is>
      </c>
    </row>
    <row r="132">
      <c r="A132" t="inlineStr">
        <is>
          <t>1107</t>
        </is>
      </c>
      <c r="B132" t="inlineStr">
        <is>
          <t>Assistência Necessária: Problema com a Instalação do Adobe Photoshop 2024</t>
        </is>
      </c>
      <c r="C132" t="inlineStr">
        <is>
          <t>Gerenciamento de Incidentes</t>
        </is>
      </c>
      <c r="D132" t="inlineStr">
        <is>
          <t>Gerenciamento de Mudanças</t>
        </is>
      </c>
      <c r="K132" t="inlineStr">
        <is>
          <t>Gerenciamento de Liberação</t>
        </is>
      </c>
      <c r="L132" t="inlineStr">
        <is>
          <t>Gerenciamento de Requisição de Serviço</t>
        </is>
      </c>
      <c r="M132" t="inlineStr">
        <is>
          <t>Divergente</t>
        </is>
      </c>
      <c r="N132" t="inlineStr">
        <is>
          <t>Gerenciamento de Incidentes</t>
        </is>
      </c>
      <c r="O132" t="inlineStr">
        <is>
          <t>Gerenciamento de Configuração</t>
        </is>
      </c>
      <c r="P132" t="inlineStr">
        <is>
          <t>Parcial</t>
        </is>
      </c>
    </row>
    <row r="133">
      <c r="A133" t="inlineStr">
        <is>
          <t>1128</t>
        </is>
      </c>
      <c r="B133" t="inlineStr">
        <is>
          <t>Solicitação para Atualizar Informações de Compra - MacBook Air M1</t>
        </is>
      </c>
      <c r="C133" t="inlineStr">
        <is>
          <t>Solicitação de Serviço</t>
        </is>
      </c>
      <c r="D133" t="inlineStr">
        <is>
          <t>Gerenciamento de Ativos de TI</t>
        </is>
      </c>
      <c r="K133" t="inlineStr">
        <is>
          <t>Gerenciamento de Requisição de Serviço</t>
        </is>
      </c>
      <c r="L133" t="inlineStr">
        <is>
          <t>Gerenciamento de Relacionamento</t>
        </is>
      </c>
      <c r="M133" t="inlineStr">
        <is>
          <t>Divergente</t>
        </is>
      </c>
      <c r="N133" t="inlineStr">
        <is>
          <t>Central de Serviços</t>
        </is>
      </c>
      <c r="O133" t="inlineStr">
        <is>
          <t>Gerenciamento de Requisições</t>
        </is>
      </c>
      <c r="P133" t="inlineStr">
        <is>
          <t>Divergente</t>
        </is>
      </c>
    </row>
    <row r="134">
      <c r="A134" t="inlineStr">
        <is>
          <t>1129</t>
        </is>
      </c>
      <c r="B134" t="inlineStr">
        <is>
          <t>Urgente: Ajuda Necessária para Recuperação de Dados do MySQL 8.0.30</t>
        </is>
      </c>
      <c r="C134" t="inlineStr">
        <is>
          <t>Gerenciamento de Incidentes</t>
        </is>
      </c>
      <c r="D134" t="inlineStr">
        <is>
          <t>Gerenciamento de Disponibilidade</t>
        </is>
      </c>
      <c r="K134" t="inlineStr">
        <is>
          <t>Gerenciamento de Continuidade de Serviço de TI</t>
        </is>
      </c>
      <c r="L134" t="inlineStr">
        <is>
          <t>Gerenciamento de Segurança da Informação</t>
        </is>
      </c>
      <c r="M134" t="inlineStr">
        <is>
          <t>Divergente</t>
        </is>
      </c>
      <c r="N134" t="inlineStr">
        <is>
          <t>Gerenciamento de Incidentes</t>
        </is>
      </c>
      <c r="O134" t="inlineStr">
        <is>
          <t>Gerenciamento de Continuidade</t>
        </is>
      </c>
      <c r="P134" t="inlineStr">
        <is>
          <t>Parcial</t>
        </is>
      </c>
    </row>
    <row r="135">
      <c r="A135" t="inlineStr">
        <is>
          <t>1141</t>
        </is>
      </c>
      <c r="B135" t="inlineStr">
        <is>
          <t>Assistência Necessária Para Problema de Timeout do Jira</t>
        </is>
      </c>
      <c r="C135" t="inlineStr">
        <is>
          <t>Gerenciamento de Incidentes</t>
        </is>
      </c>
      <c r="D135" t="inlineStr">
        <is>
          <t>Gerenciamento de Problemas</t>
        </is>
      </c>
      <c r="K135" t="inlineStr">
        <is>
          <t>Gerenciamento de Problemas</t>
        </is>
      </c>
      <c r="L135" t="inlineStr">
        <is>
          <t>Gerenciamento de Capacidade e Desempenho</t>
        </is>
      </c>
      <c r="M135" t="inlineStr">
        <is>
          <t>Divergente</t>
        </is>
      </c>
      <c r="N135" t="inlineStr">
        <is>
          <t>Gerenciamento de Problemas</t>
        </is>
      </c>
      <c r="O135" t="inlineStr">
        <is>
          <t>Gerenciamento de Disponibilidade</t>
        </is>
      </c>
      <c r="P135" t="inlineStr">
        <is>
          <t>Divergente</t>
        </is>
      </c>
    </row>
    <row r="136">
      <c r="A136" t="inlineStr">
        <is>
          <t>1148</t>
        </is>
      </c>
      <c r="B136" t="inlineStr">
        <is>
          <t>Assistência Necessária para Problema de Conectividade WiFi</t>
        </is>
      </c>
      <c r="C136" t="inlineStr">
        <is>
          <t>Gerenciamento de Incidentes</t>
        </is>
      </c>
      <c r="D136" t="inlineStr">
        <is>
          <t>Gerenciamento de Problemas</t>
        </is>
      </c>
      <c r="K136" t="inlineStr">
        <is>
          <t>Gerenciamento de Incidentes</t>
        </is>
      </c>
      <c r="L136" t="inlineStr">
        <is>
          <t>Gerenciamento de Configuração de Serviço</t>
        </is>
      </c>
      <c r="M136" t="inlineStr">
        <is>
          <t>Parcial</t>
        </is>
      </c>
      <c r="N136" t="inlineStr">
        <is>
          <t>Gerenciamento de Incidentes</t>
        </is>
      </c>
      <c r="O136" t="inlineStr">
        <is>
          <t>Não se aplica</t>
        </is>
      </c>
      <c r="P136" t="inlineStr">
        <is>
          <t>Parcial</t>
        </is>
      </c>
    </row>
    <row r="137">
      <c r="A137" t="inlineStr">
        <is>
          <t>1150</t>
        </is>
      </c>
      <c r="B137" t="inlineStr">
        <is>
          <t>Erro Crítico no App React Desconectando a UI</t>
        </is>
      </c>
      <c r="C137" t="inlineStr">
        <is>
          <t>Gerenciamento de Incidentes</t>
        </is>
      </c>
      <c r="D137" t="inlineStr">
        <is>
          <t>Gerenciamento de Disponibilidade</t>
        </is>
      </c>
      <c r="K137" t="inlineStr">
        <is>
          <t>Habilitação de Mudança</t>
        </is>
      </c>
      <c r="L137" t="inlineStr">
        <is>
          <t>Gerenciamento de Liberação</t>
        </is>
      </c>
      <c r="M137" t="inlineStr">
        <is>
          <t>Divergente</t>
        </is>
      </c>
      <c r="N137" t="inlineStr">
        <is>
          <t>Gerenciamento de Incidentes</t>
        </is>
      </c>
      <c r="O137" t="inlineStr">
        <is>
          <t>Gerenciamento de Mudanças</t>
        </is>
      </c>
      <c r="P137" t="inlineStr">
        <is>
          <t>Parcial</t>
        </is>
      </c>
    </row>
    <row r="138">
      <c r="A138" t="inlineStr">
        <is>
          <t>1155</t>
        </is>
      </c>
      <c r="B138" t="inlineStr">
        <is>
          <t>Assistência Necessária para o Uso de Canais Slack</t>
        </is>
      </c>
      <c r="C138" t="inlineStr">
        <is>
          <t>Solicitação de Serviço</t>
        </is>
      </c>
      <c r="D138" t="inlineStr">
        <is>
          <t>Gerenciamento de Mudanças</t>
        </is>
      </c>
      <c r="K138" t="inlineStr">
        <is>
          <t>Gerenciamento de Requisição de Serviço</t>
        </is>
      </c>
      <c r="L138" t="inlineStr">
        <is>
          <t>Gerenciamento de Conhecimento</t>
        </is>
      </c>
      <c r="M138" t="inlineStr">
        <is>
          <t>Divergente</t>
        </is>
      </c>
      <c r="N138" t="inlineStr">
        <is>
          <t>Gerenciamento de Requisições</t>
        </is>
      </c>
      <c r="O138" t="inlineStr">
        <is>
          <t>Não se aplica</t>
        </is>
      </c>
      <c r="P138" t="inlineStr">
        <is>
          <t>Divergente</t>
        </is>
      </c>
    </row>
    <row r="139">
      <c r="A139" t="inlineStr">
        <is>
          <t>1161</t>
        </is>
      </c>
      <c r="B139" t="inlineStr">
        <is>
          <t>Tela Sensível ao Toque Não Responsiva no Dispositivo</t>
        </is>
      </c>
      <c r="C139" t="inlineStr">
        <is>
          <t>Gerenciamento de Incidentes</t>
        </is>
      </c>
      <c r="D139" t="inlineStr">
        <is>
          <t>Gerenciamento de Ativos de TI</t>
        </is>
      </c>
      <c r="K139" t="inlineStr">
        <is>
          <t>Gerenciamento de Problemas</t>
        </is>
      </c>
      <c r="L139" t="inlineStr">
        <is>
          <t>Gerenciamento de Ativos de TI</t>
        </is>
      </c>
      <c r="M139" t="inlineStr">
        <is>
          <t>Parcial</t>
        </is>
      </c>
      <c r="N139" t="inlineStr">
        <is>
          <t>Gerenciamento de Incidentes</t>
        </is>
      </c>
      <c r="O139" t="inlineStr">
        <is>
          <t>Gerenciamento de Ativos de TI</t>
        </is>
      </c>
      <c r="P139" t="inlineStr">
        <is>
          <t>Convergente</t>
        </is>
      </c>
    </row>
    <row r="140">
      <c r="A140" t="inlineStr">
        <is>
          <t>1182</t>
        </is>
      </c>
      <c r="B140" t="inlineStr">
        <is>
          <t>Problema de Discrepância de Cobrança</t>
        </is>
      </c>
      <c r="C140" t="inlineStr">
        <is>
          <t>Gerenciamento Financeiro</t>
        </is>
      </c>
      <c r="D140" t="inlineStr">
        <is>
          <t>Gerenciamento de Incidentes</t>
        </is>
      </c>
      <c r="K140" t="inlineStr">
        <is>
          <t>Gerenciamento Financeiro de Serviços</t>
        </is>
      </c>
      <c r="L140" t="inlineStr">
        <is>
          <t>Gerenciamento de Relacionamento</t>
        </is>
      </c>
      <c r="M140" t="inlineStr">
        <is>
          <t>Divergente</t>
        </is>
      </c>
      <c r="N140" t="inlineStr">
        <is>
          <t>Gerenciamento Financeiro de TI</t>
        </is>
      </c>
      <c r="O140" t="inlineStr">
        <is>
          <t>Gerenciamento de Nível de Serviço</t>
        </is>
      </c>
      <c r="P140" t="inlineStr">
        <is>
          <t>Divergente</t>
        </is>
      </c>
    </row>
    <row r="141">
      <c r="A141" t="inlineStr">
        <is>
          <t>1203</t>
        </is>
      </c>
      <c r="B141" t="inlineStr">
        <is>
          <t>Assistência Imediata Necessária para Interrupção de Rede</t>
        </is>
      </c>
      <c r="C141" t="inlineStr">
        <is>
          <t>Gerenciamento de Incidentes</t>
        </is>
      </c>
      <c r="D141" t="inlineStr">
        <is>
          <t>Gerenciamento de Disponibilidade</t>
        </is>
      </c>
      <c r="K141" t="inlineStr">
        <is>
          <t>Gerenciamento de Disponibilidade</t>
        </is>
      </c>
      <c r="L141" t="inlineStr">
        <is>
          <t>Monitoração e Gerenciamento de Eventos</t>
        </is>
      </c>
      <c r="M141" t="inlineStr">
        <is>
          <t>Divergente</t>
        </is>
      </c>
      <c r="N141" t="inlineStr">
        <is>
          <t>Gerenciamento de Incidentes</t>
        </is>
      </c>
      <c r="O141" t="inlineStr">
        <is>
          <t>Gerenciamento de Disponibilidade</t>
        </is>
      </c>
      <c r="P141" t="inlineStr">
        <is>
          <t>Convergente</t>
        </is>
      </c>
    </row>
    <row r="142">
      <c r="A142" t="inlineStr">
        <is>
          <t>1205</t>
        </is>
      </c>
      <c r="B142" t="inlineStr">
        <is>
          <t>Problema de Faturamento Inconsistente com o AWS Management</t>
        </is>
      </c>
      <c r="C142" t="inlineStr">
        <is>
          <t>Gerenciamento Financeiro</t>
        </is>
      </c>
      <c r="D142" t="inlineStr">
        <is>
          <t>Gerenciamento de Capacidade</t>
        </is>
      </c>
      <c r="K142" t="inlineStr">
        <is>
          <t>Gerenciamento Financeiro de Serviços</t>
        </is>
      </c>
      <c r="L142" t="inlineStr">
        <is>
          <t>Gerenciamento de Capacidade e Desempenho</t>
        </is>
      </c>
      <c r="M142" t="inlineStr">
        <is>
          <t>Divergente</t>
        </is>
      </c>
      <c r="N142" t="inlineStr">
        <is>
          <t>Gerenciamento Financeiro de TI</t>
        </is>
      </c>
      <c r="O142" t="inlineStr">
        <is>
          <t>Gerenciamento de Problemas</t>
        </is>
      </c>
      <c r="P142" t="inlineStr">
        <is>
          <t>Divergente</t>
        </is>
      </c>
    </row>
    <row r="143">
      <c r="A143" t="inlineStr">
        <is>
          <t>1208</t>
        </is>
      </c>
      <c r="B143" t="inlineStr">
        <is>
          <t>Otimização de Rede e Assistência em Manutenção de Servidor</t>
        </is>
      </c>
      <c r="C143" t="inlineStr">
        <is>
          <t>Solicitação de Serviço</t>
        </is>
      </c>
      <c r="D143" t="inlineStr">
        <is>
          <t>Gerenciamento de Capacidade</t>
        </is>
      </c>
      <c r="K143" t="inlineStr">
        <is>
          <t>Gerenciamento de Nível de Serviço</t>
        </is>
      </c>
      <c r="L143" t="inlineStr">
        <is>
          <t>Gerenciamento de Capacidade e Desempenho</t>
        </is>
      </c>
      <c r="M143" t="inlineStr">
        <is>
          <t>Divergente</t>
        </is>
      </c>
      <c r="N143" t="inlineStr">
        <is>
          <t>Gerenciamento de Problemas</t>
        </is>
      </c>
      <c r="O143" t="inlineStr">
        <is>
          <t>Gerenciamento de Disponibilidade</t>
        </is>
      </c>
      <c r="P143" t="inlineStr">
        <is>
          <t>Divergente</t>
        </is>
      </c>
    </row>
    <row r="144">
      <c r="A144" t="inlineStr">
        <is>
          <t>1216</t>
        </is>
      </c>
      <c r="B144" t="inlineStr">
        <is>
          <t>Solicitação de Assistência para Mudança de Configuração da AWS</t>
        </is>
      </c>
      <c r="C144" t="inlineStr">
        <is>
          <t>Solicitação de Serviço</t>
        </is>
      </c>
      <c r="D144" t="inlineStr">
        <is>
          <t>Gerenciamento Financeiro</t>
        </is>
      </c>
      <c r="K144" t="inlineStr">
        <is>
          <t>Habilitação de Mudança</t>
        </is>
      </c>
      <c r="L144" t="inlineStr">
        <is>
          <t>Gerenciamento Financeiro de Serviços</t>
        </is>
      </c>
      <c r="M144" t="inlineStr">
        <is>
          <t>Divergente</t>
        </is>
      </c>
      <c r="N144" t="inlineStr">
        <is>
          <t>Gerenciamento de Mudanças</t>
        </is>
      </c>
      <c r="O144" t="inlineStr">
        <is>
          <t>Gerenciamento de Configuração</t>
        </is>
      </c>
      <c r="P144" t="inlineStr">
        <is>
          <t>Divergente</t>
        </is>
      </c>
    </row>
    <row r="145">
      <c r="A145" t="inlineStr">
        <is>
          <t>1221</t>
        </is>
      </c>
      <c r="B145" t="inlineStr">
        <is>
          <t>Assistência de Faturamento Necessária</t>
        </is>
      </c>
      <c r="C145" t="inlineStr">
        <is>
          <t>Gerenciamento Financeiro</t>
        </is>
      </c>
      <c r="D145" t="inlineStr">
        <is>
          <t>Gerenciamento de Nível de Serviço</t>
        </is>
      </c>
      <c r="K145" t="inlineStr">
        <is>
          <t>Gerenciamento Financeiro de Serviços</t>
        </is>
      </c>
      <c r="L145" t="inlineStr">
        <is>
          <t>Gerenciamento de Relacionamento</t>
        </is>
      </c>
      <c r="M145" t="inlineStr">
        <is>
          <t>Divergente</t>
        </is>
      </c>
      <c r="N145" t="inlineStr">
        <is>
          <t>Gerenciamento Financeiro de TI</t>
        </is>
      </c>
      <c r="O145" t="inlineStr">
        <is>
          <t>Gerenciamento de Nível de Serviço</t>
        </is>
      </c>
      <c r="P145" t="inlineStr">
        <is>
          <t>Parcial</t>
        </is>
      </c>
    </row>
    <row r="146">
      <c r="A146" t="inlineStr">
        <is>
          <t>1222</t>
        </is>
      </c>
      <c r="B146" t="inlineStr">
        <is>
          <t>Solicitação de Alta Prioridade para Serviço de TI</t>
        </is>
      </c>
      <c r="C146" t="inlineStr">
        <is>
          <t>Gerenciamento de Nível de Serviço</t>
        </is>
      </c>
      <c r="D146" t="inlineStr">
        <is>
          <t>Gerenciamento de Incidentes</t>
        </is>
      </c>
      <c r="K146" t="inlineStr">
        <is>
          <t>Gerenciamento de Nível de Serviço</t>
        </is>
      </c>
      <c r="L146" t="inlineStr">
        <is>
          <t>Gerenciamento de Problemas</t>
        </is>
      </c>
      <c r="M146" t="inlineStr">
        <is>
          <t>Parcial</t>
        </is>
      </c>
      <c r="N146" t="inlineStr">
        <is>
          <t>Gerenciamento de Problemas</t>
        </is>
      </c>
      <c r="O146" t="inlineStr">
        <is>
          <t>Gerenciamento de Nível de Serviço</t>
        </is>
      </c>
      <c r="P146" t="inlineStr">
        <is>
          <t>Divergente</t>
        </is>
      </c>
    </row>
    <row r="147">
      <c r="A147" t="inlineStr">
        <is>
          <t>1226</t>
        </is>
      </c>
      <c r="B147" t="inlineStr">
        <is>
          <t>Assistência Necessária para Ativação do MacBook Air</t>
        </is>
      </c>
      <c r="C147" t="inlineStr">
        <is>
          <t>Solicitação de Serviço</t>
        </is>
      </c>
      <c r="D147" t="inlineStr">
        <is>
          <t>Gerenciamento de Incidentes</t>
        </is>
      </c>
      <c r="K147" t="inlineStr">
        <is>
          <t>Gerenciamento de Requisição de Serviço</t>
        </is>
      </c>
      <c r="L147" t="inlineStr">
        <is>
          <t>Gerenciamento de Ativos de TI</t>
        </is>
      </c>
      <c r="M147" t="inlineStr">
        <is>
          <t>Divergente</t>
        </is>
      </c>
      <c r="N147" t="inlineStr">
        <is>
          <t>Gerenciamento de Requisições</t>
        </is>
      </c>
      <c r="O147" t="inlineStr">
        <is>
          <t>Não se aplica</t>
        </is>
      </c>
      <c r="P147" t="inlineStr">
        <is>
          <t>Divergente</t>
        </is>
      </c>
    </row>
    <row r="148">
      <c r="A148" t="inlineStr">
        <is>
          <t>1234</t>
        </is>
      </c>
      <c r="B148" t="inlineStr">
        <is>
          <t>Assistência Necessária para Configuração Sem Fio</t>
        </is>
      </c>
      <c r="C148" t="inlineStr">
        <is>
          <t>Solicitação de Serviço</t>
        </is>
      </c>
      <c r="D148" t="inlineStr">
        <is>
          <t>Gerenciamento de Incidentes</t>
        </is>
      </c>
      <c r="K148" t="inlineStr">
        <is>
          <t>Gerenciamento de Requisição de Serviço</t>
        </is>
      </c>
      <c r="L148" t="inlineStr">
        <is>
          <t>Gerenciamento de Conhecimento</t>
        </is>
      </c>
      <c r="M148" t="inlineStr">
        <is>
          <t>Divergente</t>
        </is>
      </c>
      <c r="N148" t="inlineStr">
        <is>
          <t>Gerenciamento de Requisições</t>
        </is>
      </c>
      <c r="O148" t="inlineStr">
        <is>
          <t>Não se aplica</t>
        </is>
      </c>
      <c r="P148" t="inlineStr">
        <is>
          <t>Divergente</t>
        </is>
      </c>
    </row>
    <row r="149">
      <c r="A149" t="inlineStr">
        <is>
          <t>1238</t>
        </is>
      </c>
      <c r="B149" t="inlineStr">
        <is>
          <t>Problema com Impressora Canon - Problema de Conexão Wifi</t>
        </is>
      </c>
      <c r="C149" t="inlineStr">
        <is>
          <t>Solicitação de Serviço</t>
        </is>
      </c>
      <c r="D149" t="inlineStr">
        <is>
          <t>Gerenciamento de Ativos de TI</t>
        </is>
      </c>
      <c r="K149" t="inlineStr">
        <is>
          <t>Gerenciamento de Ativos de TI</t>
        </is>
      </c>
      <c r="L149" t="inlineStr">
        <is>
          <t>Gerenciamento de Requisição de Serviço</t>
        </is>
      </c>
      <c r="M149" t="inlineStr">
        <is>
          <t>Divergente</t>
        </is>
      </c>
      <c r="N149" t="inlineStr">
        <is>
          <t>Gerenciamento de Incidentes</t>
        </is>
      </c>
      <c r="O149" t="inlineStr">
        <is>
          <t>Gerenciamento de Ativos de TI</t>
        </is>
      </c>
      <c r="P149" t="inlineStr">
        <is>
          <t>Parcial</t>
        </is>
      </c>
    </row>
    <row r="150">
      <c r="A150" t="inlineStr">
        <is>
          <t>1242</t>
        </is>
      </c>
      <c r="B150" t="inlineStr">
        <is>
          <t>Problema de quedas frequentes na conexão de rede</t>
        </is>
      </c>
      <c r="C150" t="inlineStr">
        <is>
          <t>Gerenciamento de Incidentes</t>
        </is>
      </c>
      <c r="D150" t="inlineStr">
        <is>
          <t>Gerenciamento de Problemas</t>
        </is>
      </c>
      <c r="K150" t="inlineStr">
        <is>
          <t>Gerenciamento de Problemas</t>
        </is>
      </c>
      <c r="L150" t="inlineStr">
        <is>
          <t>Gerenciamento de Capacidade e Desempenho</t>
        </is>
      </c>
      <c r="M150" t="inlineStr">
        <is>
          <t>Divergente</t>
        </is>
      </c>
      <c r="N150" t="inlineStr">
        <is>
          <t>Gerenciamento de Problemas</t>
        </is>
      </c>
      <c r="O150" t="inlineStr">
        <is>
          <t>Gerenciamento de Disponibilidade</t>
        </is>
      </c>
      <c r="P150" t="inlineStr">
        <is>
          <t>Divergente</t>
        </is>
      </c>
    </row>
    <row r="151">
      <c r="A151" t="inlineStr">
        <is>
          <t>1262</t>
        </is>
      </c>
      <c r="B151" t="inlineStr">
        <is>
          <t>Solicitação Urgente de Suporte de Faturamento para AWS</t>
        </is>
      </c>
      <c r="C151" t="inlineStr">
        <is>
          <t>Gerenciamento Financeiro</t>
        </is>
      </c>
      <c r="D151" t="inlineStr">
        <is>
          <t>Gerenciamento de Incidentes</t>
        </is>
      </c>
      <c r="K151" t="inlineStr">
        <is>
          <t>Gerenciamento Financeiro de Serviços</t>
        </is>
      </c>
      <c r="L151" t="inlineStr">
        <is>
          <t>Gerenciamento de Relacionamento</t>
        </is>
      </c>
      <c r="M151" t="inlineStr">
        <is>
          <t>Divergente</t>
        </is>
      </c>
      <c r="N151" t="inlineStr">
        <is>
          <t>Gerenciamento Financeiro de TI</t>
        </is>
      </c>
      <c r="O151" t="inlineStr">
        <is>
          <t>Gerenciamento de Incidentes</t>
        </is>
      </c>
      <c r="P151" t="inlineStr">
        <is>
          <t>Parcial</t>
        </is>
      </c>
    </row>
    <row r="152">
      <c r="A152" t="inlineStr">
        <is>
          <t>1277</t>
        </is>
      </c>
      <c r="B152" t="inlineStr">
        <is>
          <t>Problema ao Mudar o Status no Projeto de Software Jira</t>
        </is>
      </c>
      <c r="C152" t="inlineStr">
        <is>
          <t>Gerenciamento de Incidentes</t>
        </is>
      </c>
      <c r="D152" t="inlineStr">
        <is>
          <t>Gerenciamento de Acesso</t>
        </is>
      </c>
      <c r="K152" t="inlineStr">
        <is>
          <t>Gerenciamento de Requisição de Serviço</t>
        </is>
      </c>
      <c r="L152" t="inlineStr">
        <is>
          <t>Gerenciamento de Configuração de Serviço</t>
        </is>
      </c>
      <c r="M152" t="inlineStr">
        <is>
          <t>Divergente</t>
        </is>
      </c>
    </row>
    <row r="153">
      <c r="A153" t="inlineStr">
        <is>
          <t>1292</t>
        </is>
      </c>
      <c r="B153" t="inlineStr">
        <is>
          <t>Problemas de Conectividade de Rede</t>
        </is>
      </c>
      <c r="C153" t="inlineStr">
        <is>
          <t>Gerenciamento de Incidentes</t>
        </is>
      </c>
      <c r="D153" t="inlineStr">
        <is>
          <t>Gerenciamento de Disponibilidade</t>
        </is>
      </c>
      <c r="K153" t="inlineStr">
        <is>
          <t>Gerenciamento de Monitoração e Eventos</t>
        </is>
      </c>
      <c r="L153" t="inlineStr">
        <is>
          <t>Gerenciamento de Disponibilidade</t>
        </is>
      </c>
      <c r="M153" t="inlineStr">
        <is>
          <t>Parcial</t>
        </is>
      </c>
    </row>
    <row r="154">
      <c r="A154" t="inlineStr">
        <is>
          <t>1295</t>
        </is>
      </c>
      <c r="B154" t="inlineStr">
        <is>
          <t>Urgente: Queda do Servidor AWS</t>
        </is>
      </c>
      <c r="C154" t="inlineStr">
        <is>
          <t>Gerenciamento de Incidentes</t>
        </is>
      </c>
      <c r="D154" t="inlineStr">
        <is>
          <t>Gerenciamento de Disponibilidade</t>
        </is>
      </c>
      <c r="K154" t="inlineStr">
        <is>
          <t>Gerenciamento de Disponibilidade</t>
        </is>
      </c>
      <c r="L154" t="inlineStr">
        <is>
          <t>Gerenciamento de Problemas</t>
        </is>
      </c>
      <c r="M154" t="inlineStr">
        <is>
          <t>Divergente</t>
        </is>
      </c>
    </row>
    <row r="155">
      <c r="A155" t="inlineStr">
        <is>
          <t>1298</t>
        </is>
      </c>
      <c r="B155" t="inlineStr">
        <is>
          <t>Problema Recurrente de Travamento do Excel Após Atualização</t>
        </is>
      </c>
      <c r="C155" t="inlineStr">
        <is>
          <t>Gerenciamento de Problemas</t>
        </is>
      </c>
      <c r="D155" t="inlineStr">
        <is>
          <t>Gerenciamento de Mudanças</t>
        </is>
      </c>
      <c r="K155" t="inlineStr">
        <is>
          <t>Habilitação de Mudança</t>
        </is>
      </c>
      <c r="L155" t="inlineStr">
        <is>
          <t>Gerenciamento de Liberação</t>
        </is>
      </c>
      <c r="M155" t="inlineStr">
        <is>
          <t>Divergente</t>
        </is>
      </c>
    </row>
    <row r="156">
      <c r="A156" t="inlineStr">
        <is>
          <t>1304</t>
        </is>
      </c>
      <c r="B156" t="inlineStr">
        <is>
          <t>Solicitação de Suporte para Configuração de Impressora Sem Fio</t>
        </is>
      </c>
      <c r="C156" t="inlineStr">
        <is>
          <t>Solicitação de Serviço</t>
        </is>
      </c>
      <c r="D156" t="inlineStr">
        <is>
          <t>Gerenciamento de Configuração</t>
        </is>
      </c>
      <c r="K156" t="inlineStr">
        <is>
          <t>Gerenciamento de Requisição de Serviço</t>
        </is>
      </c>
      <c r="L156" t="inlineStr">
        <is>
          <t>Gerenciamento de Catálogo de Serviço</t>
        </is>
      </c>
      <c r="M156" t="inlineStr">
        <is>
          <t>Divergente</t>
        </is>
      </c>
    </row>
    <row r="157">
      <c r="A157" t="inlineStr">
        <is>
          <t>1322</t>
        </is>
      </c>
      <c r="B157" t="inlineStr">
        <is>
          <t>Problema com o Teclado</t>
        </is>
      </c>
      <c r="C157" t="inlineStr">
        <is>
          <t>Gerenciamento de Incidentes</t>
        </is>
      </c>
      <c r="D157" t="inlineStr">
        <is>
          <t>Gerenciamento de Ativos de TI</t>
        </is>
      </c>
      <c r="K157" t="inlineStr">
        <is>
          <t>Gerenciamento de Problemas</t>
        </is>
      </c>
      <c r="L157" t="inlineStr">
        <is>
          <t>Gerenciamento de Ativos de TI</t>
        </is>
      </c>
      <c r="M157" t="inlineStr">
        <is>
          <t>Parcial</t>
        </is>
      </c>
    </row>
    <row r="158">
      <c r="A158" t="inlineStr">
        <is>
          <t>1337</t>
        </is>
      </c>
      <c r="B158" t="inlineStr">
        <is>
          <t>Problema com a Exibição do Ticket do Jira</t>
        </is>
      </c>
      <c r="C158" t="inlineStr">
        <is>
          <t>Gerenciamento de Incidentes</t>
        </is>
      </c>
      <c r="D158" t="inlineStr">
        <is>
          <t>Gerenciamento de Problemas</t>
        </is>
      </c>
      <c r="K158" t="inlineStr">
        <is>
          <t>Gerenciamento de Problemas</t>
        </is>
      </c>
      <c r="L158" t="inlineStr">
        <is>
          <t>Gerenciamento de Configuração de Serviço</t>
        </is>
      </c>
      <c r="M158" t="inlineStr">
        <is>
          <t>Divergente</t>
        </is>
      </c>
    </row>
    <row r="159">
      <c r="A159" t="inlineStr">
        <is>
          <t>1349</t>
        </is>
      </c>
      <c r="B159" t="inlineStr">
        <is>
          <t>Consulta sobre Configuração de Impressão Sem Fio para Epson EcoTank ET-4760</t>
        </is>
      </c>
      <c r="C159" t="inlineStr">
        <is>
          <t>Solicitação de Serviço</t>
        </is>
      </c>
      <c r="D159" t="inlineStr">
        <is>
          <t>Gerenciamento de Incidentes</t>
        </is>
      </c>
      <c r="K159" t="inlineStr">
        <is>
          <t>Gerenciamento de Requisição de Serviço</t>
        </is>
      </c>
      <c r="L159" t="inlineStr">
        <is>
          <t>Gerenciamento de Conhecimento</t>
        </is>
      </c>
      <c r="M159" t="inlineStr">
        <is>
          <t>Divergente</t>
        </is>
      </c>
    </row>
    <row r="160">
      <c r="A160" t="inlineStr">
        <is>
          <t>1354</t>
        </is>
      </c>
      <c r="B160" t="inlineStr">
        <is>
          <t>Consulta sobre o Upgrade do Dell XPS 13 9310</t>
        </is>
      </c>
      <c r="C160" t="inlineStr">
        <is>
          <t>Solicitação de Serviço</t>
        </is>
      </c>
      <c r="D160" t="inlineStr">
        <is>
          <t>Gerenciamento de Ativos de TI</t>
        </is>
      </c>
      <c r="K160" t="inlineStr">
        <is>
          <t>Gerenciamento de Catálogo de Serviço</t>
        </is>
      </c>
      <c r="L160" t="inlineStr">
        <is>
          <t>Gerenciamento de Ativos de TI</t>
        </is>
      </c>
      <c r="M160" t="inlineStr">
        <is>
          <t>Parcial</t>
        </is>
      </c>
    </row>
    <row r="161">
      <c r="A161" t="inlineStr">
        <is>
          <t>1359</t>
        </is>
      </c>
      <c r="B161" t="inlineStr">
        <is>
          <t>Problema com a tela sensível ao toque do Surface Pro 7</t>
        </is>
      </c>
      <c r="C161" t="inlineStr">
        <is>
          <t>Gerenciamento de Incidentes</t>
        </is>
      </c>
      <c r="D161" t="inlineStr">
        <is>
          <t>Gerenciamento de Ativos de TI</t>
        </is>
      </c>
      <c r="K161" t="inlineStr">
        <is>
          <t>Gerenciamento de Problemas</t>
        </is>
      </c>
      <c r="L161" t="inlineStr">
        <is>
          <t>Gerenciamento de Ativos de TI</t>
        </is>
      </c>
      <c r="M161" t="inlineStr">
        <is>
          <t>Parcial</t>
        </is>
      </c>
    </row>
    <row r="162">
      <c r="A162" t="inlineStr">
        <is>
          <t>1373</t>
        </is>
      </c>
      <c r="B162" t="inlineStr">
        <is>
          <t>Problema Urgente: O Colapso do Sistema de Tickets do Jira Software</t>
        </is>
      </c>
      <c r="C162" t="inlineStr">
        <is>
          <t>Gerenciamento de Incidentes</t>
        </is>
      </c>
      <c r="D162" t="inlineStr">
        <is>
          <t>Gerenciamento de Disponibilidade</t>
        </is>
      </c>
      <c r="K162" t="inlineStr">
        <is>
          <t>Gerenciamento de Capacidade e Desempenho</t>
        </is>
      </c>
      <c r="L162" t="inlineStr">
        <is>
          <t>Gerenciamento de Problemas</t>
        </is>
      </c>
      <c r="M162" t="inlineStr">
        <is>
          <t>Divergente</t>
        </is>
      </c>
    </row>
    <row r="163">
      <c r="A163" t="inlineStr">
        <is>
          <t>1390</t>
        </is>
      </c>
      <c r="B163" t="inlineStr">
        <is>
          <t>Problemas com Videoconferência no Zoom</t>
        </is>
      </c>
      <c r="C163" t="inlineStr">
        <is>
          <t>Gerenciamento de Incidentes</t>
        </is>
      </c>
      <c r="D163" t="inlineStr">
        <is>
          <t>Gerenciamento de Problemas</t>
        </is>
      </c>
      <c r="K163" t="inlineStr">
        <is>
          <t>Gerenciamento de Capacidade e Desempenho</t>
        </is>
      </c>
      <c r="L163" t="inlineStr">
        <is>
          <t>Gerenciamento de Problemas</t>
        </is>
      </c>
      <c r="M163" t="inlineStr">
        <is>
          <t>Parcial</t>
        </is>
      </c>
    </row>
    <row r="164">
      <c r="A164" t="inlineStr">
        <is>
          <t>1420</t>
        </is>
      </c>
      <c r="B164" t="inlineStr">
        <is>
          <t>Consulta sobre Pacotes de Consultoria e Preços</t>
        </is>
      </c>
      <c r="C164" t="inlineStr">
        <is>
          <t>Solicitação de Serviço</t>
        </is>
      </c>
      <c r="D164" t="inlineStr">
        <is>
          <t>Gerenciamento Financeiro</t>
        </is>
      </c>
      <c r="K164" t="inlineStr">
        <is>
          <t>Gerenciamento de Relacionamento</t>
        </is>
      </c>
      <c r="L164" t="inlineStr">
        <is>
          <t>Gerenciamento de Catálogo de Serviço</t>
        </is>
      </c>
      <c r="M164" t="inlineStr">
        <is>
          <t>Divergente</t>
        </is>
      </c>
    </row>
    <row r="165">
      <c r="A165" t="inlineStr">
        <is>
          <t>1426</t>
        </is>
      </c>
      <c r="B165" t="inlineStr">
        <is>
          <t>Ação Imediata Necessária para Interrupção do Serviço AWS</t>
        </is>
      </c>
      <c r="C165" t="inlineStr">
        <is>
          <t>Gerenciamento de Incidentes</t>
        </is>
      </c>
      <c r="D165" t="inlineStr">
        <is>
          <t>Gerenciamento de Disponibilidade</t>
        </is>
      </c>
      <c r="K165" t="inlineStr">
        <is>
          <t>Gerenciamento de Continuidade de Serviço</t>
        </is>
      </c>
      <c r="L165" t="inlineStr">
        <is>
          <t>Gerenciamento de Monitoração e Eventos</t>
        </is>
      </c>
      <c r="M165" t="inlineStr">
        <is>
          <t>Divergente</t>
        </is>
      </c>
    </row>
    <row r="166">
      <c r="A166" t="inlineStr">
        <is>
          <t>1432</t>
        </is>
      </c>
      <c r="B166" t="inlineStr">
        <is>
          <t>Assistência com Configuração da Samsung QLED</t>
        </is>
      </c>
      <c r="C166" t="inlineStr">
        <is>
          <t>Solicitação de Serviço</t>
        </is>
      </c>
      <c r="D166" t="inlineStr">
        <is>
          <t>Gerenciamento de Incidentes</t>
        </is>
      </c>
      <c r="K166" t="inlineStr">
        <is>
          <t>Gerenciamento de Requisição de Serviço</t>
        </is>
      </c>
      <c r="L166" t="inlineStr">
        <is>
          <t>Gerenciamento de Conhecimento</t>
        </is>
      </c>
      <c r="M166" t="inlineStr">
        <is>
          <t>Divergente</t>
        </is>
      </c>
    </row>
    <row r="167">
      <c r="A167" t="inlineStr">
        <is>
          <t>1443</t>
        </is>
      </c>
      <c r="B167" t="inlineStr">
        <is>
          <t>Solicitação de Troca: Problema com a Tela Touchscreen do Dell XPS 13 9310</t>
        </is>
      </c>
      <c r="C167" t="inlineStr">
        <is>
          <t>Solicitação de Serviço</t>
        </is>
      </c>
      <c r="D167" t="inlineStr">
        <is>
          <t>Gerenciamento de Ativos de TI</t>
        </is>
      </c>
      <c r="K167" t="inlineStr">
        <is>
          <t>Gerenciamento de Ativos de TI</t>
        </is>
      </c>
      <c r="L167" t="inlineStr">
        <is>
          <t>Gerenciamento de Fornecedor</t>
        </is>
      </c>
      <c r="M167" t="inlineStr">
        <is>
          <t>Divergente</t>
        </is>
      </c>
    </row>
    <row r="168">
      <c r="A168" t="inlineStr">
        <is>
          <t>1461</t>
        </is>
      </c>
      <c r="B168" t="inlineStr">
        <is>
          <t>Erro SQL recorrente impactando a recuperação de dados para projetos</t>
        </is>
      </c>
      <c r="C168" t="inlineStr">
        <is>
          <t>Gerenciamento de Incidentes</t>
        </is>
      </c>
      <c r="D168" t="inlineStr">
        <is>
          <t>Gerenciamento de Problemas</t>
        </is>
      </c>
      <c r="K168" t="inlineStr">
        <is>
          <t>Gerenciamento de Problemas</t>
        </is>
      </c>
      <c r="L168" t="inlineStr">
        <is>
          <t>Gerenciamento de Capacidade e Desempenho</t>
        </is>
      </c>
      <c r="M168" t="inlineStr">
        <is>
          <t>Divergente</t>
        </is>
      </c>
    </row>
    <row r="169">
      <c r="A169" t="inlineStr">
        <is>
          <t>1462</t>
        </is>
      </c>
      <c r="B169" t="inlineStr">
        <is>
          <t>Assistência Urgente Necessária: Interruptão de Serviço da AWS</t>
        </is>
      </c>
      <c r="C169" t="inlineStr">
        <is>
          <t>Gerenciamento de Incidentes</t>
        </is>
      </c>
      <c r="D169" t="inlineStr">
        <is>
          <t>Gerenciamento de Disponibilidade</t>
        </is>
      </c>
      <c r="K169" t="inlineStr">
        <is>
          <t>Gerenciamento de Continuidade de Serviço</t>
        </is>
      </c>
      <c r="L169" t="inlineStr">
        <is>
          <t>Gerenciamento de Monitoração e Eventos</t>
        </is>
      </c>
      <c r="M169" t="inlineStr">
        <is>
          <t>Divergente</t>
        </is>
      </c>
    </row>
    <row r="170">
      <c r="A170" t="inlineStr">
        <is>
          <t>1484</t>
        </is>
      </c>
      <c r="B170" t="inlineStr">
        <is>
          <t>Problema de Cobrança Inconsistente com o AWS Management</t>
        </is>
      </c>
      <c r="C170" t="inlineStr">
        <is>
          <t>Gerenciamento Financeiro</t>
        </is>
      </c>
      <c r="D170" t="inlineStr">
        <is>
          <t>Gerenciamento de Capacidade</t>
        </is>
      </c>
      <c r="K170" t="inlineStr">
        <is>
          <t>Gerenciamento Financeiro de Serviços</t>
        </is>
      </c>
      <c r="L170" t="inlineStr">
        <is>
          <t>Gerenciamento de Relacionamento</t>
        </is>
      </c>
      <c r="M170" t="inlineStr">
        <is>
          <t>Divergente</t>
        </is>
      </c>
    </row>
    <row r="171">
      <c r="A171" t="inlineStr">
        <is>
          <t>1486</t>
        </is>
      </c>
      <c r="B171" t="inlineStr">
        <is>
          <t>Problema ao Criar Tickets no Jira</t>
        </is>
      </c>
      <c r="C171" t="inlineStr">
        <is>
          <t>Gerenciamento de Incidentes</t>
        </is>
      </c>
      <c r="D171" t="inlineStr">
        <is>
          <t>Gerenciamento de Problemas</t>
        </is>
      </c>
      <c r="K171" t="inlineStr">
        <is>
          <t>Gerenciamento de Problemas</t>
        </is>
      </c>
      <c r="L171" t="inlineStr">
        <is>
          <t>Gerenciamento de Liberação</t>
        </is>
      </c>
      <c r="M171" t="inlineStr">
        <is>
          <t>Divergente</t>
        </is>
      </c>
    </row>
    <row r="172">
      <c r="A172" t="inlineStr">
        <is>
          <t>1487</t>
        </is>
      </c>
      <c r="B172" t="inlineStr">
        <is>
          <t>Urgente: Problema de Inicialização do Dell XPS 13</t>
        </is>
      </c>
      <c r="C172" t="inlineStr">
        <is>
          <t>Gerenciamento de Incidentes</t>
        </is>
      </c>
      <c r="D172" t="inlineStr">
        <is>
          <t>Gerenciamento de Problemas</t>
        </is>
      </c>
      <c r="K172" t="inlineStr">
        <is>
          <t>Gerenciamento de Problemas</t>
        </is>
      </c>
      <c r="L172" t="inlineStr">
        <is>
          <t>Gerenciamento de Ativos de TI</t>
        </is>
      </c>
      <c r="M172" t="inlineStr">
        <is>
          <t>Divergente</t>
        </is>
      </c>
    </row>
    <row r="173">
      <c r="A173" t="inlineStr">
        <is>
          <t>1497</t>
        </is>
      </c>
      <c r="B173" t="inlineStr">
        <is>
          <t>Assistência Urgente Necessária</t>
        </is>
      </c>
      <c r="C173" t="inlineStr">
        <is>
          <t>Gerenciamento de Incidentes</t>
        </is>
      </c>
      <c r="D173" t="inlineStr">
        <is>
          <t>Gerenciamento de Problemas</t>
        </is>
      </c>
      <c r="K173" t="inlineStr">
        <is>
          <t>Desenvolvimento e Gerenciamento de Software</t>
        </is>
      </c>
      <c r="L173" t="inlineStr">
        <is>
          <t>Gerenciamento de Problemas</t>
        </is>
      </c>
      <c r="M173" t="inlineStr">
        <is>
          <t>Parcial</t>
        </is>
      </c>
    </row>
    <row r="174">
      <c r="A174" t="inlineStr">
        <is>
          <t>1512</t>
        </is>
      </c>
      <c r="B174" t="inlineStr">
        <is>
          <t>Alta Prioridade: Falha no Serviço do Zoom</t>
        </is>
      </c>
      <c r="C174" t="inlineStr">
        <is>
          <t>Gerenciamento de Incidentes</t>
        </is>
      </c>
      <c r="D174" t="inlineStr">
        <is>
          <t>Gerenciamento de Disponibilidade</t>
        </is>
      </c>
      <c r="K174" t="inlineStr">
        <is>
          <t>Gerenciamento de Continuidade de Serviço</t>
        </is>
      </c>
      <c r="L174" t="inlineStr">
        <is>
          <t>Gerenciamento de Fornecedor</t>
        </is>
      </c>
      <c r="M174" t="inlineStr">
        <is>
          <t>Divergente</t>
        </is>
      </c>
    </row>
    <row r="175">
      <c r="A175" t="inlineStr">
        <is>
          <t>1518</t>
        </is>
      </c>
      <c r="B175" t="inlineStr">
        <is>
          <t>Problema com Atualizações de Tarefas Scrum</t>
        </is>
      </c>
      <c r="C175" t="inlineStr">
        <is>
          <t>Gerenciamento de Incidentes</t>
        </is>
      </c>
      <c r="D175" t="inlineStr">
        <is>
          <t>Gerenciamento de Problemas</t>
        </is>
      </c>
      <c r="K175" t="inlineStr">
        <is>
          <t>Gerenciamento de Problemas</t>
        </is>
      </c>
      <c r="L175" t="inlineStr">
        <is>
          <t>Gerenciamento de Configuração de Serviço</t>
        </is>
      </c>
      <c r="M175" t="inlineStr">
        <is>
          <t>Divergente</t>
        </is>
      </c>
    </row>
    <row r="176">
      <c r="A176" t="inlineStr">
        <is>
          <t>1536</t>
        </is>
      </c>
      <c r="B176" t="inlineStr">
        <is>
          <t>Problema de Conectividade da Canon PIXMA MG3620</t>
        </is>
      </c>
      <c r="C176" t="inlineStr">
        <is>
          <t>Gerenciamento de Incidentes</t>
        </is>
      </c>
      <c r="D176" t="inlineStr">
        <is>
          <t>Gerenciamento de Problemas</t>
        </is>
      </c>
      <c r="K176" t="inlineStr">
        <is>
          <t>Gerenciamento de Problemas</t>
        </is>
      </c>
      <c r="L176" t="inlineStr">
        <is>
          <t>Gerenciamento de Monitoração e Eventos</t>
        </is>
      </c>
      <c r="M176" t="inlineStr">
        <is>
          <t>Divergente</t>
        </is>
      </c>
    </row>
    <row r="177">
      <c r="A177" t="inlineStr">
        <is>
          <t>1553</t>
        </is>
      </c>
      <c r="B177" t="inlineStr">
        <is>
          <t>Solicitação para Investigar Discrepância na Faturação do Serviço AWS</t>
        </is>
      </c>
      <c r="C177" t="inlineStr">
        <is>
          <t>Gerenciamento Financeiro</t>
        </is>
      </c>
      <c r="D177" t="inlineStr">
        <is>
          <t>Gerenciamento de Incidentes</t>
        </is>
      </c>
      <c r="K177" t="inlineStr">
        <is>
          <t>Gerenciamento Financeiro de Serviços</t>
        </is>
      </c>
      <c r="L177" t="inlineStr">
        <is>
          <t>Gerenciamento de Relacionamento</t>
        </is>
      </c>
      <c r="M177" t="inlineStr">
        <is>
          <t>Divergente</t>
        </is>
      </c>
    </row>
    <row r="178">
      <c r="A178" t="inlineStr">
        <is>
          <t>1565</t>
        </is>
      </c>
      <c r="B178" t="inlineStr">
        <is>
          <t>Problema no Roteador Cisco ISR4331</t>
        </is>
      </c>
      <c r="C178" t="inlineStr">
        <is>
          <t>Gerenciamento de Incidentes</t>
        </is>
      </c>
      <c r="D178" t="inlineStr">
        <is>
          <t>Gerenciamento de Disponibilidade</t>
        </is>
      </c>
      <c r="K178" t="inlineStr">
        <is>
          <t>Gerenciamento de Capacidade e Desempenho</t>
        </is>
      </c>
      <c r="L178" t="inlineStr">
        <is>
          <t>Gerenciamento de Monitoração e Eventos</t>
        </is>
      </c>
      <c r="M178" t="inlineStr">
        <is>
          <t>Divergente</t>
        </is>
      </c>
    </row>
    <row r="179">
      <c r="A179" t="inlineStr">
        <is>
          <t>1573</t>
        </is>
      </c>
      <c r="B179" t="inlineStr">
        <is>
          <t>Assistência Necessária para Configuração Sem Fio do Canon PIXMA MG3620</t>
        </is>
      </c>
      <c r="C179" t="inlineStr">
        <is>
          <t>Solicitação de Serviço</t>
        </is>
      </c>
      <c r="D179" t="inlineStr">
        <is>
          <t>Gerenciamento de Incidentes</t>
        </is>
      </c>
      <c r="K179" t="inlineStr">
        <is>
          <t>Gerenciamento de Requisição de Serviço</t>
        </is>
      </c>
      <c r="L179" t="inlineStr">
        <is>
          <t>Gerenciamento de Conhecimento</t>
        </is>
      </c>
      <c r="M179" t="inlineStr">
        <is>
          <t>Divergente</t>
        </is>
      </c>
    </row>
    <row r="180">
      <c r="A180" t="inlineStr">
        <is>
          <t>1577</t>
        </is>
      </c>
      <c r="B180" t="inlineStr">
        <is>
          <t>Solicitação de Campos Personalizados Adicionais no Jira</t>
        </is>
      </c>
      <c r="C180" t="inlineStr">
        <is>
          <t>Solicitação de Serviço</t>
        </is>
      </c>
      <c r="D180" t="inlineStr">
        <is>
          <t>Gerenciamento de Mudanças</t>
        </is>
      </c>
      <c r="K180" t="inlineStr">
        <is>
          <t>Gerenciamento de Requisição de Serviço</t>
        </is>
      </c>
      <c r="L180" t="inlineStr">
        <is>
          <t>Habilitação de Mudança</t>
        </is>
      </c>
      <c r="M180" t="inlineStr">
        <is>
          <t>Divergente</t>
        </is>
      </c>
    </row>
    <row r="181">
      <c r="A181" t="inlineStr">
        <is>
          <t>1595</t>
        </is>
      </c>
      <c r="B181" t="inlineStr">
        <is>
          <t>Solicitação Urgente para Modificação de Ticket Jira</t>
        </is>
      </c>
      <c r="C181" t="inlineStr">
        <is>
          <t>Gerenciamento de Mudanças</t>
        </is>
      </c>
      <c r="D181" t="inlineStr">
        <is>
          <t>Solicitação de Serviço</t>
        </is>
      </c>
      <c r="K181" t="inlineStr">
        <is>
          <t>Gerenciamento de Requisição de Serviço</t>
        </is>
      </c>
      <c r="L181" t="inlineStr">
        <is>
          <t>Habilitação de Mudança</t>
        </is>
      </c>
      <c r="M181" t="inlineStr">
        <is>
          <t>Divergente</t>
        </is>
      </c>
    </row>
    <row r="182">
      <c r="A182" t="inlineStr">
        <is>
          <t>1600</t>
        </is>
      </c>
      <c r="B182" t="inlineStr">
        <is>
          <t>Assistência Urgente Necessária para Problemas de Serviço da AWS</t>
        </is>
      </c>
      <c r="C182" t="inlineStr">
        <is>
          <t>Gerenciamento de Incidentes</t>
        </is>
      </c>
      <c r="D182" t="inlineStr">
        <is>
          <t>Gerenciamento de Disponibilidade</t>
        </is>
      </c>
      <c r="K182" t="inlineStr">
        <is>
          <t>Gerenciamento de Problemas</t>
        </is>
      </c>
      <c r="L182" t="inlineStr">
        <is>
          <t>Gerenciamento de Capacidade e Desempenho</t>
        </is>
      </c>
      <c r="M182" t="inlineStr">
        <is>
          <t>Divergente</t>
        </is>
      </c>
    </row>
    <row r="183">
      <c r="A183" t="inlineStr">
        <is>
          <t>1606</t>
        </is>
      </c>
      <c r="B183" t="inlineStr">
        <is>
          <t>Solicitação de Assistência: Problema de Configuração Sem Fio para Impressora HP</t>
        </is>
      </c>
      <c r="C183" t="inlineStr">
        <is>
          <t>Solicitação de Serviço</t>
        </is>
      </c>
      <c r="D183" t="inlineStr">
        <is>
          <t>Gerenciamento de Incidentes</t>
        </is>
      </c>
      <c r="K183" t="inlineStr">
        <is>
          <t>Gerenciamento de Conhecimento</t>
        </is>
      </c>
      <c r="L183" t="inlineStr">
        <is>
          <t>Gerenciamento de Requisição de Serviço</t>
        </is>
      </c>
      <c r="M183" t="inlineStr">
        <is>
          <t>Divergente</t>
        </is>
      </c>
    </row>
    <row r="184">
      <c r="A184" t="inlineStr">
        <is>
          <t>1614</t>
        </is>
      </c>
      <c r="B184" t="inlineStr">
        <is>
          <t>Problema de Interrupção Urgente</t>
        </is>
      </c>
      <c r="C184" t="inlineStr">
        <is>
          <t>Gerenciamento de Incidentes</t>
        </is>
      </c>
      <c r="D184" t="inlineStr">
        <is>
          <t>Gerenciamento de Disponibilidade</t>
        </is>
      </c>
      <c r="K184" t="inlineStr">
        <is>
          <t>Gerenciamento de Disponibilidade</t>
        </is>
      </c>
      <c r="L184" t="inlineStr">
        <is>
          <t>Monitoração e Gerenciamento de Eventos</t>
        </is>
      </c>
      <c r="M184" t="inlineStr">
        <is>
          <t>Divergente</t>
        </is>
      </c>
    </row>
    <row r="185">
      <c r="A185" t="inlineStr">
        <is>
          <t>1627</t>
        </is>
      </c>
      <c r="B185" t="inlineStr">
        <is>
          <t>Problemas com as funcionalidades de refatoração do IntelliJ IDEA 2024.1</t>
        </is>
      </c>
      <c r="C185" t="inlineStr">
        <is>
          <t>Gerenciamento de Problemas</t>
        </is>
      </c>
      <c r="D185" t="inlineStr">
        <is>
          <t>Gerenciamento de Mudanças</t>
        </is>
      </c>
      <c r="K185" t="inlineStr">
        <is>
          <t>Gerenciamento de Problemas</t>
        </is>
      </c>
      <c r="L185" t="inlineStr">
        <is>
          <t>Gerenciamento de Liberação</t>
        </is>
      </c>
      <c r="M185" t="inlineStr">
        <is>
          <t>Parcial</t>
        </is>
      </c>
    </row>
    <row r="186">
      <c r="A186" t="inlineStr">
        <is>
          <t>1629</t>
        </is>
      </c>
      <c r="B186" t="inlineStr">
        <is>
          <t>Consulta sobre compra em grande quantidade do MacBook Air M1</t>
        </is>
      </c>
      <c r="C186" t="inlineStr">
        <is>
          <t>Solicitação de Serviço</t>
        </is>
      </c>
      <c r="D186" t="inlineStr">
        <is>
          <t>Gerenciamento Financeiro</t>
        </is>
      </c>
      <c r="K186" t="inlineStr">
        <is>
          <t>Gerenciamento de Relacionamento</t>
        </is>
      </c>
      <c r="L186" t="inlineStr">
        <is>
          <t>Gerenciamento Financeiro de Serviços</t>
        </is>
      </c>
      <c r="M186" t="inlineStr">
        <is>
          <t>Divergente</t>
        </is>
      </c>
    </row>
    <row r="187">
      <c r="A187" t="inlineStr">
        <is>
          <t>1641</t>
        </is>
      </c>
      <c r="B187" t="inlineStr">
        <is>
          <t>Interrupção do Serviço de Gerenciamento da AWS</t>
        </is>
      </c>
      <c r="C187" t="inlineStr">
        <is>
          <t>Gerenciamento de Incidentes</t>
        </is>
      </c>
      <c r="D187" t="inlineStr">
        <is>
          <t>Gerenciamento de Disponibilidade</t>
        </is>
      </c>
      <c r="K187" t="inlineStr">
        <is>
          <t>Gerenciamento de Disponibilidade</t>
        </is>
      </c>
      <c r="L187" t="inlineStr">
        <is>
          <t>Gerenciamento de Incidentes</t>
        </is>
      </c>
      <c r="M187" t="inlineStr">
        <is>
          <t>Divergente</t>
        </is>
      </c>
    </row>
    <row r="188">
      <c r="A188" t="inlineStr">
        <is>
          <t>1647</t>
        </is>
      </c>
      <c r="B188" t="inlineStr">
        <is>
          <t>Solicitação de Mudança de Permissões de Acesso</t>
        </is>
      </c>
      <c r="C188" t="inlineStr">
        <is>
          <t>Solicitação de Serviço</t>
        </is>
      </c>
      <c r="D188" t="inlineStr">
        <is>
          <t>Gerenciamento de Acesso</t>
        </is>
      </c>
      <c r="K188" t="inlineStr">
        <is>
          <t>Gerenciamento de Requisição de Serviço</t>
        </is>
      </c>
      <c r="L188" t="inlineStr">
        <is>
          <t>Gerenciamento de Segurança da Informação</t>
        </is>
      </c>
      <c r="M188" t="inlineStr">
        <is>
          <t>Divergente</t>
        </is>
      </c>
    </row>
    <row r="189">
      <c r="A189" t="inlineStr">
        <is>
          <t>1651</t>
        </is>
      </c>
      <c r="B189" t="inlineStr">
        <is>
          <t>Problemas de Login com o Office 365</t>
        </is>
      </c>
      <c r="C189" t="inlineStr">
        <is>
          <t>Gerenciamento de Incidentes</t>
        </is>
      </c>
      <c r="D189" t="inlineStr">
        <is>
          <t>Gerenciamento de Acesso</t>
        </is>
      </c>
      <c r="K189" t="inlineStr">
        <is>
          <t>Gerenciamento de Incidentes</t>
        </is>
      </c>
      <c r="L189" t="inlineStr">
        <is>
          <t>Gerenciamento de Identidade e Acesso</t>
        </is>
      </c>
      <c r="M189" t="inlineStr">
        <is>
          <t>Parcial</t>
        </is>
      </c>
    </row>
    <row r="190">
      <c r="A190" t="inlineStr">
        <is>
          <t>1658</t>
        </is>
      </c>
      <c r="B190" t="inlineStr">
        <is>
          <t>Solicitação de troca do Dell XPS 13 com defeito</t>
        </is>
      </c>
      <c r="C190" t="inlineStr">
        <is>
          <t>Solicitação de Serviço</t>
        </is>
      </c>
      <c r="D190" t="inlineStr">
        <is>
          <t>Gerenciamento de Ativos de TI</t>
        </is>
      </c>
      <c r="K190" t="inlineStr">
        <is>
          <t>Gerenciamento de Ativos de TI</t>
        </is>
      </c>
      <c r="L190" t="inlineStr">
        <is>
          <t>Gerenciamento de Problemas</t>
        </is>
      </c>
      <c r="M190" t="inlineStr">
        <is>
          <t>Divergente</t>
        </is>
      </c>
    </row>
    <row r="191">
      <c r="A191" t="inlineStr">
        <is>
          <t>1660</t>
        </is>
      </c>
      <c r="B191" t="inlineStr">
        <is>
          <t>Conexão Sem Fio Defeituosa da Canon PIXMA MG3620</t>
        </is>
      </c>
      <c r="C191" t="inlineStr">
        <is>
          <t>Solicitação de Serviço</t>
        </is>
      </c>
      <c r="D191" t="inlineStr">
        <is>
          <t>Gerenciamento de Ativos de TI</t>
        </is>
      </c>
      <c r="K191" t="inlineStr">
        <is>
          <t>Gerenciamento de Problemas</t>
        </is>
      </c>
      <c r="L191" t="inlineStr">
        <is>
          <t>Gerenciamento de Ativos de TI</t>
        </is>
      </c>
      <c r="M191" t="inlineStr">
        <is>
          <t>Parcial</t>
        </is>
      </c>
    </row>
    <row r="192">
      <c r="A192" t="inlineStr">
        <is>
          <t>1661</t>
        </is>
      </c>
      <c r="B192" t="inlineStr">
        <is>
          <t>Solicitação de Alterações nas Permissões de Acesso</t>
        </is>
      </c>
      <c r="C192" t="inlineStr">
        <is>
          <t>Solicitação de Serviço</t>
        </is>
      </c>
      <c r="D192" t="inlineStr">
        <is>
          <t>Gerenciamento de Acesso</t>
        </is>
      </c>
      <c r="K192" t="inlineStr">
        <is>
          <t>Gerenciamento de Requisição de Serviço</t>
        </is>
      </c>
      <c r="L192" t="inlineStr">
        <is>
          <t>Gerenciamento de Segurança da Informação</t>
        </is>
      </c>
      <c r="M192" t="inlineStr">
        <is>
          <t>Divergente</t>
        </is>
      </c>
    </row>
    <row r="193">
      <c r="A193" t="inlineStr">
        <is>
          <t>1667</t>
        </is>
      </c>
      <c r="B193" t="inlineStr">
        <is>
          <t>Problema na Impressora Epson</t>
        </is>
      </c>
      <c r="C193" t="inlineStr">
        <is>
          <t>Gerenciamento de Incidentes</t>
        </is>
      </c>
      <c r="D193" t="inlineStr">
        <is>
          <t>Gerenciamento de Problemas</t>
        </is>
      </c>
      <c r="K193" t="inlineStr">
        <is>
          <t>Gerenciamento de Problemas</t>
        </is>
      </c>
      <c r="L193" t="inlineStr">
        <is>
          <t>Gerenciamento de Ativos de TI</t>
        </is>
      </c>
      <c r="M193" t="inlineStr">
        <is>
          <t>Divergente</t>
        </is>
      </c>
    </row>
    <row r="194">
      <c r="A194" t="inlineStr">
        <is>
          <t>1674</t>
        </is>
      </c>
      <c r="B194" t="inlineStr">
        <is>
          <t>Assistência Necessária: Configuração da Epson EcoTank ET-4760</t>
        </is>
      </c>
      <c r="C194" t="inlineStr">
        <is>
          <t>Solicitação de Serviço</t>
        </is>
      </c>
      <c r="D194" t="inlineStr">
        <is>
          <t>Gerenciamento de Incidentes</t>
        </is>
      </c>
      <c r="K194" t="inlineStr">
        <is>
          <t>Gerenciamento de Conhecimento</t>
        </is>
      </c>
      <c r="L194" t="inlineStr">
        <is>
          <t>Gerenciamento de Requisição de Serviço</t>
        </is>
      </c>
      <c r="M194" t="inlineStr">
        <is>
          <t>Divergente</t>
        </is>
      </c>
    </row>
    <row r="195">
      <c r="A195" t="inlineStr">
        <is>
          <t>1685</t>
        </is>
      </c>
      <c r="B195" t="inlineStr">
        <is>
          <t>Mudança de Configuração Urgente</t>
        </is>
      </c>
      <c r="C195" t="inlineStr">
        <is>
          <t>Gerenciamento de Mudanças</t>
        </is>
      </c>
      <c r="D195" t="inlineStr">
        <is>
          <t>Gerenciamento de Incidentes</t>
        </is>
      </c>
      <c r="K195" t="inlineStr">
        <is>
          <t>Habilitação de Mudança</t>
        </is>
      </c>
      <c r="L195" t="inlineStr">
        <is>
          <t>Gerenciamento de Configuração de Serviço</t>
        </is>
      </c>
      <c r="M195" t="inlineStr">
        <is>
          <t>Divergente</t>
        </is>
      </c>
    </row>
    <row r="196">
      <c r="A196" t="inlineStr">
        <is>
          <t>1703</t>
        </is>
      </c>
      <c r="B196" t="inlineStr">
        <is>
          <t>Assistência Necessária para Gerenciamento da AWS</t>
        </is>
      </c>
      <c r="C196" t="inlineStr">
        <is>
          <t>Solicitação de Serviço</t>
        </is>
      </c>
      <c r="D196" t="inlineStr">
        <is>
          <t>Gerenciamento Financeiro</t>
        </is>
      </c>
      <c r="K196" t="inlineStr">
        <is>
          <t>Gerenciamento Financeiro de Serviços</t>
        </is>
      </c>
      <c r="L196" t="inlineStr">
        <is>
          <t>Gerenciamento de Capacidade e Desempenho</t>
        </is>
      </c>
      <c r="M196" t="inlineStr">
        <is>
          <t>Divergente</t>
        </is>
      </c>
    </row>
    <row r="197">
      <c r="A197" t="inlineStr">
        <is>
          <t>1713</t>
        </is>
      </c>
      <c r="B197" t="inlineStr">
        <is>
          <t>Solicitação de Mudança de Faturamento para o Google Workspace</t>
        </is>
      </c>
      <c r="C197" t="inlineStr">
        <is>
          <t>Solicitação de Serviço</t>
        </is>
      </c>
      <c r="D197" t="inlineStr">
        <is>
          <t>Gerenciamento Financeiro</t>
        </is>
      </c>
      <c r="K197" t="inlineStr">
        <is>
          <t>Gerenciamento de Relacionamento</t>
        </is>
      </c>
      <c r="L197" t="inlineStr">
        <is>
          <t>Gerenciamento Financeiro de Serviços</t>
        </is>
      </c>
      <c r="M197" t="inlineStr">
        <is>
          <t>Divergente</t>
        </is>
      </c>
    </row>
    <row r="198">
      <c r="A198" t="inlineStr">
        <is>
          <t>1718</t>
        </is>
      </c>
      <c r="B198" t="inlineStr">
        <is>
          <t>Urgente: problema com Dell XPS 13 9310</t>
        </is>
      </c>
      <c r="C198" t="inlineStr">
        <is>
          <t>Gerenciamento de Incidentes</t>
        </is>
      </c>
      <c r="D198" t="inlineStr">
        <is>
          <t>Gerenciamento de Problemas</t>
        </is>
      </c>
      <c r="K198" t="inlineStr">
        <is>
          <t>Gerenciamento de Problemas</t>
        </is>
      </c>
      <c r="L198" t="inlineStr">
        <is>
          <t>Gerenciamento de Incidentes</t>
        </is>
      </c>
      <c r="M198" t="inlineStr">
        <is>
          <t>Divergente</t>
        </is>
      </c>
    </row>
    <row r="199">
      <c r="A199" t="inlineStr">
        <is>
          <t>1723</t>
        </is>
      </c>
      <c r="B199" t="inlineStr">
        <is>
          <t>Consulta sobre a compra do Microsoft Surface Pro 7</t>
        </is>
      </c>
      <c r="C199" t="inlineStr">
        <is>
          <t>Solicitação de Serviço</t>
        </is>
      </c>
      <c r="D199" t="inlineStr">
        <is>
          <t>Gerenciamento de Ativos de TI</t>
        </is>
      </c>
      <c r="K199" t="inlineStr">
        <is>
          <t>Gerenciamento de Catálogo de Serviço</t>
        </is>
      </c>
      <c r="L199" t="inlineStr">
        <is>
          <t>Gerenciamento de Relacionamento</t>
        </is>
      </c>
      <c r="M199" t="inlineStr">
        <is>
          <t>Divergente</t>
        </is>
      </c>
    </row>
    <row r="200">
      <c r="A200" t="inlineStr">
        <is>
          <t>1741</t>
        </is>
      </c>
      <c r="B200" t="inlineStr">
        <is>
          <t>Problemas com a Impressora Epson EcoTank ET-4760</t>
        </is>
      </c>
      <c r="C200" t="inlineStr">
        <is>
          <t>Gerenciamento de Incidentes</t>
        </is>
      </c>
      <c r="D200" t="inlineStr">
        <is>
          <t>Gerenciamento de Problemas</t>
        </is>
      </c>
      <c r="K200" t="inlineStr">
        <is>
          <t>Gerenciamento de Problemas</t>
        </is>
      </c>
      <c r="L200" t="inlineStr">
        <is>
          <t>Gerenciamento de Nível de Serviço</t>
        </is>
      </c>
      <c r="M200" t="inlineStr">
        <is>
          <t>Divergente</t>
        </is>
      </c>
    </row>
    <row r="201">
      <c r="A201" t="inlineStr">
        <is>
          <t>1746</t>
        </is>
      </c>
      <c r="B201" t="inlineStr">
        <is>
          <t>Solicitação para Atualizar Informações de Faturamento para Conformidade</t>
        </is>
      </c>
      <c r="C201" t="inlineStr">
        <is>
          <t>Solicitação de Serviço</t>
        </is>
      </c>
      <c r="D201" t="inlineStr">
        <is>
          <t>Gerenciamento Financeiro</t>
        </is>
      </c>
      <c r="K201" t="inlineStr">
        <is>
          <t>Gerenciamento Financeiro de Serviços</t>
        </is>
      </c>
      <c r="L201" t="inlineStr">
        <is>
          <t>Gerenciamento de Riscos</t>
        </is>
      </c>
      <c r="M201" t="inlineStr">
        <is>
          <t>Divergente</t>
        </is>
      </c>
    </row>
    <row r="202">
      <c r="A202" t="inlineStr">
        <is>
          <t>1777</t>
        </is>
      </c>
      <c r="B202" t="inlineStr">
        <is>
          <t>Urgente: Interrupção do Serviço de Nuvem Requer Atenção Imediata</t>
        </is>
      </c>
      <c r="C202" t="inlineStr">
        <is>
          <t>Gerenciamento de Incidentes</t>
        </is>
      </c>
      <c r="D202" t="inlineStr">
        <is>
          <t>Gerenciamento de Disponibilidade</t>
        </is>
      </c>
      <c r="K202" t="inlineStr">
        <is>
          <t>Gerenciamento de Disponibilidade</t>
        </is>
      </c>
      <c r="L202" t="inlineStr">
        <is>
          <t>Gerenciamento de Continuidade de Serviço</t>
        </is>
      </c>
      <c r="M202" t="inlineStr">
        <is>
          <t>Divergente</t>
        </is>
      </c>
    </row>
    <row r="203">
      <c r="A203" t="inlineStr">
        <is>
          <t>1778</t>
        </is>
      </c>
      <c r="B203" t="inlineStr">
        <is>
          <t>Solicitação de Assistência Imediata com Compra Recente</t>
        </is>
      </c>
      <c r="C203" t="inlineStr">
        <is>
          <t>Solicitação de Serviço</t>
        </is>
      </c>
      <c r="D203" t="inlineStr">
        <is>
          <t>Gerenciamento de Ativos de TI</t>
        </is>
      </c>
      <c r="K203" t="inlineStr">
        <is>
          <t>Gerenciamento de Ativos de TI</t>
        </is>
      </c>
      <c r="L203" t="inlineStr">
        <is>
          <t>Gerenciamento de Fornecedor</t>
        </is>
      </c>
      <c r="M203" t="inlineStr">
        <is>
          <t>Divergente</t>
        </is>
      </c>
    </row>
    <row r="204">
      <c r="A204" t="inlineStr">
        <is>
          <t>1780</t>
        </is>
      </c>
      <c r="B204" t="inlineStr">
        <is>
          <t>Problemas Frequentes com o Roteador Cisco ISR4331</t>
        </is>
      </c>
      <c r="C204" t="inlineStr">
        <is>
          <t>Gerenciamento de Incidentes</t>
        </is>
      </c>
      <c r="D204" t="inlineStr">
        <is>
          <t>Gerenciamento de Problemas</t>
        </is>
      </c>
      <c r="K204" t="inlineStr">
        <is>
          <t>Gerenciamento de Problemas</t>
        </is>
      </c>
      <c r="L204" t="inlineStr">
        <is>
          <t>Gerenciamento de Disponibilidade</t>
        </is>
      </c>
      <c r="M204" t="inlineStr">
        <is>
          <t>Divergente</t>
        </is>
      </c>
    </row>
    <row r="205">
      <c r="A205" t="inlineStr">
        <is>
          <t>1786</t>
        </is>
      </c>
      <c r="B205" t="inlineStr">
        <is>
          <t>Solicitação de Atualização de Serviço da AWS</t>
        </is>
      </c>
      <c r="C205" t="inlineStr">
        <is>
          <t>Solicitação de Serviço</t>
        </is>
      </c>
      <c r="D205" t="inlineStr">
        <is>
          <t>Gerenciamento Financeiro</t>
        </is>
      </c>
      <c r="K205" t="inlineStr">
        <is>
          <t>Gerenciamento Financeiro de Serviços</t>
        </is>
      </c>
      <c r="L205" t="inlineStr">
        <is>
          <t>Gerenciamento de Relacionamento</t>
        </is>
      </c>
      <c r="M205" t="inlineStr">
        <is>
          <t>Divergente</t>
        </is>
      </c>
    </row>
    <row r="206">
      <c r="A206" t="inlineStr">
        <is>
          <t>1798</t>
        </is>
      </c>
      <c r="B206" t="inlineStr">
        <is>
          <t>Solicitação Urgente de Substituição</t>
        </is>
      </c>
      <c r="C206" t="inlineStr">
        <is>
          <t>Solicitação de Serviço</t>
        </is>
      </c>
      <c r="D206" t="inlineStr">
        <is>
          <t>Gerenciamento de Ativos de TI</t>
        </is>
      </c>
      <c r="K206" t="inlineStr">
        <is>
          <t>Gerenciamento de Requisição de Serviço</t>
        </is>
      </c>
      <c r="L206" t="inlineStr">
        <is>
          <t>Gerenciamento de Ativos de TI</t>
        </is>
      </c>
      <c r="M206" t="inlineStr">
        <is>
          <t>Parcial</t>
        </is>
      </c>
    </row>
    <row r="207">
      <c r="A207" t="inlineStr">
        <is>
          <t>1817</t>
        </is>
      </c>
      <c r="B207" t="inlineStr">
        <is>
          <t>Problema Urgente: Recurso de Auto-Scaling da AWS</t>
        </is>
      </c>
      <c r="C207" t="inlineStr">
        <is>
          <t>Gerenciamento de Incidentes</t>
        </is>
      </c>
      <c r="D207" t="inlineStr">
        <is>
          <t>Gerenciamento de Capacidade</t>
        </is>
      </c>
      <c r="K207" t="inlineStr">
        <is>
          <t>Gerenciamento de Problemas</t>
        </is>
      </c>
      <c r="L207" t="inlineStr">
        <is>
          <t>Gerenciamento de Capacidade e Desempenho</t>
        </is>
      </c>
      <c r="M207" t="inlineStr">
        <is>
          <t>Divergente</t>
        </is>
      </c>
    </row>
    <row r="208">
      <c r="A208" t="inlineStr">
        <is>
          <t>1818</t>
        </is>
      </c>
      <c r="B208" t="inlineStr">
        <is>
          <t>Problemas Intermitentes de Conectividade</t>
        </is>
      </c>
      <c r="C208" t="inlineStr">
        <is>
          <t>Gerenciamento de Incidentes</t>
        </is>
      </c>
      <c r="D208" t="inlineStr">
        <is>
          <t>Gerenciamento de Problemas</t>
        </is>
      </c>
      <c r="K208" t="inlineStr">
        <is>
          <t>Gerenciamento de Problemas</t>
        </is>
      </c>
      <c r="L208" t="inlineStr">
        <is>
          <t>Gerenciamento de Nível de Serviço</t>
        </is>
      </c>
      <c r="M208" t="inlineStr">
        <is>
          <t>Divergente</t>
        </is>
      </c>
    </row>
    <row r="209">
      <c r="A209" t="inlineStr">
        <is>
          <t>1829</t>
        </is>
      </c>
      <c r="B209" t="inlineStr">
        <is>
          <t>Usuário enfrentando problema com mensagens do Slack</t>
        </is>
      </c>
      <c r="C209" t="inlineStr">
        <is>
          <t>Gerenciamento de Incidentes</t>
        </is>
      </c>
      <c r="D209" t="inlineStr">
        <is>
          <t>Gerenciamento de Problemas</t>
        </is>
      </c>
      <c r="K209" t="inlineStr">
        <is>
          <t>Gerenciamento de Incidentes</t>
        </is>
      </c>
      <c r="L209" t="inlineStr">
        <is>
          <t>Gerenciamento de Conhecimento</t>
        </is>
      </c>
      <c r="M209" t="inlineStr">
        <is>
          <t>Parcial</t>
        </is>
      </c>
    </row>
    <row r="210">
      <c r="A210" t="inlineStr">
        <is>
          <t>1832</t>
        </is>
      </c>
      <c r="B210" t="inlineStr">
        <is>
          <t>Problema de Tela Piscando</t>
        </is>
      </c>
      <c r="C210" t="inlineStr">
        <is>
          <t>Gerenciamento de Incidentes</t>
        </is>
      </c>
      <c r="D210" t="inlineStr">
        <is>
          <t>Gerenciamento de Problemas</t>
        </is>
      </c>
      <c r="K210" t="inlineStr">
        <is>
          <t>Gerenciamento de Problemas</t>
        </is>
      </c>
      <c r="L210" t="inlineStr">
        <is>
          <t>Habilitação de Mudança</t>
        </is>
      </c>
      <c r="M210" t="inlineStr">
        <is>
          <t>Divergente</t>
        </is>
      </c>
    </row>
    <row r="211">
      <c r="A211" t="inlineStr">
        <is>
          <t>1833</t>
        </is>
      </c>
      <c r="B211" t="inlineStr">
        <is>
          <t>Pedido Urgente do Cliente: Atualização do Jira Software 8.20</t>
        </is>
      </c>
      <c r="C211" t="inlineStr">
        <is>
          <t>Solicitação de Serviço</t>
        </is>
      </c>
      <c r="D211" t="inlineStr">
        <is>
          <t>Gerenciamento de Mudanças</t>
        </is>
      </c>
      <c r="K211" t="inlineStr">
        <is>
          <t>Habilitação de Mudança</t>
        </is>
      </c>
      <c r="L211" t="inlineStr">
        <is>
          <t>Gerenciamento de Liberação</t>
        </is>
      </c>
      <c r="M211" t="inlineStr">
        <is>
          <t>Divergente</t>
        </is>
      </c>
    </row>
    <row r="212">
      <c r="A212" t="inlineStr">
        <is>
          <t>1835</t>
        </is>
      </c>
      <c r="B212" t="inlineStr">
        <is>
          <t>Erro de Cobrança na Compra Recente</t>
        </is>
      </c>
      <c r="C212" t="inlineStr">
        <is>
          <t>Gerenciamento Financeiro</t>
        </is>
      </c>
      <c r="D212" t="inlineStr">
        <is>
          <t>Gerenciamento de Incidentes</t>
        </is>
      </c>
      <c r="K212" t="inlineStr">
        <is>
          <t>Gerenciamento Financeiro de Serviços</t>
        </is>
      </c>
      <c r="L212" t="inlineStr">
        <is>
          <t>Validação e Teste de Serviço</t>
        </is>
      </c>
      <c r="M212" t="inlineStr">
        <is>
          <t>Divergente</t>
        </is>
      </c>
    </row>
    <row r="213">
      <c r="A213" t="inlineStr">
        <is>
          <t>1846</t>
        </is>
      </c>
      <c r="B213" t="inlineStr">
        <is>
          <t>Solicitação de Consulta com Especialista</t>
        </is>
      </c>
      <c r="C213" t="inlineStr">
        <is>
          <t>Solicitação de Serviço</t>
        </is>
      </c>
      <c r="D213" t="inlineStr">
        <is>
          <t>Gerenciamento de Nível de Serviço</t>
        </is>
      </c>
      <c r="K213" t="inlineStr">
        <is>
          <t>Gerenciamento de Requisição de Serviço</t>
        </is>
      </c>
      <c r="L213" t="inlineStr">
        <is>
          <t>Gerenciamento de Relacionamento</t>
        </is>
      </c>
      <c r="M213" t="inlineStr">
        <is>
          <t>Divergente</t>
        </is>
      </c>
    </row>
    <row r="214">
      <c r="A214" t="inlineStr">
        <is>
          <t>1854</t>
        </is>
      </c>
      <c r="B214" t="inlineStr">
        <is>
          <t>Solicitação de Assistência com Problema de Tela Touch do Dell XPS 13</t>
        </is>
      </c>
      <c r="C214" t="inlineStr">
        <is>
          <t>Gerenciamento de Incidentes</t>
        </is>
      </c>
      <c r="D214" t="inlineStr">
        <is>
          <t>Gerenciamento de Problemas</t>
        </is>
      </c>
      <c r="K214" t="inlineStr">
        <is>
          <t>Gerenciamento de Problemas</t>
        </is>
      </c>
      <c r="L214" t="inlineStr">
        <is>
          <t>Gerenciamento de Liberação</t>
        </is>
      </c>
      <c r="M214" t="inlineStr">
        <is>
          <t>Divergente</t>
        </is>
      </c>
    </row>
    <row r="215">
      <c r="A215" t="inlineStr">
        <is>
          <t>1858</t>
        </is>
      </c>
      <c r="B215" t="inlineStr">
        <is>
          <t>Problema de Desconexões Frequentes na Rede</t>
        </is>
      </c>
      <c r="C215" t="inlineStr">
        <is>
          <t>Gerenciamento de Incidentes</t>
        </is>
      </c>
      <c r="D215" t="inlineStr">
        <is>
          <t>Gerenciamento de Problemas</t>
        </is>
      </c>
      <c r="K215" t="inlineStr">
        <is>
          <t>Gerenciamento de Problemas</t>
        </is>
      </c>
      <c r="L215" t="inlineStr">
        <is>
          <t>Habilitação de Mudança</t>
        </is>
      </c>
      <c r="M215" t="inlineStr">
        <is>
          <t>Divergente</t>
        </is>
      </c>
    </row>
    <row r="216">
      <c r="A216" t="inlineStr">
        <is>
          <t>1866</t>
        </is>
      </c>
      <c r="B216" t="inlineStr">
        <is>
          <t>Atualização da Arquitetura do Servidor</t>
        </is>
      </c>
      <c r="C216" t="inlineStr">
        <is>
          <t>Solicitação de Serviço</t>
        </is>
      </c>
      <c r="D216" t="inlineStr">
        <is>
          <t>Gerenciamento de Mudanças</t>
        </is>
      </c>
      <c r="K216" t="inlineStr">
        <is>
          <t>Gerenciamento de Projetos</t>
        </is>
      </c>
      <c r="L216" t="inlineStr">
        <is>
          <t>Desenho de Serviço</t>
        </is>
      </c>
      <c r="M216" t="inlineStr">
        <is>
          <t>Divergente</t>
        </is>
      </c>
    </row>
    <row r="217">
      <c r="A217" t="inlineStr">
        <is>
          <t>1878</t>
        </is>
      </c>
      <c r="B217" t="inlineStr">
        <is>
          <t>Consulta Sobre Soluções em Nuvem e Serviços de Desenvolvimento de Software</t>
        </is>
      </c>
      <c r="C217" t="inlineStr">
        <is>
          <t>Solicitação de Serviço</t>
        </is>
      </c>
      <c r="D217" t="inlineStr">
        <is>
          <t>Gerenciamento de Nível de Serviço</t>
        </is>
      </c>
      <c r="K217" t="inlineStr">
        <is>
          <t>Gerenciamento de Catálogo de Serviço</t>
        </is>
      </c>
      <c r="L217" t="inlineStr">
        <is>
          <t>Gerenciamento de Relacionamento</t>
        </is>
      </c>
      <c r="M217" t="inlineStr">
        <is>
          <t>Divergente</t>
        </is>
      </c>
    </row>
    <row r="218">
      <c r="A218" t="inlineStr">
        <is>
          <t>1880</t>
        </is>
      </c>
      <c r="B218" t="inlineStr">
        <is>
          <t>Problema de Flicker na Tela</t>
        </is>
      </c>
      <c r="C218" t="inlineStr">
        <is>
          <t>Gerenciamento de Incidentes</t>
        </is>
      </c>
      <c r="D218" t="inlineStr">
        <is>
          <t>Gerenciamento de Ativos de TI</t>
        </is>
      </c>
      <c r="K218" t="inlineStr">
        <is>
          <t>Gerenciamento de Problemas</t>
        </is>
      </c>
      <c r="L218" t="inlineStr">
        <is>
          <t>Gerenciamento de Fornecedor</t>
        </is>
      </c>
      <c r="M218" t="inlineStr">
        <is>
          <t>Divergente</t>
        </is>
      </c>
    </row>
    <row r="219">
      <c r="A219" t="inlineStr">
        <is>
          <t>1891</t>
        </is>
      </c>
      <c r="B219" t="inlineStr">
        <is>
          <t>Problemas de Sensibilidade da Tela Sensível ao Toque no Surface Pro 7</t>
        </is>
      </c>
      <c r="C219" t="inlineStr">
        <is>
          <t>Gerenciamento de Incidentes</t>
        </is>
      </c>
      <c r="D219" t="inlineStr">
        <is>
          <t>Gerenciamento de Problemas</t>
        </is>
      </c>
      <c r="K219" t="inlineStr">
        <is>
          <t>Gerenciamento de Problemas</t>
        </is>
      </c>
      <c r="L219" t="inlineStr">
        <is>
          <t>Validação e Teste de Serviço</t>
        </is>
      </c>
      <c r="M219" t="inlineStr">
        <is>
          <t>Divergente</t>
        </is>
      </c>
    </row>
    <row r="220">
      <c r="A220" t="inlineStr">
        <is>
          <t>1898</t>
        </is>
      </c>
      <c r="B220" t="inlineStr">
        <is>
          <t>Problema Urgente: Acesso ao Email no Office 365</t>
        </is>
      </c>
      <c r="C220" t="inlineStr">
        <is>
          <t>Gerenciamento de Incidentes</t>
        </is>
      </c>
      <c r="D220" t="inlineStr">
        <is>
          <t>Gerenciamento de Acesso</t>
        </is>
      </c>
      <c r="K220" t="inlineStr">
        <is>
          <t>Gerenciamento de Disponibilidade</t>
        </is>
      </c>
      <c r="L220" t="inlineStr">
        <is>
          <t>Gerenciamento de Incidentes</t>
        </is>
      </c>
      <c r="M220" t="inlineStr">
        <is>
          <t>Divergente</t>
        </is>
      </c>
    </row>
    <row r="221">
      <c r="A221" t="inlineStr">
        <is>
          <t>1919</t>
        </is>
      </c>
      <c r="B221" t="inlineStr">
        <is>
          <t>Desconexões frequentes do Zoom 5.11.0 afetam a comunicação do webinar</t>
        </is>
      </c>
      <c r="C221" t="inlineStr">
        <is>
          <t>Gerenciamento de Incidentes</t>
        </is>
      </c>
      <c r="D221" t="inlineStr">
        <is>
          <t>Gerenciamento de Problemas</t>
        </is>
      </c>
      <c r="K221" t="inlineStr">
        <is>
          <t>Gerenciamento de Problemas</t>
        </is>
      </c>
      <c r="L221" t="inlineStr">
        <is>
          <t>Desenvolvimento e Gerenciamento de Software</t>
        </is>
      </c>
      <c r="M221" t="inlineStr">
        <is>
          <t>Divergente</t>
        </is>
      </c>
    </row>
    <row r="222">
      <c r="A222" t="inlineStr">
        <is>
          <t>1924</t>
        </is>
      </c>
      <c r="B222" t="inlineStr">
        <is>
          <t>MacBook Air M1 enfrentando problemas de superaquecimento durante uso prolongado</t>
        </is>
      </c>
      <c r="C222" t="inlineStr">
        <is>
          <t>Gerenciamento de Incidentes</t>
        </is>
      </c>
      <c r="D222" t="inlineStr">
        <is>
          <t>Gerenciamento de Ativos de TI</t>
        </is>
      </c>
      <c r="K222" t="inlineStr">
        <is>
          <t>Gerenciamento de Capacidade e Desempenho</t>
        </is>
      </c>
      <c r="L222" t="inlineStr">
        <is>
          <t>Gerenciamento de Problemas</t>
        </is>
      </c>
      <c r="M222" t="inlineStr">
        <is>
          <t>Divergente</t>
        </is>
      </c>
    </row>
    <row r="223">
      <c r="A223" t="inlineStr">
        <is>
          <t>1926</t>
        </is>
      </c>
      <c r="B223" t="inlineStr">
        <is>
          <t>Urgente: Problemas de Conectividade com o Roteador Cisco ISR4331</t>
        </is>
      </c>
      <c r="C223" t="inlineStr">
        <is>
          <t>Gerenciamento de Incidentes</t>
        </is>
      </c>
      <c r="D223" t="inlineStr">
        <is>
          <t>Gerenciamento de Problemas</t>
        </is>
      </c>
      <c r="K223" t="inlineStr">
        <is>
          <t>Gerenciamento de Problemas</t>
        </is>
      </c>
      <c r="L223" t="inlineStr">
        <is>
          <t>Gerenciamento de Configuração de Serviço</t>
        </is>
      </c>
      <c r="M223" t="inlineStr">
        <is>
          <t>Divergente</t>
        </is>
      </c>
    </row>
    <row r="224">
      <c r="A224" t="inlineStr">
        <is>
          <t>1930</t>
        </is>
      </c>
      <c r="B224" t="inlineStr">
        <is>
          <t>Frequentes atolamentos de papel com a impressora</t>
        </is>
      </c>
      <c r="C224" t="inlineStr">
        <is>
          <t>Gerenciamento de Incidentes</t>
        </is>
      </c>
      <c r="D224" t="inlineStr">
        <is>
          <t>Gerenciamento de Problemas</t>
        </is>
      </c>
      <c r="K224" t="inlineStr">
        <is>
          <t>Gerenciamento de Fornecedor</t>
        </is>
      </c>
      <c r="L224" t="inlineStr">
        <is>
          <t>Gerenciamento de Problemas</t>
        </is>
      </c>
      <c r="M224" t="inlineStr">
        <is>
          <t>Parcial</t>
        </is>
      </c>
    </row>
    <row r="225">
      <c r="A225" t="inlineStr">
        <is>
          <t>1937</t>
        </is>
      </c>
      <c r="B225" t="inlineStr">
        <is>
          <t>Assistência Necessária para Problema com Debugging de Extensões</t>
        </is>
      </c>
      <c r="C225" t="inlineStr">
        <is>
          <t>Gerenciamento de Incidentes</t>
        </is>
      </c>
      <c r="D225" t="inlineStr">
        <is>
          <t>Gerenciamento de Problemas</t>
        </is>
      </c>
      <c r="K225" t="inlineStr">
        <is>
          <t>Gerenciamento de Conhecimento</t>
        </is>
      </c>
      <c r="L225" t="inlineStr">
        <is>
          <t>Desenvolvimento e Gerenciamento de Software</t>
        </is>
      </c>
      <c r="M225" t="inlineStr">
        <is>
          <t>Divergente</t>
        </is>
      </c>
    </row>
    <row r="226">
      <c r="A226" t="inlineStr">
        <is>
          <t>1941</t>
        </is>
      </c>
      <c r="B226" t="inlineStr">
        <is>
          <t>Assistência necessária com a configuração sem fio para a Canon PIXMA MG3620</t>
        </is>
      </c>
      <c r="C226" t="inlineStr">
        <is>
          <t>Solicitação de Serviço</t>
        </is>
      </c>
      <c r="D226" t="inlineStr">
        <is>
          <t>Gerenciamento de Incidentes</t>
        </is>
      </c>
      <c r="K226" t="inlineStr">
        <is>
          <t>Gerenciamento de Catálogo de Serviço</t>
        </is>
      </c>
      <c r="L226" t="inlineStr">
        <is>
          <t>Central de Serviço</t>
        </is>
      </c>
      <c r="M226" t="inlineStr">
        <is>
          <t>Divergente</t>
        </is>
      </c>
    </row>
    <row r="227">
      <c r="A227" t="inlineStr">
        <is>
          <t>1948</t>
        </is>
      </c>
      <c r="B227" t="inlineStr">
        <is>
          <t>Alta Prioridade: Queda do Sistema ao Acessar Painéis Scrum</t>
        </is>
      </c>
      <c r="C227" t="inlineStr">
        <is>
          <t>Gerenciamento de Incidentes</t>
        </is>
      </c>
      <c r="D227" t="inlineStr">
        <is>
          <t>Gerenciamento de Disponibilidade</t>
        </is>
      </c>
      <c r="K227" t="inlineStr">
        <is>
          <t>Gerenciamento de Problemas</t>
        </is>
      </c>
      <c r="L227" t="inlineStr">
        <is>
          <t>Validação e Teste de Serviço</t>
        </is>
      </c>
      <c r="M227" t="inlineStr">
        <is>
          <t>Divergente</t>
        </is>
      </c>
    </row>
    <row r="228">
      <c r="A228" t="inlineStr">
        <is>
          <t>1960</t>
        </is>
      </c>
      <c r="B228" t="inlineStr">
        <is>
          <t>Problema de Piscar da Tela com Dell XPS 13 9310</t>
        </is>
      </c>
      <c r="C228" t="inlineStr">
        <is>
          <t>Gerenciamento de Incidentes</t>
        </is>
      </c>
      <c r="D228" t="inlineStr">
        <is>
          <t>Gerenciamento de Problemas</t>
        </is>
      </c>
      <c r="K228" t="inlineStr">
        <is>
          <t>Gerenciamento de Problemas</t>
        </is>
      </c>
      <c r="L228" t="inlineStr">
        <is>
          <t>Gerenciamento de Fornecedor</t>
        </is>
      </c>
      <c r="M228" t="inlineStr">
        <is>
          <t>Divergente</t>
        </is>
      </c>
    </row>
    <row r="229">
      <c r="A229" t="inlineStr">
        <is>
          <t>1961</t>
        </is>
      </c>
      <c r="B229" t="inlineStr">
        <is>
          <t>Assistência Necessária para Upgrade do Teclado do Surface Pro 7</t>
        </is>
      </c>
      <c r="C229" t="inlineStr">
        <is>
          <t>Solicitação de Serviço</t>
        </is>
      </c>
      <c r="D229" t="inlineStr">
        <is>
          <t>Gerenciamento de Mudanças</t>
        </is>
      </c>
      <c r="K229" t="inlineStr">
        <is>
          <t>Habilitação de Mudança</t>
        </is>
      </c>
      <c r="L229" t="inlineStr">
        <is>
          <t>Gerenciamento de Configuração de Serviço</t>
        </is>
      </c>
      <c r="M229" t="inlineStr">
        <is>
          <t>Divergente</t>
        </is>
      </c>
    </row>
    <row r="230">
      <c r="A230" t="inlineStr">
        <is>
          <t>1969</t>
        </is>
      </c>
      <c r="B230" t="inlineStr">
        <is>
          <t>Inquérito sobre Discrepância de Faturamento na AWS</t>
        </is>
      </c>
      <c r="C230" t="inlineStr">
        <is>
          <t>Gerenciamento Financeiro</t>
        </is>
      </c>
      <c r="D230" t="inlineStr">
        <is>
          <t>Gerenciamento de Incidentes</t>
        </is>
      </c>
      <c r="K230" t="inlineStr">
        <is>
          <t>Gerenciamento Financeiro de Serviços</t>
        </is>
      </c>
      <c r="L230" t="inlineStr">
        <is>
          <t>Gerenciamento de Capacidade e Desempenho</t>
        </is>
      </c>
      <c r="M230" t="inlineStr">
        <is>
          <t>Divergente</t>
        </is>
      </c>
    </row>
    <row r="231">
      <c r="A231" t="inlineStr">
        <is>
          <t>1985</t>
        </is>
      </c>
      <c r="B231" t="inlineStr">
        <is>
          <t>Assistência Urgente Necessária para o Roteador Cisco ISR4331</t>
        </is>
      </c>
      <c r="C231" t="inlineStr">
        <is>
          <t>Gerenciamento de Incidentes</t>
        </is>
      </c>
      <c r="D231" t="inlineStr">
        <is>
          <t>Gerenciamento de Ativos de TI</t>
        </is>
      </c>
      <c r="K231" t="inlineStr">
        <is>
          <t>Gerenciamento de Disponibilidade</t>
        </is>
      </c>
      <c r="L231" t="inlineStr">
        <is>
          <t>Gerenciamento de Problemas</t>
        </is>
      </c>
      <c r="M231" t="inlineStr">
        <is>
          <t>Divergente</t>
        </is>
      </c>
    </row>
    <row r="232">
      <c r="A232" t="inlineStr">
        <is>
          <t>2018</t>
        </is>
      </c>
      <c r="B232" t="inlineStr">
        <is>
          <t>Problema de Implantação na Nuvem AWS de Alta Prioridade</t>
        </is>
      </c>
      <c r="C232" t="inlineStr">
        <is>
          <t>Gerenciamento de Incidentes</t>
        </is>
      </c>
      <c r="D232" t="inlineStr">
        <is>
          <t>Gerenciamento de Mudanças</t>
        </is>
      </c>
      <c r="K232" t="inlineStr">
        <is>
          <t>Gerenciamento de Infraestrutura e Plataforma</t>
        </is>
      </c>
      <c r="L232" t="inlineStr">
        <is>
          <t>Habilitação de Mudança</t>
        </is>
      </c>
      <c r="M232" t="inlineStr">
        <is>
          <t>Divergente</t>
        </is>
      </c>
    </row>
    <row r="233">
      <c r="A233" t="inlineStr">
        <is>
          <t>2023</t>
        </is>
      </c>
      <c r="B233" t="inlineStr">
        <is>
          <t>Problema com a Impressão da HP DeskJet 3755</t>
        </is>
      </c>
      <c r="C233" t="inlineStr">
        <is>
          <t>Gerenciamento de Incidentes</t>
        </is>
      </c>
      <c r="D233" t="inlineStr">
        <is>
          <t>Gerenciamento de Problemas</t>
        </is>
      </c>
      <c r="K233" t="inlineStr">
        <is>
          <t>Gerenciamento de Problemas</t>
        </is>
      </c>
      <c r="L233" t="inlineStr">
        <is>
          <t>Gerenciamento de Fornecedor</t>
        </is>
      </c>
      <c r="M233" t="inlineStr">
        <is>
          <t>Divergente</t>
        </is>
      </c>
    </row>
    <row r="234">
      <c r="A234" t="inlineStr">
        <is>
          <t>2032</t>
        </is>
      </c>
      <c r="B234" t="inlineStr">
        <is>
          <t>Esclarecimento sobre a Taxa de Assinatura</t>
        </is>
      </c>
      <c r="C234" t="inlineStr">
        <is>
          <t>Gerenciamento Financeiro</t>
        </is>
      </c>
      <c r="D234" t="inlineStr">
        <is>
          <t>Gerenciamento de Nível de Serviço</t>
        </is>
      </c>
      <c r="K234" t="inlineStr">
        <is>
          <t>Gerenciamento de Relacionamento</t>
        </is>
      </c>
      <c r="L234" t="inlineStr">
        <is>
          <t>Gerenciamento Financeiro de Serviços</t>
        </is>
      </c>
      <c r="M234" t="inlineStr">
        <is>
          <t>Divergente</t>
        </is>
      </c>
    </row>
    <row r="235">
      <c r="A235" t="inlineStr">
        <is>
          <t>2054</t>
        </is>
      </c>
      <c r="B235" t="inlineStr">
        <is>
          <t>Problemas de Conectividade Durante Chamadas de Vídeo no Zoom</t>
        </is>
      </c>
      <c r="C235" t="inlineStr">
        <is>
          <t>Gerenciamento de Incidentes</t>
        </is>
      </c>
      <c r="D235" t="inlineStr">
        <is>
          <t>Gerenciamento de Problemas</t>
        </is>
      </c>
      <c r="K235" t="inlineStr">
        <is>
          <t>Gerenciamento de Infraestrutura e Plataforma</t>
        </is>
      </c>
      <c r="L235" t="inlineStr">
        <is>
          <t>Gerenciamento de Problemas</t>
        </is>
      </c>
      <c r="M235" t="inlineStr">
        <is>
          <t>Parcial</t>
        </is>
      </c>
    </row>
    <row r="236">
      <c r="A236" t="inlineStr">
        <is>
          <t>2061</t>
        </is>
      </c>
      <c r="B236" t="inlineStr">
        <is>
          <t>Solicitação de Atualização do Zoom</t>
        </is>
      </c>
      <c r="C236" t="inlineStr">
        <is>
          <t>Solicitação de Serviço</t>
        </is>
      </c>
      <c r="D236" t="inlineStr">
        <is>
          <t>Gerenciamento de Segurança</t>
        </is>
      </c>
      <c r="K236" t="inlineStr">
        <is>
          <t>Habilitação de Mudança</t>
        </is>
      </c>
      <c r="L236" t="inlineStr">
        <is>
          <t>Gerenciamento de Segurança da Informação</t>
        </is>
      </c>
      <c r="M236" t="inlineStr">
        <is>
          <t>Divergente</t>
        </is>
      </c>
    </row>
    <row r="237">
      <c r="A237" t="inlineStr">
        <is>
          <t>2080</t>
        </is>
      </c>
      <c r="B237" t="inlineStr">
        <is>
          <t>Pedido de Troca: Dell XPS 13 9310</t>
        </is>
      </c>
      <c r="C237" t="inlineStr">
        <is>
          <t>Solicitação de Serviço</t>
        </is>
      </c>
      <c r="D237" t="inlineStr">
        <is>
          <t>Gerenciamento de Ativos de TI</t>
        </is>
      </c>
      <c r="K237" t="inlineStr">
        <is>
          <t>Validação e Teste de Serviço</t>
        </is>
      </c>
      <c r="L237" t="inlineStr">
        <is>
          <t>Gerenciamento de Fornecedor</t>
        </is>
      </c>
      <c r="M237" t="inlineStr">
        <is>
          <t>Divergente</t>
        </is>
      </c>
    </row>
    <row r="238">
      <c r="A238" t="inlineStr">
        <is>
          <t>2115</t>
        </is>
      </c>
      <c r="B238" t="inlineStr">
        <is>
          <t>Problema com notificações do Jira</t>
        </is>
      </c>
      <c r="C238" t="inlineStr">
        <is>
          <t>Gerenciamento de Incidentes</t>
        </is>
      </c>
      <c r="D238" t="inlineStr">
        <is>
          <t>Gerenciamento de Problemas</t>
        </is>
      </c>
      <c r="K238" t="inlineStr">
        <is>
          <t>Gerenciamento de Configuração de Serviço</t>
        </is>
      </c>
      <c r="L238" t="inlineStr">
        <is>
          <t>Gerenciamento de Problemas</t>
        </is>
      </c>
      <c r="M238" t="inlineStr">
        <is>
          <t>Parcial</t>
        </is>
      </c>
    </row>
    <row r="239">
      <c r="A239" t="inlineStr">
        <is>
          <t>2125</t>
        </is>
      </c>
      <c r="B239" t="inlineStr">
        <is>
          <t>Precisamos de Assistência para Resposta Lenta a Consultas no MySQL 8.0.30</t>
        </is>
      </c>
      <c r="C239" t="inlineStr">
        <is>
          <t>Gerenciamento de Incidentes</t>
        </is>
      </c>
      <c r="D239" t="inlineStr">
        <is>
          <t>Gerenciamento de Capacidade</t>
        </is>
      </c>
      <c r="K239" t="inlineStr">
        <is>
          <t>Gerenciamento de Capacidade e Desempenho</t>
        </is>
      </c>
      <c r="L239" t="inlineStr">
        <is>
          <t>Gerenciamento de Problemas</t>
        </is>
      </c>
      <c r="M239" t="inlineStr">
        <is>
          <t>Divergente</t>
        </is>
      </c>
    </row>
    <row r="240">
      <c r="A240" t="inlineStr">
        <is>
          <t>2143</t>
        </is>
      </c>
      <c r="B240" t="inlineStr">
        <is>
          <t>Urgente: Problema de Downtime da AWS</t>
        </is>
      </c>
      <c r="C240" t="inlineStr">
        <is>
          <t>Gerenciamento de Incidentes</t>
        </is>
      </c>
      <c r="D240" t="inlineStr">
        <is>
          <t>Gerenciamento de Disponibilidade</t>
        </is>
      </c>
      <c r="K240" t="inlineStr">
        <is>
          <t>Gerenciamento de Continuidade de Serviço</t>
        </is>
      </c>
      <c r="L240" t="inlineStr">
        <is>
          <t>Gerenciamento de Disponibilidade</t>
        </is>
      </c>
      <c r="M240" t="inlineStr">
        <is>
          <t>Parcial</t>
        </is>
      </c>
    </row>
    <row r="241">
      <c r="A241" t="inlineStr">
        <is>
          <t>2149</t>
        </is>
      </c>
      <c r="B241" t="inlineStr">
        <is>
          <t>Problema de Cobrança Duplicada na Compra</t>
        </is>
      </c>
      <c r="C241" t="inlineStr">
        <is>
          <t>Gerenciamento Financeiro</t>
        </is>
      </c>
      <c r="D241" t="inlineStr">
        <is>
          <t>Gerenciamento de Incidentes</t>
        </is>
      </c>
      <c r="K241" t="inlineStr">
        <is>
          <t>Gerenciamento Financeiro de Serviços</t>
        </is>
      </c>
      <c r="L241" t="inlineStr">
        <is>
          <t>Validação e Teste de Serviço</t>
        </is>
      </c>
      <c r="M241" t="inlineStr">
        <is>
          <t>Divergente</t>
        </is>
      </c>
    </row>
    <row r="242">
      <c r="A242" t="inlineStr">
        <is>
          <t>2175</t>
        </is>
      </c>
      <c r="B242" t="inlineStr">
        <is>
          <t>Solicitação de Serviço de Consultoria em TI</t>
        </is>
      </c>
      <c r="C242" t="inlineStr">
        <is>
          <t>Solicitação de Serviço</t>
        </is>
      </c>
      <c r="D242" t="inlineStr">
        <is>
          <t>Gerenciamento de Nível de Serviço</t>
        </is>
      </c>
      <c r="K242" t="inlineStr">
        <is>
          <t>Gerenciamento de Requisição de Serviço</t>
        </is>
      </c>
      <c r="L242" t="inlineStr">
        <is>
          <t>Gerenciamento de Relacionamento</t>
        </is>
      </c>
      <c r="M242" t="inlineStr">
        <is>
          <t>Divergente</t>
        </is>
      </c>
    </row>
    <row r="243">
      <c r="A243" t="inlineStr">
        <is>
          <t>2184</t>
        </is>
      </c>
      <c r="B243" t="inlineStr">
        <is>
          <t>Solicitação de Atualização da Integração de Faturamento e Otimização do Fluxo de Trabalho</t>
        </is>
      </c>
      <c r="C243" t="inlineStr">
        <is>
          <t>Solicitação de Serviço</t>
        </is>
      </c>
      <c r="D243" t="inlineStr">
        <is>
          <t>Gerenciamento Financeiro</t>
        </is>
      </c>
      <c r="K243" t="inlineStr">
        <is>
          <t>Gerenciamento de Requisição de Serviço</t>
        </is>
      </c>
      <c r="L243" t="inlineStr">
        <is>
          <t>Habilitação de Mudança</t>
        </is>
      </c>
      <c r="M243" t="inlineStr">
        <is>
          <t>Divergente</t>
        </is>
      </c>
    </row>
    <row r="244">
      <c r="A244" t="inlineStr">
        <is>
          <t>2189</t>
        </is>
      </c>
      <c r="B244" t="inlineStr">
        <is>
          <t>Falhas de Implantação e Solicitação de Otimização de Custos</t>
        </is>
      </c>
      <c r="C244" t="inlineStr">
        <is>
          <t>Gerenciamento de Incidentes</t>
        </is>
      </c>
      <c r="D244" t="inlineStr">
        <is>
          <t>Gerenciamento Financeiro</t>
        </is>
      </c>
      <c r="K244" t="inlineStr">
        <is>
          <t>Gerenciamento de Incidentes</t>
        </is>
      </c>
      <c r="L244" t="inlineStr">
        <is>
          <t>Gerenciamento Financeiro de Serviços</t>
        </is>
      </c>
      <c r="M244" t="inlineStr">
        <is>
          <t>Parcial</t>
        </is>
      </c>
    </row>
    <row r="245">
      <c r="A245" t="inlineStr">
        <is>
          <t>2195</t>
        </is>
      </c>
      <c r="B245" t="inlineStr">
        <is>
          <t>Solicitação de Orientação: Otimização de Configurações de Servidor</t>
        </is>
      </c>
      <c r="C245" t="inlineStr">
        <is>
          <t>Solicitação de Serviço</t>
        </is>
      </c>
      <c r="D245" t="inlineStr">
        <is>
          <t>Gerenciamento de Capacidade</t>
        </is>
      </c>
      <c r="K245" t="inlineStr">
        <is>
          <t>Gerenciamento de Requisição de Serviço</t>
        </is>
      </c>
      <c r="L245" t="inlineStr">
        <is>
          <t>Gerenciamento de Capacidade e Desempenho</t>
        </is>
      </c>
      <c r="M245" t="inlineStr">
        <is>
          <t>Divergente</t>
        </is>
      </c>
    </row>
    <row r="246">
      <c r="A246" t="inlineStr">
        <is>
          <t>2204</t>
        </is>
      </c>
      <c r="B246" t="inlineStr">
        <is>
          <t>Assistência Necessária para Soluções de TI</t>
        </is>
      </c>
      <c r="C246" t="inlineStr">
        <is>
          <t>Solicitação de Serviço</t>
        </is>
      </c>
      <c r="D246" t="inlineStr">
        <is>
          <t>Gerenciamento de Nível de Serviço</t>
        </is>
      </c>
      <c r="K246" t="inlineStr">
        <is>
          <t>Gerenciamento de Requisição de Serviço</t>
        </is>
      </c>
      <c r="L246" t="inlineStr">
        <is>
          <t>Desenvolvimento e Gerenciamento de Software</t>
        </is>
      </c>
      <c r="M246" t="inlineStr">
        <is>
          <t>Divergente</t>
        </is>
      </c>
    </row>
    <row r="247">
      <c r="A247" t="inlineStr">
        <is>
          <t>2207</t>
        </is>
      </c>
      <c r="B247" t="inlineStr">
        <is>
          <t>Problema de Cobrança: Renovação da Assinatura do Adobe Photoshop</t>
        </is>
      </c>
      <c r="C247" t="inlineStr">
        <is>
          <t>Gerenciamento Financeiro</t>
        </is>
      </c>
      <c r="D247" t="inlineStr">
        <is>
          <t>Gerenciamento de Incidentes</t>
        </is>
      </c>
      <c r="K247" t="inlineStr">
        <is>
          <t>Gerenciamento Financeiro de Serviços</t>
        </is>
      </c>
      <c r="L247" t="inlineStr">
        <is>
          <t>Gerenciamento de Incidentes</t>
        </is>
      </c>
      <c r="M247" t="inlineStr">
        <is>
          <t>Parcial</t>
        </is>
      </c>
    </row>
    <row r="248">
      <c r="A248" t="inlineStr">
        <is>
          <t>2209</t>
        </is>
      </c>
      <c r="B248" t="inlineStr">
        <is>
          <t>Urgente: Impacto crítico na conectividade da rede corporativa</t>
        </is>
      </c>
      <c r="C248" t="inlineStr">
        <is>
          <t>Gerenciamento de Incidentes</t>
        </is>
      </c>
      <c r="D248" t="inlineStr">
        <is>
          <t>Gerenciamento de Disponibilidade</t>
        </is>
      </c>
      <c r="K248" t="inlineStr">
        <is>
          <t>Gerenciamento de Incidentes</t>
        </is>
      </c>
      <c r="L248" t="inlineStr">
        <is>
          <t>Gerenciamento de Disponibilidade</t>
        </is>
      </c>
      <c r="M248" t="inlineStr">
        <is>
          <t>Convergente</t>
        </is>
      </c>
    </row>
    <row r="249">
      <c r="A249" t="inlineStr">
        <is>
          <t>2213</t>
        </is>
      </c>
      <c r="B249" t="inlineStr">
        <is>
          <t>Assistência com Erro de Faturamento</t>
        </is>
      </c>
      <c r="C249" t="inlineStr">
        <is>
          <t>Gerenciamento Financeiro</t>
        </is>
      </c>
      <c r="D249" t="inlineStr">
        <is>
          <t>Gerenciamento de Incidentes</t>
        </is>
      </c>
      <c r="K249" t="inlineStr">
        <is>
          <t>Gerenciamento Financeiro de Serviços</t>
        </is>
      </c>
      <c r="L249" t="inlineStr">
        <is>
          <t>Gerenciamento de Requisição de Serviço</t>
        </is>
      </c>
      <c r="M249" t="inlineStr">
        <is>
          <t>Divergente</t>
        </is>
      </c>
    </row>
    <row r="250">
      <c r="A250" t="inlineStr">
        <is>
          <t>2228</t>
        </is>
      </c>
      <c r="B250" t="inlineStr">
        <is>
          <t>Solicitação de Suporte Urgente: Problema com Dell XPS 13 9310</t>
        </is>
      </c>
      <c r="C250" t="inlineStr">
        <is>
          <t>Gerenciamento de Incidentes</t>
        </is>
      </c>
      <c r="D250" t="inlineStr">
        <is>
          <t>Gerenciamento de Problemas</t>
        </is>
      </c>
      <c r="K250" t="inlineStr">
        <is>
          <t>Gerenciamento de Incidentes</t>
        </is>
      </c>
      <c r="L250" t="inlineStr">
        <is>
          <t>Habilitação de Mudança</t>
        </is>
      </c>
      <c r="M250" t="inlineStr">
        <is>
          <t>Parcial</t>
        </is>
      </c>
    </row>
    <row r="251">
      <c r="A251" t="inlineStr">
        <is>
          <t>2235</t>
        </is>
      </c>
      <c r="B251" t="inlineStr">
        <is>
          <t>Solicitação de Upgrade para Office 365 Business</t>
        </is>
      </c>
      <c r="C251" t="inlineStr">
        <is>
          <t>Solicitação de Serviço</t>
        </is>
      </c>
      <c r="D251" t="inlineStr">
        <is>
          <t>Gerenciamento Financeiro</t>
        </is>
      </c>
      <c r="K251" t="inlineStr">
        <is>
          <t>Gerenciamento de Requisição de Serviço</t>
        </is>
      </c>
      <c r="L251" t="inlineStr">
        <is>
          <t>Gerenciamento Financeiro de Serviços</t>
        </is>
      </c>
      <c r="M251" t="inlineStr">
        <is>
          <t>Divergente</t>
        </is>
      </c>
    </row>
    <row r="252">
      <c r="A252" t="inlineStr">
        <is>
          <t>2291</t>
        </is>
      </c>
      <c r="B252" t="inlineStr">
        <is>
          <t>Solicitação Urgente de Solução de Problemas para o Roteador Cisco ISR4331</t>
        </is>
      </c>
      <c r="C252" t="inlineStr">
        <is>
          <t>Gerenciamento de Incidentes</t>
        </is>
      </c>
      <c r="D252" t="inlineStr">
        <is>
          <t>Gerenciamento de Disponibilidade</t>
        </is>
      </c>
      <c r="K252" t="inlineStr">
        <is>
          <t>Gerenciamento de Incidentes</t>
        </is>
      </c>
      <c r="L252" t="inlineStr">
        <is>
          <t>Gerenciamento de Problemas</t>
        </is>
      </c>
      <c r="M252" t="inlineStr">
        <is>
          <t>Parcial</t>
        </is>
      </c>
    </row>
    <row r="253">
      <c r="A253" t="inlineStr">
        <is>
          <t>2293</t>
        </is>
      </c>
      <c r="B253" t="inlineStr">
        <is>
          <t>Consultoria de TI urgente necessária para problemas de servidor</t>
        </is>
      </c>
      <c r="C253" t="inlineStr">
        <is>
          <t>Solicitação de Serviço</t>
        </is>
      </c>
      <c r="D253" t="inlineStr">
        <is>
          <t>Gerenciamento de Problemas</t>
        </is>
      </c>
      <c r="K253" t="inlineStr">
        <is>
          <t>Gerenciamento de Requisição de Serviço</t>
        </is>
      </c>
      <c r="L253" t="inlineStr">
        <is>
          <t>Melhoria Contínua</t>
        </is>
      </c>
      <c r="M253" t="inlineStr">
        <is>
          <t>Divergente</t>
        </is>
      </c>
    </row>
    <row r="254">
      <c r="A254" t="inlineStr">
        <is>
          <t>2295</t>
        </is>
      </c>
      <c r="B254" t="inlineStr">
        <is>
          <t>Problemas intermitentes de conectividade com o roteador Cisco ISR4331</t>
        </is>
      </c>
      <c r="C254" t="inlineStr">
        <is>
          <t>Gerenciamento de Incidentes</t>
        </is>
      </c>
      <c r="D254" t="inlineStr">
        <is>
          <t>Gerenciamento de Problemas</t>
        </is>
      </c>
      <c r="K254" t="inlineStr">
        <is>
          <t>Gerenciamento de Problemas</t>
        </is>
      </c>
      <c r="L254" t="inlineStr">
        <is>
          <t>Gerenciamento de Incidentes</t>
        </is>
      </c>
      <c r="M254" t="inlineStr">
        <is>
          <t>Divergente</t>
        </is>
      </c>
    </row>
    <row r="255">
      <c r="A255" t="inlineStr">
        <is>
          <t>2296</t>
        </is>
      </c>
      <c r="B255" t="inlineStr">
        <is>
          <t>Incidente de Baixa Prioridade: Problemas de Conexão do Roteador Cisco ISR4331</t>
        </is>
      </c>
      <c r="C255" t="inlineStr">
        <is>
          <t>Gerenciamento de Incidentes</t>
        </is>
      </c>
      <c r="D255" t="inlineStr">
        <is>
          <t>Gerenciamento de Problemas</t>
        </is>
      </c>
      <c r="K255" t="inlineStr">
        <is>
          <t>Gerenciamento de Problemas</t>
        </is>
      </c>
      <c r="L255" t="inlineStr">
        <is>
          <t>Central de Serviço</t>
        </is>
      </c>
      <c r="M255" t="inlineStr">
        <is>
          <t>Divergente</t>
        </is>
      </c>
    </row>
    <row r="256">
      <c r="A256" t="inlineStr">
        <is>
          <t>2307</t>
        </is>
      </c>
      <c r="B256" t="inlineStr">
        <is>
          <t>Pedido para Abordar Discrepâncias na Declaração de Cobrança</t>
        </is>
      </c>
      <c r="C256" t="inlineStr">
        <is>
          <t>Gerenciamento Financeiro</t>
        </is>
      </c>
      <c r="D256" t="inlineStr">
        <is>
          <t>Gerenciamento de Incidentes</t>
        </is>
      </c>
      <c r="K256" t="inlineStr">
        <is>
          <t>Gerenciamento Financeiro de Serviços</t>
        </is>
      </c>
      <c r="L256" t="inlineStr">
        <is>
          <t>Gerenciamento de Requisição de Serviço</t>
        </is>
      </c>
      <c r="M256" t="inlineStr">
        <is>
          <t>Divergente</t>
        </is>
      </c>
    </row>
    <row r="257">
      <c r="A257" t="inlineStr">
        <is>
          <t>2308</t>
        </is>
      </c>
      <c r="B257" t="inlineStr">
        <is>
          <t>Urgente: Interrupção de Rede</t>
        </is>
      </c>
      <c r="C257" t="inlineStr">
        <is>
          <t>Gerenciamento de Incidentes</t>
        </is>
      </c>
      <c r="D257" t="inlineStr">
        <is>
          <t>Gerenciamento de Disponibilidade</t>
        </is>
      </c>
      <c r="K257" t="inlineStr">
        <is>
          <t>Gerenciamento de Incidentes</t>
        </is>
      </c>
      <c r="L257" t="inlineStr">
        <is>
          <t>Gerenciamento de Problemas</t>
        </is>
      </c>
      <c r="M257" t="inlineStr">
        <is>
          <t>Parcial</t>
        </is>
      </c>
    </row>
    <row r="258">
      <c r="A258" t="inlineStr">
        <is>
          <t>2319</t>
        </is>
      </c>
      <c r="B258" t="inlineStr">
        <is>
          <t>Interrupção Crítica de Serviço</t>
        </is>
      </c>
      <c r="C258" t="inlineStr">
        <is>
          <t>Gerenciamento de Incidentes</t>
        </is>
      </c>
      <c r="D258" t="inlineStr">
        <is>
          <t>Gerenciamento de Disponibilidade</t>
        </is>
      </c>
      <c r="K258" t="inlineStr">
        <is>
          <t>Gerenciamento de Incidentes</t>
        </is>
      </c>
      <c r="L258" t="inlineStr">
        <is>
          <t>Gerenciamento de Continuidade de Serviço</t>
        </is>
      </c>
      <c r="M258" t="inlineStr">
        <is>
          <t>Parcial</t>
        </is>
      </c>
    </row>
    <row r="259">
      <c r="A259" t="inlineStr">
        <is>
          <t>2338</t>
        </is>
      </c>
      <c r="B259" t="inlineStr">
        <is>
          <t>Solicitação de Assistência para Alteração de Configuração da AWS</t>
        </is>
      </c>
      <c r="C259" t="inlineStr">
        <is>
          <t>Solicitação de Serviço</t>
        </is>
      </c>
      <c r="D259" t="inlineStr">
        <is>
          <t>Gerenciamento Financeiro</t>
        </is>
      </c>
      <c r="K259" t="inlineStr">
        <is>
          <t>Habilitação de Mudança</t>
        </is>
      </c>
      <c r="L259" t="inlineStr">
        <is>
          <t>Gerenciamento Financeiro de Serviços</t>
        </is>
      </c>
      <c r="M259" t="inlineStr">
        <is>
          <t>Divergente</t>
        </is>
      </c>
    </row>
    <row r="260">
      <c r="A260" t="inlineStr">
        <is>
          <t>2339</t>
        </is>
      </c>
      <c r="B260" t="inlineStr">
        <is>
          <t>Urgente: Dificuldade com a Configuração da Impressora HP LaserJet Pro M15w</t>
        </is>
      </c>
      <c r="C260" t="inlineStr">
        <is>
          <t>Solicitação de Serviço</t>
        </is>
      </c>
      <c r="D260" t="inlineStr">
        <is>
          <t>Gerenciamento de Incidentes</t>
        </is>
      </c>
      <c r="K260" t="inlineStr">
        <is>
          <t>Gerenciamento de Requisição de Serviço</t>
        </is>
      </c>
      <c r="L260" t="inlineStr">
        <is>
          <t>Central de Serviço</t>
        </is>
      </c>
      <c r="M260" t="inlineStr">
        <is>
          <t>Divergente</t>
        </is>
      </c>
    </row>
    <row r="261">
      <c r="A261" t="inlineStr">
        <is>
          <t>2346</t>
        </is>
      </c>
      <c r="B261" t="inlineStr">
        <is>
          <t>Solicitação de Troca Devido a Problemas de Conectividade</t>
        </is>
      </c>
      <c r="C261" t="inlineStr">
        <is>
          <t>Solicitação de Serviço</t>
        </is>
      </c>
      <c r="D261" t="inlineStr">
        <is>
          <t>Gerenciamento de Ativos de TI</t>
        </is>
      </c>
      <c r="K261" t="inlineStr">
        <is>
          <t>Gerenciamento de Requisição de Serviço</t>
        </is>
      </c>
      <c r="L261" t="inlineStr">
        <is>
          <t>Gerenciamento de Catálogo de Serviço</t>
        </is>
      </c>
      <c r="M261" t="inlineStr">
        <is>
          <t>Divergente</t>
        </is>
      </c>
    </row>
    <row r="262">
      <c r="A262" t="inlineStr">
        <is>
          <t>2352</t>
        </is>
      </c>
      <c r="B262" t="inlineStr">
        <is>
          <t>Problemas de Desempenho de Rede com o Roteador Cisco ISR4331</t>
        </is>
      </c>
      <c r="C262" t="inlineStr">
        <is>
          <t>Gerenciamento de Incidentes</t>
        </is>
      </c>
      <c r="D262" t="inlineStr">
        <is>
          <t>Gerenciamento de Capacidade</t>
        </is>
      </c>
      <c r="K262" t="inlineStr">
        <is>
          <t>Gerenciamento de Capacidade e Desempenho</t>
        </is>
      </c>
      <c r="L262" t="inlineStr">
        <is>
          <t>Gerenciamento de Problemas</t>
        </is>
      </c>
      <c r="M262" t="inlineStr">
        <is>
          <t>Divergente</t>
        </is>
      </c>
    </row>
    <row r="263">
      <c r="A263" t="inlineStr">
        <is>
          <t>2360</t>
        </is>
      </c>
      <c r="B263" t="inlineStr">
        <is>
          <t>Problemas de Conectividade: Impressora HP DeskJet 3755</t>
        </is>
      </c>
      <c r="C263" t="inlineStr">
        <is>
          <t>Gerenciamento de Incidentes</t>
        </is>
      </c>
      <c r="D263" t="inlineStr">
        <is>
          <t>Gerenciamento de Problemas</t>
        </is>
      </c>
      <c r="K263" t="inlineStr">
        <is>
          <t>Gerenciamento de Problemas</t>
        </is>
      </c>
      <c r="L263" t="inlineStr">
        <is>
          <t>Gerenciamento de Incidentes</t>
        </is>
      </c>
      <c r="M263" t="inlineStr">
        <is>
          <t>Divergente</t>
        </is>
      </c>
    </row>
    <row r="264">
      <c r="A264" t="inlineStr">
        <is>
          <t>2361</t>
        </is>
      </c>
      <c r="B264" t="inlineStr">
        <is>
          <t>Urgente: Problema de Energia do Laptop</t>
        </is>
      </c>
      <c r="C264" t="inlineStr">
        <is>
          <t>Gerenciamento de Incidentes</t>
        </is>
      </c>
      <c r="D264" t="inlineStr">
        <is>
          <t>Gerenciamento de Ativos de TI</t>
        </is>
      </c>
      <c r="K264" t="inlineStr">
        <is>
          <t>Gerenciamento de Incidentes</t>
        </is>
      </c>
      <c r="L264" t="inlineStr">
        <is>
          <t>Gerenciamento de Ativos de TI</t>
        </is>
      </c>
      <c r="M264" t="inlineStr">
        <is>
          <t>Convergente</t>
        </is>
      </c>
    </row>
    <row r="265">
      <c r="A265" t="inlineStr">
        <is>
          <t>2362</t>
        </is>
      </c>
      <c r="B265" t="inlineStr">
        <is>
          <t>Urgente: Necessário solucionar falhas do Google Chrome 102.0</t>
        </is>
      </c>
      <c r="C265" t="inlineStr">
        <is>
          <t>Gerenciamento de Incidentes</t>
        </is>
      </c>
      <c r="D265" t="inlineStr">
        <is>
          <t>Gerenciamento de Problemas</t>
        </is>
      </c>
      <c r="K265" t="inlineStr">
        <is>
          <t>Gerenciamento de Incidentes</t>
        </is>
      </c>
      <c r="L265" t="inlineStr">
        <is>
          <t>Desenvolvimento e Gerenciamento de Software</t>
        </is>
      </c>
      <c r="M265" t="inlineStr">
        <is>
          <t>Parcial</t>
        </is>
      </c>
    </row>
    <row r="266">
      <c r="A266" t="inlineStr">
        <is>
          <t>2368</t>
        </is>
      </c>
      <c r="B266" t="inlineStr">
        <is>
          <t>Urgente: Assistência Imediata Necessária para Falha na Aplicação de Folha de Pagamento</t>
        </is>
      </c>
      <c r="C266" t="inlineStr">
        <is>
          <t>Gerenciamento de Incidentes</t>
        </is>
      </c>
      <c r="D266" t="inlineStr">
        <is>
          <t>Gerenciamento de Disponibilidade</t>
        </is>
      </c>
      <c r="K266" t="inlineStr">
        <is>
          <t>Gerenciamento de Incidentes</t>
        </is>
      </c>
      <c r="L266" t="inlineStr">
        <is>
          <t>Gerenciamento de Continuidade de Serviço</t>
        </is>
      </c>
      <c r="M266" t="inlineStr">
        <is>
          <t>Parcial</t>
        </is>
      </c>
    </row>
    <row r="267">
      <c r="A267" t="inlineStr">
        <is>
          <t>2390</t>
        </is>
      </c>
      <c r="B267" t="inlineStr">
        <is>
          <t>Urgente: Problema de Tempo de Inatividade do Serviço de Gerenciamento AWS</t>
        </is>
      </c>
      <c r="C267" t="inlineStr">
        <is>
          <t>Gerenciamento de Incidentes</t>
        </is>
      </c>
      <c r="D267" t="inlineStr">
        <is>
          <t>Gerenciamento de Disponibilidade</t>
        </is>
      </c>
      <c r="K267" t="inlineStr">
        <is>
          <t>Gerenciamento de Incidentes</t>
        </is>
      </c>
      <c r="L267" t="inlineStr">
        <is>
          <t>Gerenciamento de Disponibilidade</t>
        </is>
      </c>
      <c r="M267" t="inlineStr">
        <is>
          <t>Convergente</t>
        </is>
      </c>
    </row>
    <row r="268">
      <c r="A268" t="inlineStr">
        <is>
          <t>2392</t>
        </is>
      </c>
      <c r="B268" t="inlineStr">
        <is>
          <t>Experienciando Desconexões Frequentes com o Zoom 5.11.0</t>
        </is>
      </c>
      <c r="C268" t="inlineStr">
        <is>
          <t>Gerenciamento de Incidentes</t>
        </is>
      </c>
      <c r="D268" t="inlineStr">
        <is>
          <t>Gerenciamento de Problemas</t>
        </is>
      </c>
      <c r="K268" t="inlineStr">
        <is>
          <t>Gerenciamento de Problemas</t>
        </is>
      </c>
      <c r="L268" t="inlineStr">
        <is>
          <t>Gerenciamento de Capacidade e Desempenho</t>
        </is>
      </c>
      <c r="M268" t="inlineStr">
        <is>
          <t>Divergente</t>
        </is>
      </c>
    </row>
    <row r="269">
      <c r="A269" t="inlineStr">
        <is>
          <t>2407</t>
        </is>
      </c>
      <c r="B269" t="inlineStr">
        <is>
          <t>Problema de Flickering na Tela do Surface Pro 7</t>
        </is>
      </c>
      <c r="C269" t="inlineStr">
        <is>
          <t>Gerenciamento de Incidentes</t>
        </is>
      </c>
      <c r="D269" t="inlineStr">
        <is>
          <t>Gerenciamento de Ativos de TI</t>
        </is>
      </c>
      <c r="K269" t="inlineStr">
        <is>
          <t>Gerenciamento de Problemas</t>
        </is>
      </c>
      <c r="L269" t="inlineStr">
        <is>
          <t>Gerenciamento de Incidentes</t>
        </is>
      </c>
      <c r="M269" t="inlineStr">
        <is>
          <t>Divergente</t>
        </is>
      </c>
    </row>
    <row r="270">
      <c r="A270" t="inlineStr">
        <is>
          <t>2409</t>
        </is>
      </c>
      <c r="B270" t="inlineStr">
        <is>
          <t>Solicitação de Troca do Canon PIXMA MG3620</t>
        </is>
      </c>
      <c r="C270" t="inlineStr">
        <is>
          <t>Solicitação de Serviço</t>
        </is>
      </c>
      <c r="D270" t="inlineStr">
        <is>
          <t>Gerenciamento de Ativos de TI</t>
        </is>
      </c>
      <c r="K270" t="inlineStr">
        <is>
          <t>Gerenciamento de Requisição de Serviço</t>
        </is>
      </c>
      <c r="L270" t="inlineStr">
        <is>
          <t>Central de Serviço</t>
        </is>
      </c>
      <c r="M270" t="inlineStr">
        <is>
          <t>Divergente</t>
        </is>
      </c>
    </row>
    <row r="271">
      <c r="A271" t="inlineStr">
        <is>
          <t>2412</t>
        </is>
      </c>
      <c r="B271" t="inlineStr">
        <is>
          <t>Problema ao Instalar o Norton Antivirus Plus Detectado</t>
        </is>
      </c>
      <c r="C271" t="inlineStr">
        <is>
          <t>Gerenciamento de Incidentes</t>
        </is>
      </c>
      <c r="D271" t="inlineStr">
        <is>
          <t>Gerenciamento de Problemas</t>
        </is>
      </c>
      <c r="K271" t="inlineStr">
        <is>
          <t>Gerenciamento de Requisição de Serviço</t>
        </is>
      </c>
      <c r="L271" t="inlineStr">
        <is>
          <t>Central de Serviço</t>
        </is>
      </c>
      <c r="M271" t="inlineStr">
        <is>
          <t>Divergente</t>
        </is>
      </c>
    </row>
    <row r="272">
      <c r="A272" t="inlineStr">
        <is>
          <t>2416</t>
        </is>
      </c>
      <c r="B272" t="inlineStr">
        <is>
          <t>Problema Maior Relatado</t>
        </is>
      </c>
      <c r="C272" t="inlineStr">
        <is>
          <t>Gerenciamento de Incidentes</t>
        </is>
      </c>
      <c r="D272" t="inlineStr">
        <is>
          <t>Gerenciamento de Problemas</t>
        </is>
      </c>
      <c r="K272" t="inlineStr">
        <is>
          <t>SEM RECOMENDAÇÃO</t>
        </is>
      </c>
      <c r="L272" t="inlineStr">
        <is>
          <t>SEM RECOMENDAÇÃO</t>
        </is>
      </c>
      <c r="M272" t="inlineStr">
        <is>
          <t>Divergente</t>
        </is>
      </c>
    </row>
    <row r="273">
      <c r="A273" t="inlineStr">
        <is>
          <t>2420</t>
        </is>
      </c>
      <c r="B273" t="inlineStr">
        <is>
          <t>Problemas intermitentes de conectividade com o roteador Cisco</t>
        </is>
      </c>
      <c r="C273" t="inlineStr">
        <is>
          <t>Gerenciamento de Incidentes</t>
        </is>
      </c>
      <c r="D273" t="inlineStr">
        <is>
          <t>Gerenciamento de Problemas</t>
        </is>
      </c>
      <c r="K273" t="inlineStr">
        <is>
          <t>SEM RECOMENDAÇÃO</t>
        </is>
      </c>
      <c r="L273" t="inlineStr">
        <is>
          <t>SEM RECOMENDAÇÃO</t>
        </is>
      </c>
      <c r="M273" t="inlineStr">
        <is>
          <t>Divergente</t>
        </is>
      </c>
    </row>
    <row r="274">
      <c r="A274" t="inlineStr">
        <is>
          <t>2436</t>
        </is>
      </c>
      <c r="B274" t="inlineStr">
        <is>
          <t>Problema Crítico: Queda de Conectividade no Roteador Cisco ISR4331</t>
        </is>
      </c>
      <c r="C274" t="inlineStr">
        <is>
          <t>Gerenciamento de Incidentes</t>
        </is>
      </c>
      <c r="D274" t="inlineStr">
        <is>
          <t>Gerenciamento de Problemas</t>
        </is>
      </c>
      <c r="K274" t="inlineStr">
        <is>
          <t>SEM RECOMENDAÇÃO</t>
        </is>
      </c>
      <c r="L274" t="inlineStr">
        <is>
          <t>SEM RECOMENDAÇÃO</t>
        </is>
      </c>
      <c r="M274" t="inlineStr">
        <is>
          <t>Divergente</t>
        </is>
      </c>
    </row>
    <row r="275">
      <c r="A275" t="inlineStr">
        <is>
          <t>2437</t>
        </is>
      </c>
      <c r="B275" t="inlineStr">
        <is>
          <t>Incapaz de Conectar WiFi no Dell XPS 13 9310</t>
        </is>
      </c>
      <c r="C275" t="inlineStr">
        <is>
          <t>Gerenciamento de Incidentes</t>
        </is>
      </c>
      <c r="D275" t="inlineStr">
        <is>
          <t>Gerenciamento de Problemas</t>
        </is>
      </c>
      <c r="K275" t="inlineStr">
        <is>
          <t>SEM RECOMENDAÇÃO</t>
        </is>
      </c>
      <c r="L275" t="inlineStr">
        <is>
          <t>SEM RECOMENDAÇÃO</t>
        </is>
      </c>
      <c r="M275" t="inlineStr">
        <is>
          <t>Divergente</t>
        </is>
      </c>
    </row>
    <row r="276">
      <c r="A276" t="inlineStr">
        <is>
          <t>2438</t>
        </is>
      </c>
      <c r="B276" t="inlineStr">
        <is>
          <t>Consulta sobre discrepância de cobrança na AWS</t>
        </is>
      </c>
      <c r="C276" t="inlineStr">
        <is>
          <t>Gerenciamento Financeiro</t>
        </is>
      </c>
      <c r="D276" t="inlineStr">
        <is>
          <t>Gerenciamento de Incidentes</t>
        </is>
      </c>
      <c r="K276" t="inlineStr">
        <is>
          <t>SEM RECOMENDAÇÃO</t>
        </is>
      </c>
      <c r="L276" t="inlineStr">
        <is>
          <t>SEM RECOMENDAÇÃO</t>
        </is>
      </c>
      <c r="M276" t="inlineStr">
        <is>
          <t>Divergente</t>
        </is>
      </c>
    </row>
    <row r="277">
      <c r="A277" t="inlineStr">
        <is>
          <t>2439</t>
        </is>
      </c>
      <c r="B277" t="inlineStr">
        <is>
          <t>Solicitação de Suporte para Problemas com o Adobe Photoshop</t>
        </is>
      </c>
      <c r="C277" t="inlineStr">
        <is>
          <t>Gerenciamento de Incidentes</t>
        </is>
      </c>
      <c r="D277" t="inlineStr">
        <is>
          <t>Gerenciamento de Problemas</t>
        </is>
      </c>
      <c r="K277" t="inlineStr">
        <is>
          <t>SEM RECOMENDAÇÃO</t>
        </is>
      </c>
      <c r="L277" t="inlineStr">
        <is>
          <t>SEM RECOMENDAÇÃO</t>
        </is>
      </c>
      <c r="M277" t="inlineStr">
        <is>
          <t>Divergente</t>
        </is>
      </c>
    </row>
    <row r="278">
      <c r="A278" t="inlineStr">
        <is>
          <t>2491</t>
        </is>
      </c>
      <c r="B278" t="inlineStr">
        <is>
          <t>Esclarecimento Urgente Necessário</t>
        </is>
      </c>
      <c r="C278" t="inlineStr">
        <is>
          <t>Gerenciamento Financeiro</t>
        </is>
      </c>
      <c r="D278" t="inlineStr">
        <is>
          <t>Gerenciamento de Incidentes</t>
        </is>
      </c>
      <c r="K278" t="inlineStr">
        <is>
          <t>SEM RECOMENDAÇÃO</t>
        </is>
      </c>
      <c r="L278" t="inlineStr">
        <is>
          <t>SEM RECOMENDAÇÃO</t>
        </is>
      </c>
      <c r="M278" t="inlineStr">
        <is>
          <t>Divergente</t>
        </is>
      </c>
    </row>
    <row r="279">
      <c r="A279" t="inlineStr">
        <is>
          <t>2508</t>
        </is>
      </c>
      <c r="B279" t="inlineStr">
        <is>
          <t>Problema com a Integração do Slack</t>
        </is>
      </c>
      <c r="C279" t="inlineStr">
        <is>
          <t>Gerenciamento de Incidentes</t>
        </is>
      </c>
      <c r="D279" t="inlineStr">
        <is>
          <t>Gerenciamento de Problemas</t>
        </is>
      </c>
      <c r="K279" t="inlineStr">
        <is>
          <t>SEM RECOMENDAÇÃO</t>
        </is>
      </c>
      <c r="L279" t="inlineStr">
        <is>
          <t>SEM RECOMENDAÇÃO</t>
        </is>
      </c>
      <c r="M279" t="inlineStr">
        <is>
          <t>Divergente</t>
        </is>
      </c>
    </row>
    <row r="280">
      <c r="A280" t="inlineStr">
        <is>
          <t>2512</t>
        </is>
      </c>
      <c r="B280" t="inlineStr">
        <is>
          <t>Consulta sobre Planos de Pagamento para Dell XPS 13</t>
        </is>
      </c>
      <c r="C280" t="inlineStr">
        <is>
          <t>Solicitação de Serviço</t>
        </is>
      </c>
      <c r="D280" t="inlineStr">
        <is>
          <t>Gerenciamento Financeiro</t>
        </is>
      </c>
      <c r="K280" t="inlineStr">
        <is>
          <t>SEM RECOMENDAÇÃO</t>
        </is>
      </c>
      <c r="L280" t="inlineStr">
        <is>
          <t>SEM RECOMENDAÇÃO</t>
        </is>
      </c>
      <c r="M280" t="inlineStr">
        <is>
          <t>Divergente</t>
        </is>
      </c>
    </row>
    <row r="281">
      <c r="A281" t="inlineStr">
        <is>
          <t>2519</t>
        </is>
      </c>
      <c r="B281" t="inlineStr">
        <is>
          <t>Inquirindo sobre opções de licenciamento e descontos em compras em volume para o Adobe Photoshop 2024</t>
        </is>
      </c>
      <c r="C281" t="inlineStr">
        <is>
          <t>Solicitação de Serviço</t>
        </is>
      </c>
      <c r="D281" t="inlineStr">
        <is>
          <t>Gerenciamento Financeiro</t>
        </is>
      </c>
      <c r="K281" t="inlineStr">
        <is>
          <t>SEM RECOMENDAÇÃO</t>
        </is>
      </c>
      <c r="L281" t="inlineStr">
        <is>
          <t>SEM RECOMENDAÇÃO</t>
        </is>
      </c>
      <c r="M281" t="inlineStr">
        <is>
          <t>Divergente</t>
        </is>
      </c>
    </row>
    <row r="282">
      <c r="A282" t="inlineStr">
        <is>
          <t>2527</t>
        </is>
      </c>
      <c r="B282" t="inlineStr">
        <is>
          <t>Esclarecimento sobre Taxa de Assinatura</t>
        </is>
      </c>
      <c r="C282" t="inlineStr">
        <is>
          <t>Gerenciamento Financeiro</t>
        </is>
      </c>
      <c r="D282" t="inlineStr">
        <is>
          <t>Gerenciamento de Nível de Serviço</t>
        </is>
      </c>
      <c r="K282" t="inlineStr">
        <is>
          <t>SEM RECOMENDAÇÃO</t>
        </is>
      </c>
      <c r="L282" t="inlineStr">
        <is>
          <t>SEM RECOMENDAÇÃO</t>
        </is>
      </c>
      <c r="M282" t="inlineStr">
        <is>
          <t>Divergente</t>
        </is>
      </c>
    </row>
    <row r="283">
      <c r="A283" t="inlineStr">
        <is>
          <t>2545</t>
        </is>
      </c>
      <c r="B283" t="inlineStr">
        <is>
          <t>Urgente: Problemas de Rede com Router Cisco ISR4331</t>
        </is>
      </c>
      <c r="C283" t="inlineStr">
        <is>
          <t>Gerenciamento de Incidentes</t>
        </is>
      </c>
      <c r="D283" t="inlineStr">
        <is>
          <t>Gerenciamento de Disponibilidade</t>
        </is>
      </c>
      <c r="K283" t="inlineStr">
        <is>
          <t>SEM RECOMENDAÇÃO</t>
        </is>
      </c>
      <c r="L283" t="inlineStr">
        <is>
          <t>SEM RECOMENDAÇÃO</t>
        </is>
      </c>
      <c r="M283" t="inlineStr">
        <is>
          <t>Divergente</t>
        </is>
      </c>
    </row>
    <row r="284">
      <c r="A284" t="inlineStr">
        <is>
          <t>2563</t>
        </is>
      </c>
      <c r="B284" t="inlineStr">
        <is>
          <t>Preciso de Assistência para Resposta Lenta a Consultas no MySQL 8.0.30</t>
        </is>
      </c>
      <c r="C284" t="inlineStr">
        <is>
          <t>Gerenciamento de Incidentes</t>
        </is>
      </c>
      <c r="D284" t="inlineStr">
        <is>
          <t>Gerenciamento de Capacidade</t>
        </is>
      </c>
      <c r="K284" t="inlineStr">
        <is>
          <t>SEM RECOMENDAÇÃO</t>
        </is>
      </c>
      <c r="L284" t="inlineStr">
        <is>
          <t>SEM RECOMENDAÇÃO</t>
        </is>
      </c>
      <c r="M284" t="inlineStr">
        <is>
          <t>Divergente</t>
        </is>
      </c>
    </row>
    <row r="285">
      <c r="A285" t="inlineStr">
        <is>
          <t>2569</t>
        </is>
      </c>
      <c r="B285" t="inlineStr">
        <is>
          <t>Problema de Cobrança com Compra do MySQL</t>
        </is>
      </c>
      <c r="C285" t="inlineStr">
        <is>
          <t>Gerenciamento Financeiro</t>
        </is>
      </c>
      <c r="D285" t="inlineStr">
        <is>
          <t>Gerenciamento de Incidentes</t>
        </is>
      </c>
      <c r="K285" t="inlineStr">
        <is>
          <t>SEM RECOMENDAÇÃO</t>
        </is>
      </c>
      <c r="L285" t="inlineStr">
        <is>
          <t>SEM RECOMENDAÇÃO</t>
        </is>
      </c>
      <c r="M285" t="inlineStr">
        <is>
          <t>Divergente</t>
        </is>
      </c>
    </row>
    <row r="286">
      <c r="A286" t="inlineStr">
        <is>
          <t>2570</t>
        </is>
      </c>
      <c r="B286" t="inlineStr">
        <is>
          <t>Problema com o Jira Software 8.20</t>
        </is>
      </c>
      <c r="C286" t="inlineStr">
        <is>
          <t>Gerenciamento de Incidentes</t>
        </is>
      </c>
      <c r="D286" t="inlineStr">
        <is>
          <t>Gerenciamento de Problemas</t>
        </is>
      </c>
      <c r="K286" t="inlineStr">
        <is>
          <t>SEM RECOMENDAÇÃO</t>
        </is>
      </c>
      <c r="L286" t="inlineStr">
        <is>
          <t>SEM RECOMENDAÇÃO</t>
        </is>
      </c>
      <c r="M286" t="inlineStr">
        <is>
          <t>Divergente</t>
        </is>
      </c>
    </row>
    <row r="287">
      <c r="A287" t="inlineStr">
        <is>
          <t>2573</t>
        </is>
      </c>
      <c r="B287" t="inlineStr">
        <is>
          <t>Discrepâncias de Cobrança com os Serviços em Nuvem da AWS</t>
        </is>
      </c>
      <c r="C287" t="inlineStr">
        <is>
          <t>Gerenciamento Financeiro</t>
        </is>
      </c>
      <c r="D287" t="inlineStr">
        <is>
          <t>Gerenciamento de Incidentes</t>
        </is>
      </c>
      <c r="K287" t="inlineStr">
        <is>
          <t>SEM RECOMENDAÇÃO</t>
        </is>
      </c>
      <c r="L287" t="inlineStr">
        <is>
          <t>SEM RECOMENDAÇÃO</t>
        </is>
      </c>
      <c r="M287" t="inlineStr">
        <is>
          <t>Divergente</t>
        </is>
      </c>
    </row>
    <row r="288">
      <c r="A288" t="inlineStr">
        <is>
          <t>2575</t>
        </is>
      </c>
      <c r="B288" t="inlineStr">
        <is>
          <t>Solicitação de Atualizações de Configuração de Email</t>
        </is>
      </c>
      <c r="C288" t="inlineStr">
        <is>
          <t>Solicitação de Serviço</t>
        </is>
      </c>
      <c r="D288" t="inlineStr">
        <is>
          <t>Gerenciamento de Segurança</t>
        </is>
      </c>
      <c r="K288" t="inlineStr">
        <is>
          <t>SEM RECOMENDAÇÃO</t>
        </is>
      </c>
      <c r="L288" t="inlineStr">
        <is>
          <t>SEM RECOMENDAÇÃO</t>
        </is>
      </c>
      <c r="M288" t="inlineStr">
        <is>
          <t>Divergente</t>
        </is>
      </c>
    </row>
    <row r="289">
      <c r="A289" t="inlineStr">
        <is>
          <t>2578</t>
        </is>
      </c>
      <c r="B289" t="inlineStr">
        <is>
          <t>Suporte Urgente Necessário para Problemas de Conectividade</t>
        </is>
      </c>
      <c r="C289" t="inlineStr">
        <is>
          <t>Gerenciamento de Incidentes</t>
        </is>
      </c>
      <c r="D289" t="inlineStr">
        <is>
          <t>Gerenciamento de Disponibilidade</t>
        </is>
      </c>
      <c r="K289" t="inlineStr">
        <is>
          <t>SEM RECOMENDAÇÃO</t>
        </is>
      </c>
      <c r="L289" t="inlineStr">
        <is>
          <t>SEM RECOMENDAÇÃO</t>
        </is>
      </c>
      <c r="M289" t="inlineStr">
        <is>
          <t>Divergente</t>
        </is>
      </c>
    </row>
    <row r="290">
      <c r="A290" t="inlineStr">
        <is>
          <t>2581</t>
        </is>
      </c>
      <c r="B290" t="inlineStr">
        <is>
          <t>Urgente: Inatividade da Rede - Falha no Roteador Cisco</t>
        </is>
      </c>
      <c r="C290" t="inlineStr">
        <is>
          <t>Gerenciamento de Incidentes</t>
        </is>
      </c>
      <c r="D290" t="inlineStr">
        <is>
          <t>Gerenciamento de Disponibilidade</t>
        </is>
      </c>
      <c r="K290" t="inlineStr">
        <is>
          <t>SEM RECOMENDAÇÃO</t>
        </is>
      </c>
      <c r="L290" t="inlineStr">
        <is>
          <t>SEM RECOMENDAÇÃO</t>
        </is>
      </c>
      <c r="M290" t="inlineStr">
        <is>
          <t>Divergente</t>
        </is>
      </c>
    </row>
    <row r="291">
      <c r="A291" t="inlineStr">
        <is>
          <t>2584</t>
        </is>
      </c>
      <c r="B291" t="inlineStr">
        <is>
          <t>Consulta sobre o desempenho do MacBook Air M1</t>
        </is>
      </c>
      <c r="C291" t="inlineStr">
        <is>
          <t>Solicitação de Serviço</t>
        </is>
      </c>
      <c r="D291" t="inlineStr">
        <is>
          <t>Gerenciamento de Ativos de TI</t>
        </is>
      </c>
      <c r="K291" t="inlineStr">
        <is>
          <t>SEM RECOMENDAÇÃO</t>
        </is>
      </c>
      <c r="L291" t="inlineStr">
        <is>
          <t>SEM RECOMENDAÇÃO</t>
        </is>
      </c>
      <c r="M291" t="inlineStr">
        <is>
          <t>Divergente</t>
        </is>
      </c>
    </row>
    <row r="292">
      <c r="A292" t="inlineStr">
        <is>
          <t>2589</t>
        </is>
      </c>
      <c r="B292" t="inlineStr">
        <is>
          <t>Problema de Lentidão do Sistema com o Jira Software 8.20</t>
        </is>
      </c>
      <c r="C292" t="inlineStr">
        <is>
          <t>Gerenciamento de Incidentes</t>
        </is>
      </c>
      <c r="D292" t="inlineStr">
        <is>
          <t>Gerenciamento de Capacidade</t>
        </is>
      </c>
      <c r="K292" t="inlineStr">
        <is>
          <t>SEM RECOMENDAÇÃO</t>
        </is>
      </c>
      <c r="L292" t="inlineStr">
        <is>
          <t>SEM RECOMENDAÇÃO</t>
        </is>
      </c>
      <c r="M292" t="inlineStr">
        <is>
          <t>Divergente</t>
        </is>
      </c>
    </row>
    <row r="293">
      <c r="A293" t="inlineStr">
        <is>
          <t>2595</t>
        </is>
      </c>
      <c r="B293" t="inlineStr">
        <is>
          <t>Solicitação de Devolução para Canon PIXMA MG3620 Devido a Problemas</t>
        </is>
      </c>
      <c r="C293" t="inlineStr">
        <is>
          <t>Solicitação de Serviço</t>
        </is>
      </c>
      <c r="D293" t="inlineStr">
        <is>
          <t>Gerenciamento de Ativos de TI</t>
        </is>
      </c>
      <c r="K293" t="inlineStr">
        <is>
          <t>SEM RECOMENDAÇÃO</t>
        </is>
      </c>
      <c r="L293" t="inlineStr">
        <is>
          <t>SEM RECOMENDAÇÃO</t>
        </is>
      </c>
      <c r="M293" t="inlineStr">
        <is>
          <t>Divergente</t>
        </is>
      </c>
    </row>
    <row r="294">
      <c r="A294" t="inlineStr">
        <is>
          <t>2602</t>
        </is>
      </c>
      <c r="B294" t="inlineStr">
        <is>
          <t>Quedas frequentes com o Visual Studio Code 1.70</t>
        </is>
      </c>
      <c r="C294" t="inlineStr">
        <is>
          <t>Gerenciamento de Incidentes</t>
        </is>
      </c>
      <c r="D294" t="inlineStr">
        <is>
          <t>Gerenciamento de Problemas</t>
        </is>
      </c>
      <c r="K294" t="inlineStr">
        <is>
          <t>SEM RECOMENDAÇÃO</t>
        </is>
      </c>
      <c r="L294" t="inlineStr">
        <is>
          <t>SEM RECOMENDAÇÃO</t>
        </is>
      </c>
      <c r="M294" t="inlineStr">
        <is>
          <t>Divergente</t>
        </is>
      </c>
    </row>
    <row r="295">
      <c r="A295" t="inlineStr">
        <is>
          <t>2608</t>
        </is>
      </c>
      <c r="B295" t="inlineStr">
        <is>
          <t>Problema frequente de atolamentos de papel com a impressora HP</t>
        </is>
      </c>
      <c r="C295" t="inlineStr">
        <is>
          <t>Gerenciamento de Incidentes</t>
        </is>
      </c>
      <c r="D295" t="inlineStr">
        <is>
          <t>Gerenciamento de Problemas</t>
        </is>
      </c>
      <c r="K295" t="inlineStr">
        <is>
          <t>SEM RECOMENDAÇÃO</t>
        </is>
      </c>
      <c r="L295" t="inlineStr">
        <is>
          <t>SEM RECOMENDAÇÃO</t>
        </is>
      </c>
      <c r="M295" t="inlineStr">
        <is>
          <t>Divergente</t>
        </is>
      </c>
    </row>
    <row r="296">
      <c r="A296" t="inlineStr">
        <is>
          <t>2613</t>
        </is>
      </c>
      <c r="B296" t="inlineStr">
        <is>
          <t>Solicitação de Troca devido a Problemas de Flicker no LG OLED C1</t>
        </is>
      </c>
      <c r="C296" t="inlineStr">
        <is>
          <t>Solicitação de Serviço</t>
        </is>
      </c>
      <c r="D296" t="inlineStr">
        <is>
          <t>Gerenciamento de Ativos de TI</t>
        </is>
      </c>
      <c r="K296" t="inlineStr">
        <is>
          <t>SEM RECOMENDAÇÃO</t>
        </is>
      </c>
      <c r="L296" t="inlineStr">
        <is>
          <t>SEM RECOMENDAÇÃO</t>
        </is>
      </c>
      <c r="M296" t="inlineStr">
        <is>
          <t>Divergente</t>
        </is>
      </c>
    </row>
    <row r="297">
      <c r="A297" t="inlineStr">
        <is>
          <t>2622</t>
        </is>
      </c>
      <c r="B297" t="inlineStr">
        <is>
          <t>Dificuldades ao Habilitar o Norton Antivirus Plus</t>
        </is>
      </c>
      <c r="C297" t="inlineStr">
        <is>
          <t>Gerenciamento de Incidentes</t>
        </is>
      </c>
      <c r="D297" t="inlineStr">
        <is>
          <t>Gerenciamento de Problemas</t>
        </is>
      </c>
      <c r="K297" t="inlineStr">
        <is>
          <t>SEM RECOMENDAÇÃO</t>
        </is>
      </c>
      <c r="L297" t="inlineStr">
        <is>
          <t>SEM RECOMENDAÇÃO</t>
        </is>
      </c>
      <c r="M297" t="inlineStr">
        <is>
          <t>Divergente</t>
        </is>
      </c>
    </row>
    <row r="298">
      <c r="A298" t="inlineStr">
        <is>
          <t>2638</t>
        </is>
      </c>
      <c r="B298" t="inlineStr">
        <is>
          <t>Problema com o Dell XPS 13 ao iniciar</t>
        </is>
      </c>
      <c r="C298" t="inlineStr">
        <is>
          <t>Gerenciamento de Incidentes</t>
        </is>
      </c>
      <c r="D298" t="inlineStr">
        <is>
          <t>Gerenciamento de Ativos de TI</t>
        </is>
      </c>
      <c r="K298" t="inlineStr">
        <is>
          <t>SEM RECOMENDAÇÃO</t>
        </is>
      </c>
      <c r="L298" t="inlineStr">
        <is>
          <t>SEM RECOMENDAÇÃO</t>
        </is>
      </c>
      <c r="M298" t="inlineStr">
        <is>
          <t>Divergente</t>
        </is>
      </c>
    </row>
    <row r="299">
      <c r="A299" t="inlineStr">
        <is>
          <t>2653</t>
        </is>
      </c>
      <c r="B299" t="inlineStr">
        <is>
          <t>Consulta de Compra</t>
        </is>
      </c>
      <c r="C299" t="inlineStr">
        <is>
          <t>Solicitação de Serviço</t>
        </is>
      </c>
      <c r="D299" t="inlineStr">
        <is>
          <t>Gerenciamento Financeiro</t>
        </is>
      </c>
      <c r="K299" t="inlineStr">
        <is>
          <t>SEM RECOMENDAÇÃO</t>
        </is>
      </c>
      <c r="L299" t="inlineStr">
        <is>
          <t>SEM RECOMENDAÇÃO</t>
        </is>
      </c>
      <c r="M299" t="inlineStr">
        <is>
          <t>Divergente</t>
        </is>
      </c>
    </row>
    <row r="300">
      <c r="A300" t="inlineStr">
        <is>
          <t>2659</t>
        </is>
      </c>
      <c r="B300" t="inlineStr">
        <is>
          <t>Esclarecimento Necessário Sobre Cobrança de Fatura</t>
        </is>
      </c>
      <c r="C300" t="inlineStr">
        <is>
          <t>Gerenciamento Financeiro</t>
        </is>
      </c>
      <c r="D300" t="inlineStr">
        <is>
          <t>Gerenciamento de Nível de Serviço</t>
        </is>
      </c>
      <c r="K300" t="inlineStr">
        <is>
          <t>SEM RECOMENDAÇÃO</t>
        </is>
      </c>
      <c r="L300" t="inlineStr">
        <is>
          <t>SEM RECOMENDAÇÃO</t>
        </is>
      </c>
      <c r="M300" t="inlineStr">
        <is>
          <t>Divergente</t>
        </is>
      </c>
    </row>
    <row r="301">
      <c r="A301" t="inlineStr">
        <is>
          <t>2665</t>
        </is>
      </c>
      <c r="B301" t="inlineStr">
        <is>
          <t>Propostas de melhorias para o gerenciamento de nuvem multi-conta da AWS</t>
        </is>
      </c>
      <c r="C301" t="inlineStr">
        <is>
          <t>Solicitação de Serviço</t>
        </is>
      </c>
      <c r="D301" t="inlineStr">
        <is>
          <t>Gerenciamento Financeiro</t>
        </is>
      </c>
      <c r="K301" t="inlineStr">
        <is>
          <t>SEM RECOMENDAÇÃO</t>
        </is>
      </c>
      <c r="L301" t="inlineStr">
        <is>
          <t>SEM RECOMENDAÇÃO</t>
        </is>
      </c>
      <c r="M301" t="inlineStr">
        <is>
          <t>Divergente</t>
        </is>
      </c>
    </row>
    <row r="302">
      <c r="A302" t="inlineStr">
        <is>
          <t>2672</t>
        </is>
      </c>
      <c r="B302" t="inlineStr">
        <is>
          <t>Problemas de Conectividade e Desempenho de Wi-Fi com o Roteador Cisco</t>
        </is>
      </c>
      <c r="C302" t="inlineStr">
        <is>
          <t>Gerenciamento de Incidentes</t>
        </is>
      </c>
      <c r="D302" t="inlineStr">
        <is>
          <t>Gerenciamento de Problemas</t>
        </is>
      </c>
    </row>
    <row r="303">
      <c r="A303" t="inlineStr">
        <is>
          <t>2688</t>
        </is>
      </c>
      <c r="B303" t="inlineStr">
        <is>
          <t>Consulta sobre Administração de Servidores</t>
        </is>
      </c>
      <c r="C303" t="inlineStr">
        <is>
          <t>Solicitação de Serviço</t>
        </is>
      </c>
      <c r="D303" t="inlineStr">
        <is>
          <t>Gerenciamento de Nível de Serviço</t>
        </is>
      </c>
    </row>
    <row r="304">
      <c r="A304" t="inlineStr">
        <is>
          <t>2702</t>
        </is>
      </c>
      <c r="B304" t="inlineStr">
        <is>
          <t>Solicitação de Troca: Problema com a Impressora Canon PIXMA MG3620</t>
        </is>
      </c>
      <c r="C304" t="inlineStr">
        <is>
          <t>Solicitação de Serviço</t>
        </is>
      </c>
      <c r="D304" t="inlineStr">
        <is>
          <t>Gerenciamento de Ativos de TI</t>
        </is>
      </c>
    </row>
    <row r="305">
      <c r="A305" t="inlineStr">
        <is>
          <t>2713</t>
        </is>
      </c>
      <c r="B305" t="inlineStr">
        <is>
          <t>Assistência Urgente Necessária para Problema de Implementação de Software</t>
        </is>
      </c>
      <c r="C305" t="inlineStr">
        <is>
          <t>Gerenciamento de Incidentes</t>
        </is>
      </c>
      <c r="D305" t="inlineStr">
        <is>
          <t>Gerenciamento de Mudanças</t>
        </is>
      </c>
    </row>
    <row r="306">
      <c r="A306" t="inlineStr">
        <is>
          <t>2736</t>
        </is>
      </c>
      <c r="B306" t="inlineStr">
        <is>
          <t>Flickering Intermitente da Tela no Dell XPS 13</t>
        </is>
      </c>
      <c r="C306" t="inlineStr">
        <is>
          <t>Gerenciamento de Incidentes</t>
        </is>
      </c>
      <c r="D306" t="inlineStr">
        <is>
          <t>Gerenciamento de Problemas</t>
        </is>
      </c>
    </row>
    <row r="307">
      <c r="A307" t="inlineStr">
        <is>
          <t>2748</t>
        </is>
      </c>
      <c r="B307" t="inlineStr">
        <is>
          <t>Problema Urgente com o Deployment da AWS</t>
        </is>
      </c>
      <c r="C307" t="inlineStr">
        <is>
          <t>Gerenciamento de Incidentes</t>
        </is>
      </c>
      <c r="D307" t="inlineStr">
        <is>
          <t>Gerenciamento de Mudanças</t>
        </is>
      </c>
    </row>
    <row r="308">
      <c r="A308" t="inlineStr">
        <is>
          <t>2764</t>
        </is>
      </c>
      <c r="B308" t="inlineStr">
        <is>
          <t>Urgente: Assistência Imediata Necessária para Problema de Administração de Servidor</t>
        </is>
      </c>
      <c r="C308" t="inlineStr">
        <is>
          <t>Gerenciamento de Incidentes</t>
        </is>
      </c>
      <c r="D308" t="inlineStr">
        <is>
          <t>Gerenciamento de Disponibilidade</t>
        </is>
      </c>
    </row>
    <row r="309">
      <c r="A309" t="inlineStr">
        <is>
          <t>2778</t>
        </is>
      </c>
      <c r="B309" t="inlineStr">
        <is>
          <t>Problema com a Criação de Tarefas</t>
        </is>
      </c>
      <c r="C309" t="inlineStr">
        <is>
          <t>Gerenciamento de Incidentes</t>
        </is>
      </c>
      <c r="D309" t="inlineStr">
        <is>
          <t>Gerenciamento de Problemas</t>
        </is>
      </c>
    </row>
    <row r="310">
      <c r="A310" t="inlineStr">
        <is>
          <t>2784</t>
        </is>
      </c>
      <c r="B310" t="inlineStr">
        <is>
          <t>Problema de Instalação Reportado</t>
        </is>
      </c>
      <c r="C310" t="inlineStr">
        <is>
          <t>Gerenciamento de Incidentes</t>
        </is>
      </c>
      <c r="D310" t="inlineStr">
        <is>
          <t>Gerenciamento de Problemas</t>
        </is>
      </c>
    </row>
    <row r="311">
      <c r="A311" t="inlineStr">
        <is>
          <t>2786</t>
        </is>
      </c>
      <c r="B311" t="inlineStr">
        <is>
          <t>Assistência Necessária para Depuração do VS Code</t>
        </is>
      </c>
      <c r="C311" t="inlineStr">
        <is>
          <t>Gerenciamento de Incidentes</t>
        </is>
      </c>
      <c r="D311" t="inlineStr">
        <is>
          <t>Gerenciamento de Problemas</t>
        </is>
      </c>
    </row>
    <row r="312">
      <c r="A312" t="inlineStr">
        <is>
          <t>2788</t>
        </is>
      </c>
      <c r="B312" t="inlineStr">
        <is>
          <t>Assistência Necessária para Implementação na AWS</t>
        </is>
      </c>
      <c r="C312" t="inlineStr">
        <is>
          <t>Solicitação de Serviço</t>
        </is>
      </c>
      <c r="D312" t="inlineStr">
        <is>
          <t>Gerenciamento de Segurança</t>
        </is>
      </c>
    </row>
    <row r="313">
      <c r="A313" t="inlineStr">
        <is>
          <t>2794</t>
        </is>
      </c>
      <c r="B313" t="inlineStr">
        <is>
          <t>Problema com o iPad Pro</t>
        </is>
      </c>
      <c r="C313" t="inlineStr">
        <is>
          <t>Gerenciamento de Incidentes</t>
        </is>
      </c>
      <c r="D313" t="inlineStr">
        <is>
          <t>Gerenciamento de Ativos de TI</t>
        </is>
      </c>
    </row>
    <row r="314">
      <c r="A314" t="inlineStr">
        <is>
          <t>2797</t>
        </is>
      </c>
      <c r="B314" t="inlineStr">
        <is>
          <t>Urgente: Assistência Imediata Necessária para Problema no Roteador</t>
        </is>
      </c>
      <c r="C314" t="inlineStr">
        <is>
          <t>Gerenciamento de Incidentes</t>
        </is>
      </c>
      <c r="D314" t="inlineStr">
        <is>
          <t>Gerenciamento de Disponibilidade</t>
        </is>
      </c>
    </row>
    <row r="315">
      <c r="A315" t="inlineStr">
        <is>
          <t>2808</t>
        </is>
      </c>
      <c r="B315" t="inlineStr">
        <is>
          <t>Problema com o Dell XPS 13 superaquecendo</t>
        </is>
      </c>
      <c r="C315" t="inlineStr">
        <is>
          <t>Gerenciamento de Incidentes</t>
        </is>
      </c>
      <c r="D315" t="inlineStr">
        <is>
          <t>Gerenciamento de Problemas</t>
        </is>
      </c>
    </row>
    <row r="316">
      <c r="A316" t="inlineStr">
        <is>
          <t>2809</t>
        </is>
      </c>
      <c r="B316" t="inlineStr">
        <is>
          <t>Crítico: Interrupção dos Serviços Durante a Manutenção Planejada</t>
        </is>
      </c>
      <c r="C316" t="inlineStr">
        <is>
          <t>Gerenciamento de Incidentes</t>
        </is>
      </c>
      <c r="D316" t="inlineStr">
        <is>
          <t>Gerenciamento de Mudanças</t>
        </is>
      </c>
    </row>
    <row r="317">
      <c r="A317" t="inlineStr">
        <is>
          <t>2811</t>
        </is>
      </c>
      <c r="B317" t="inlineStr">
        <is>
          <t>Assistência com Gestão da AWS</t>
        </is>
      </c>
      <c r="C317" t="inlineStr">
        <is>
          <t>Solicitação de Serviço</t>
        </is>
      </c>
      <c r="D317" t="inlineStr">
        <is>
          <t>Gerenciamento Financeiro</t>
        </is>
      </c>
    </row>
    <row r="318">
      <c r="A318" t="inlineStr">
        <is>
          <t>2812</t>
        </is>
      </c>
      <c r="B318" t="inlineStr">
        <is>
          <t>Problemas com o Roteador Cisco ISR4331</t>
        </is>
      </c>
      <c r="C318" t="inlineStr">
        <is>
          <t>Gerenciamento de Incidentes</t>
        </is>
      </c>
      <c r="D318" t="inlineStr">
        <is>
          <t>Gerenciamento de Problemas</t>
        </is>
      </c>
    </row>
    <row r="319">
      <c r="A319" t="inlineStr">
        <is>
          <t>2825</t>
        </is>
      </c>
      <c r="B319" t="inlineStr">
        <is>
          <t>Experienciando Desconexões Frequentes com Zoom 5.11.0</t>
        </is>
      </c>
      <c r="C319" t="inlineStr">
        <is>
          <t>Gerenciamento de Incidentes</t>
        </is>
      </c>
      <c r="D319" t="inlineStr">
        <is>
          <t>Gerenciamento de Problemas</t>
        </is>
      </c>
    </row>
    <row r="320">
      <c r="A320" t="inlineStr">
        <is>
          <t>2830</t>
        </is>
      </c>
      <c r="B320" t="inlineStr">
        <is>
          <t>Problema com a Conectividade da Canon PIXMA MG3620</t>
        </is>
      </c>
      <c r="C320" t="inlineStr">
        <is>
          <t>Gerenciamento de Incidentes</t>
        </is>
      </c>
      <c r="D320" t="inlineStr">
        <is>
          <t>Gerenciamento de Problemas</t>
        </is>
      </c>
    </row>
    <row r="321">
      <c r="A321" t="inlineStr">
        <is>
          <t>2832</t>
        </is>
      </c>
      <c r="B321" t="inlineStr">
        <is>
          <t>Assistência com Configuração de Impressora</t>
        </is>
      </c>
      <c r="C321" t="inlineStr">
        <is>
          <t>Solicitação de Serviço</t>
        </is>
      </c>
      <c r="D321" t="inlineStr">
        <is>
          <t>Gerenciamento de Incidentes</t>
        </is>
      </c>
    </row>
    <row r="322">
      <c r="A322" t="inlineStr">
        <is>
          <t>2840</t>
        </is>
      </c>
      <c r="B322" t="inlineStr">
        <is>
          <t>Urgente: Implementação de Servidor Atrasada Afetando as Operações do Cliente</t>
        </is>
      </c>
      <c r="C322" t="inlineStr">
        <is>
          <t>Gerenciamento de Incidentes</t>
        </is>
      </c>
      <c r="D322" t="inlineStr">
        <is>
          <t>Gerenciamento de Mudanças</t>
        </is>
      </c>
    </row>
    <row r="323">
      <c r="A323" t="inlineStr">
        <is>
          <t>2847</t>
        </is>
      </c>
      <c r="B323" t="inlineStr">
        <is>
          <t>Urgente: Interrupção de Rede pelo Roteador ISR4331</t>
        </is>
      </c>
      <c r="C323" t="inlineStr">
        <is>
          <t>Gerenciamento de Incidentes</t>
        </is>
      </c>
      <c r="D323" t="inlineStr">
        <is>
          <t>Gerenciamento de Disponibilidade</t>
        </is>
      </c>
    </row>
    <row r="324">
      <c r="A324" t="inlineStr">
        <is>
          <t>2851</t>
        </is>
      </c>
      <c r="B324" t="inlineStr">
        <is>
          <t>Solicitação de Otimização da Infraestrutura AWS</t>
        </is>
      </c>
      <c r="C324" t="inlineStr">
        <is>
          <t>Solicitação de Serviço</t>
        </is>
      </c>
      <c r="D324" t="inlineStr">
        <is>
          <t>Gerenciamento Financeiro</t>
        </is>
      </c>
    </row>
    <row r="325">
      <c r="A325" t="inlineStr">
        <is>
          <t>2862</t>
        </is>
      </c>
      <c r="B325" t="inlineStr">
        <is>
          <t>Consulta sobre a Disponibilidade do MacBook Air M1</t>
        </is>
      </c>
      <c r="C325" t="inlineStr">
        <is>
          <t>Solicitação de Serviço</t>
        </is>
      </c>
      <c r="D325" t="inlineStr">
        <is>
          <t>Gerenciamento de Ativos de TI</t>
        </is>
      </c>
    </row>
    <row r="326">
      <c r="A326" t="inlineStr">
        <is>
          <t>2864</t>
        </is>
      </c>
      <c r="B326" t="inlineStr">
        <is>
          <t>Urgente: Problemas de Login Durante Apresentação Pré-Vendas</t>
        </is>
      </c>
      <c r="C326" t="inlineStr">
        <is>
          <t>Gerenciamento de Incidentes</t>
        </is>
      </c>
      <c r="D326" t="inlineStr">
        <is>
          <t>Gerenciamento de Acesso</t>
        </is>
      </c>
    </row>
    <row r="327">
      <c r="A327" t="inlineStr">
        <is>
          <t>2866</t>
        </is>
      </c>
      <c r="B327" t="inlineStr">
        <is>
          <t>Problemas de Áudio no Zoom</t>
        </is>
      </c>
      <c r="C327" t="inlineStr">
        <is>
          <t>Gerenciamento de Incidentes</t>
        </is>
      </c>
      <c r="D327" t="inlineStr">
        <is>
          <t>Gerenciamento de Problemas</t>
        </is>
      </c>
    </row>
    <row r="328">
      <c r="A328" t="inlineStr">
        <is>
          <t>2870</t>
        </is>
      </c>
      <c r="B328" t="inlineStr">
        <is>
          <t>Explicação Necessária sobre a Otimização de Servidores com Serviços de TI</t>
        </is>
      </c>
      <c r="C328" t="inlineStr">
        <is>
          <t>Solicitação de Serviço</t>
        </is>
      </c>
      <c r="D328" t="inlineStr">
        <is>
          <t>Gerenciamento de Capacidade</t>
        </is>
      </c>
    </row>
    <row r="329">
      <c r="A329" t="inlineStr">
        <is>
          <t>2881</t>
        </is>
      </c>
      <c r="B329" t="inlineStr">
        <is>
          <t>Otimização de Custos Urgente Necessária para o Serviço AWS</t>
        </is>
      </c>
      <c r="C329" t="inlineStr">
        <is>
          <t>Gerenciamento Financeiro</t>
        </is>
      </c>
      <c r="D329" t="inlineStr">
        <is>
          <t>Gerenciamento de Incidentes</t>
        </is>
      </c>
    </row>
    <row r="330">
      <c r="A330" t="inlineStr">
        <is>
          <t>2883</t>
        </is>
      </c>
      <c r="B330" t="inlineStr">
        <is>
          <t>Necessidade de Assistência Imediata: Dificuldades de Ativação com Kaspersky Internet Security 2024 para o Usuário &lt;name&gt;</t>
        </is>
      </c>
      <c r="C330" t="inlineStr">
        <is>
          <t>Gerenciamento de Incidentes</t>
        </is>
      </c>
      <c r="D330" t="inlineStr">
        <is>
          <t>Gerenciamento de Problemas</t>
        </is>
      </c>
    </row>
    <row r="331">
      <c r="A331" t="inlineStr">
        <is>
          <t>2890</t>
        </is>
      </c>
      <c r="B331" t="inlineStr">
        <is>
          <t>Pedido de Assistência em Consultoria de TI</t>
        </is>
      </c>
      <c r="C331" t="inlineStr">
        <is>
          <t>Solicitação de Serviço</t>
        </is>
      </c>
      <c r="D331" t="inlineStr">
        <is>
          <t>Gerenciamento de Nível de Serviço</t>
        </is>
      </c>
    </row>
    <row r="332">
      <c r="A332" t="inlineStr">
        <is>
          <t>2892</t>
        </is>
      </c>
      <c r="B332" t="inlineStr">
        <is>
          <t>Solicitação de Suporte de Configuração de Alta Prioridade</t>
        </is>
      </c>
      <c r="C332" t="inlineStr">
        <is>
          <t>Gerenciamento de Incidentes</t>
        </is>
      </c>
      <c r="D332" t="inlineStr">
        <is>
          <t>Gerenciamento de Mudanças</t>
        </is>
      </c>
    </row>
    <row r="333">
      <c r="A333" t="inlineStr">
        <is>
          <t>2913</t>
        </is>
      </c>
      <c r="B333" t="inlineStr">
        <is>
          <t>Solicitação de Feedback sobre o Desempenho do Servidor</t>
        </is>
      </c>
      <c r="C333" t="inlineStr">
        <is>
          <t>Solicitação de Serviço</t>
        </is>
      </c>
      <c r="D333" t="inlineStr">
        <is>
          <t>Gerenciamento de Nível de Serviço</t>
        </is>
      </c>
    </row>
    <row r="334">
      <c r="A334" t="inlineStr">
        <is>
          <t>2915</t>
        </is>
      </c>
      <c r="B334" t="inlineStr">
        <is>
          <t>Problema de Faturamento</t>
        </is>
      </c>
      <c r="C334" t="inlineStr">
        <is>
          <t>Gerenciamento Financeiro</t>
        </is>
      </c>
      <c r="D334" t="inlineStr">
        <is>
          <t>Gerenciamento de Nível de Serviço</t>
        </is>
      </c>
    </row>
    <row r="335">
      <c r="A335" t="inlineStr">
        <is>
          <t>2926</t>
        </is>
      </c>
      <c r="B335" t="inlineStr">
        <is>
          <t>Solicitação de Orientação: Implementação Eficiente da Administração de Servidores</t>
        </is>
      </c>
      <c r="C335" t="inlineStr">
        <is>
          <t>Solicitação de Serviço</t>
        </is>
      </c>
      <c r="D335" t="inlineStr">
        <is>
          <t>Gerenciamento de Capacidade</t>
        </is>
      </c>
    </row>
    <row r="336">
      <c r="A336" t="inlineStr">
        <is>
          <t>2946</t>
        </is>
      </c>
      <c r="B336" t="inlineStr">
        <is>
          <t>Solicitação de Atualização das Ferramentas de Design</t>
        </is>
      </c>
      <c r="C336" t="inlineStr">
        <is>
          <t>Solicitação de Serviço</t>
        </is>
      </c>
      <c r="D336" t="inlineStr">
        <is>
          <t>Gerenciamento de Ativos de TI</t>
        </is>
      </c>
    </row>
    <row r="337">
      <c r="A337" t="inlineStr">
        <is>
          <t>2960</t>
        </is>
      </c>
      <c r="B337" t="inlineStr">
        <is>
          <t>Solicitação de Troca da Canon PIXMA MG3620</t>
        </is>
      </c>
      <c r="C337" t="inlineStr">
        <is>
          <t>Solicitação de Serviço</t>
        </is>
      </c>
      <c r="D337" t="inlineStr">
        <is>
          <t>Gerenciamento de Ativos de TI</t>
        </is>
      </c>
    </row>
    <row r="338">
      <c r="A338" t="inlineStr">
        <is>
          <t>2964</t>
        </is>
      </c>
      <c r="B338" t="inlineStr">
        <is>
          <t>Problema urgente com o teclado do Dell XPS 13</t>
        </is>
      </c>
      <c r="C338" t="inlineStr">
        <is>
          <t>Gerenciamento de Incidentes</t>
        </is>
      </c>
      <c r="D338" t="inlineStr">
        <is>
          <t>Gerenciamento de Ativos de TI</t>
        </is>
      </c>
    </row>
    <row r="339">
      <c r="A339" t="inlineStr">
        <is>
          <t>2967</t>
        </is>
      </c>
      <c r="B339" t="inlineStr">
        <is>
          <t>Problema de alta prioridade com a atualização do Jira</t>
        </is>
      </c>
      <c r="C339" t="inlineStr">
        <is>
          <t>Gerenciamento de Incidentes</t>
        </is>
      </c>
      <c r="D339" t="inlineStr">
        <is>
          <t>Gerenciamento de Problemas</t>
        </is>
      </c>
    </row>
    <row r="340">
      <c r="A340" t="inlineStr">
        <is>
          <t>2974</t>
        </is>
      </c>
      <c r="B340" t="inlineStr">
        <is>
          <t>Cobrado a mais pela assinatura do Microsoft Office 365</t>
        </is>
      </c>
      <c r="C340" t="inlineStr">
        <is>
          <t>Gerenciamento Financeiro</t>
        </is>
      </c>
      <c r="D340" t="inlineStr">
        <is>
          <t>Gerenciamento de Incidentes</t>
        </is>
      </c>
    </row>
    <row r="341">
      <c r="A341" t="inlineStr">
        <is>
          <t>2995</t>
        </is>
      </c>
      <c r="B341" t="inlineStr">
        <is>
          <t>Problema de Cobrança Incorreta Detectado</t>
        </is>
      </c>
      <c r="C341" t="inlineStr">
        <is>
          <t>Gerenciamento Financeiro</t>
        </is>
      </c>
      <c r="D341" t="inlineStr">
        <is>
          <t>Gerenciamento de Incidentes</t>
        </is>
      </c>
    </row>
    <row r="342">
      <c r="A342" t="inlineStr">
        <is>
          <t>3001</t>
        </is>
      </c>
      <c r="B342" t="inlineStr">
        <is>
          <t>Problemas com Atribuições Scrum do Jira</t>
        </is>
      </c>
      <c r="C342" t="inlineStr">
        <is>
          <t>Gerenciamento de Incidentes</t>
        </is>
      </c>
      <c r="D342" t="inlineStr">
        <is>
          <t>Gerenciamento de Problemas</t>
        </is>
      </c>
    </row>
    <row r="343">
      <c r="A343" t="inlineStr">
        <is>
          <t>3002</t>
        </is>
      </c>
      <c r="B343" t="inlineStr">
        <is>
          <t>Resposta imediata necessária: Problema no roteador Cisco ISR4331</t>
        </is>
      </c>
      <c r="C343" t="inlineStr">
        <is>
          <t>Gerenciamento de Incidentes</t>
        </is>
      </c>
      <c r="D343" t="inlineStr">
        <is>
          <t>Gerenciamento de Disponibilidade</t>
        </is>
      </c>
    </row>
    <row r="344">
      <c r="A344" t="inlineStr">
        <is>
          <t>3006</t>
        </is>
      </c>
      <c r="B344" t="inlineStr">
        <is>
          <t>Incidente de alta prioridade: Teclado com mal funcionamento no Surface Pro 7</t>
        </is>
      </c>
      <c r="C344" t="inlineStr">
        <is>
          <t>Gerenciamento de Incidentes</t>
        </is>
      </c>
      <c r="D344" t="inlineStr">
        <is>
          <t>Gerenciamento de Ativos de TI</t>
        </is>
      </c>
    </row>
    <row r="345">
      <c r="A345" t="inlineStr">
        <is>
          <t>3017</t>
        </is>
      </c>
      <c r="B345" t="inlineStr">
        <is>
          <t>Problema com Surface Pro 7 - Piscar de Tela</t>
        </is>
      </c>
      <c r="C345" t="inlineStr">
        <is>
          <t>Gerenciamento de Incidentes</t>
        </is>
      </c>
      <c r="D345" t="inlineStr">
        <is>
          <t>Gerenciamento de Ativos de TI</t>
        </is>
      </c>
    </row>
    <row r="346">
      <c r="A346" t="inlineStr">
        <is>
          <t>3021</t>
        </is>
      </c>
      <c r="B346" t="inlineStr">
        <is>
          <t>Solicitação de Atualização de Software</t>
        </is>
      </c>
      <c r="C346" t="inlineStr">
        <is>
          <t>Solicitação de Serviço</t>
        </is>
      </c>
      <c r="D346" t="inlineStr">
        <is>
          <t>Gerenciamento de Mudanças</t>
        </is>
      </c>
    </row>
    <row r="347">
      <c r="A347" t="inlineStr">
        <is>
          <t>3023</t>
        </is>
      </c>
      <c r="B347" t="inlineStr">
        <is>
          <t>Problema de Erro de Servidor</t>
        </is>
      </c>
      <c r="C347" t="inlineStr">
        <is>
          <t>Gerenciamento de Incidentes</t>
        </is>
      </c>
      <c r="D347" t="inlineStr">
        <is>
          <t>Gerenciamento de Problemas</t>
        </is>
      </c>
    </row>
    <row r="348">
      <c r="A348" t="inlineStr">
        <is>
          <t>3027</t>
        </is>
      </c>
      <c r="B348" t="inlineStr">
        <is>
          <t>Assistência com Atualização de Pagamento</t>
        </is>
      </c>
      <c r="C348" t="inlineStr">
        <is>
          <t>Solicitação de Serviço</t>
        </is>
      </c>
      <c r="D348" t="inlineStr">
        <is>
          <t>Gerenciamento Financeiro</t>
        </is>
      </c>
    </row>
    <row r="349">
      <c r="A349" t="inlineStr">
        <is>
          <t>3040</t>
        </is>
      </c>
      <c r="B349" t="inlineStr">
        <is>
          <t>Problemas de Conexão Durante a Implementação</t>
        </is>
      </c>
      <c r="C349" t="inlineStr">
        <is>
          <t>Gerenciamento de Incidentes</t>
        </is>
      </c>
      <c r="D349" t="inlineStr">
        <is>
          <t>Gerenciamento de Mudanças</t>
        </is>
      </c>
    </row>
    <row r="350">
      <c r="A350" t="inlineStr">
        <is>
          <t>3048</t>
        </is>
      </c>
      <c r="B350" t="inlineStr">
        <is>
          <t>Problema de Flickering na Tela do Dell XPS</t>
        </is>
      </c>
      <c r="C350" t="inlineStr">
        <is>
          <t>Gerenciamento de Incidentes</t>
        </is>
      </c>
      <c r="D350" t="inlineStr">
        <is>
          <t>Gerenciamento de Problemas</t>
        </is>
      </c>
    </row>
    <row r="351">
      <c r="A351" t="inlineStr">
        <is>
          <t>3056</t>
        </is>
      </c>
      <c r="B351" t="inlineStr">
        <is>
          <t>Problemas de Instalação com o Adobe Photoshop 2024</t>
        </is>
      </c>
      <c r="C351" t="inlineStr">
        <is>
          <t>Gerenciamento de Incidentes</t>
        </is>
      </c>
      <c r="D351" t="inlineStr">
        <is>
          <t>Gerenciamento de Problemas</t>
        </is>
      </c>
    </row>
    <row r="352">
      <c r="A352" t="inlineStr">
        <is>
          <t>3062</t>
        </is>
      </c>
      <c r="B352" t="inlineStr">
        <is>
          <t>Assistência Necessária: Problemas com HP DeskJet 3755 sem Fio</t>
        </is>
      </c>
      <c r="C352" t="inlineStr">
        <is>
          <t>Solicitação de Serviço</t>
        </is>
      </c>
      <c r="D352" t="inlineStr">
        <is>
          <t>Gerenciamento de Incidentes</t>
        </is>
      </c>
    </row>
    <row r="353">
      <c r="A353" t="inlineStr">
        <is>
          <t>3068</t>
        </is>
      </c>
      <c r="B353" t="inlineStr">
        <is>
          <t>Urgente: Problemas de Login Durante a Apresentação de Pré-vendas</t>
        </is>
      </c>
      <c r="C353" t="inlineStr">
        <is>
          <t>Gerenciamento de Incidentes</t>
        </is>
      </c>
      <c r="D353" t="inlineStr">
        <is>
          <t>Gerenciamento de Acesso</t>
        </is>
      </c>
    </row>
    <row r="354">
      <c r="A354" t="inlineStr">
        <is>
          <t>3071</t>
        </is>
      </c>
      <c r="B354" t="inlineStr">
        <is>
          <t>Solicitação de Troca para Canon PIXMA MG3620 Devido a Problemas de Qualidade de Impressão</t>
        </is>
      </c>
      <c r="C354" t="inlineStr">
        <is>
          <t>Solicitação de Serviço</t>
        </is>
      </c>
      <c r="D354" t="inlineStr">
        <is>
          <t>Gerenciamento de Ativos de TI</t>
        </is>
      </c>
    </row>
    <row r="355">
      <c r="A355" t="inlineStr">
        <is>
          <t>3073</t>
        </is>
      </c>
      <c r="B355" t="inlineStr">
        <is>
          <t>Assistência para Desempenho do Servidor</t>
        </is>
      </c>
      <c r="C355" t="inlineStr">
        <is>
          <t>Solicitação de Serviço</t>
        </is>
      </c>
      <c r="D355" t="inlineStr">
        <is>
          <t>Gerenciamento de Capacidade</t>
        </is>
      </c>
    </row>
    <row r="356">
      <c r="A356" t="inlineStr">
        <is>
          <t>3081</t>
        </is>
      </c>
      <c r="B356" t="inlineStr">
        <is>
          <t>Dificuldade com a impressora Canon PIXMA MG3620 adquirida na loja online</t>
        </is>
      </c>
      <c r="C356" t="inlineStr">
        <is>
          <t>Gerenciamento de Incidentes</t>
        </is>
      </c>
      <c r="D356" t="inlineStr">
        <is>
          <t>Gerenciamento de Problemas</t>
        </is>
      </c>
    </row>
    <row r="357">
      <c r="A357" t="inlineStr">
        <is>
          <t>3105</t>
        </is>
      </c>
      <c r="B357" t="inlineStr">
        <is>
          <t>Consulta sobre a Configuração do Sistema de Tickets</t>
        </is>
      </c>
      <c r="C357" t="inlineStr">
        <is>
          <t>Solicitação de Serviço</t>
        </is>
      </c>
      <c r="D357" t="inlineStr">
        <is>
          <t>Gerenciamento de Nível de Serviço</t>
        </is>
      </c>
    </row>
    <row r="358">
      <c r="A358" t="inlineStr">
        <is>
          <t>3120</t>
        </is>
      </c>
      <c r="B358" t="inlineStr">
        <is>
          <t>Pedido de Esclarecimento sobre as Taxas de Renovação Anual</t>
        </is>
      </c>
      <c r="C358" t="inlineStr">
        <is>
          <t>Gerenciamento Financeiro</t>
        </is>
      </c>
      <c r="D358" t="inlineStr">
        <is>
          <t>Gerenciamento de Nível de Serviço</t>
        </is>
      </c>
    </row>
    <row r="359">
      <c r="A359" t="inlineStr">
        <is>
          <t>3123</t>
        </is>
      </c>
      <c r="B359" t="inlineStr">
        <is>
          <t>Problema Urgente no Servidor</t>
        </is>
      </c>
      <c r="C359" t="inlineStr">
        <is>
          <t>Gerenciamento de Incidentes</t>
        </is>
      </c>
      <c r="D359" t="inlineStr">
        <is>
          <t>Gerenciamento de Disponibilidade</t>
        </is>
      </c>
    </row>
    <row r="360">
      <c r="A360" t="inlineStr">
        <is>
          <t>3126</t>
        </is>
      </c>
      <c r="B360" t="inlineStr">
        <is>
          <t>Solicitação de Modificação de Configuração do AWS</t>
        </is>
      </c>
      <c r="C360" t="inlineStr">
        <is>
          <t>Solicitação de Serviço</t>
        </is>
      </c>
      <c r="D360" t="inlineStr">
        <is>
          <t>Gerenciamento Financeiro</t>
        </is>
      </c>
    </row>
    <row r="361">
      <c r="A361" t="inlineStr">
        <is>
          <t>3127</t>
        </is>
      </c>
      <c r="B361" t="inlineStr">
        <is>
          <t>Problema no Sistema de Bilhetagem: Tempos de Resposta Atrasados no Jira</t>
        </is>
      </c>
      <c r="C361" t="inlineStr">
        <is>
          <t>Gerenciamento de Incidentes</t>
        </is>
      </c>
      <c r="D361" t="inlineStr">
        <is>
          <t>Gerenciamento de Capacidade</t>
        </is>
      </c>
    </row>
    <row r="362">
      <c r="A362" t="inlineStr">
        <is>
          <t>3138</t>
        </is>
      </c>
      <c r="B362" t="inlineStr">
        <is>
          <t>Consulta sobre Serviço de Consultoria em TI</t>
        </is>
      </c>
      <c r="C362" t="inlineStr">
        <is>
          <t>Solicitação de Serviço</t>
        </is>
      </c>
      <c r="D362" t="inlineStr">
        <is>
          <t>Gerenciamento de Nível de Serviço</t>
        </is>
      </c>
    </row>
    <row r="363">
      <c r="A363" t="inlineStr">
        <is>
          <t>3145</t>
        </is>
      </c>
      <c r="B363" t="inlineStr">
        <is>
          <t>Urgente: Problemas de Conexão com PostgreSQL</t>
        </is>
      </c>
      <c r="C363" t="inlineStr">
        <is>
          <t>Gerenciamento de Incidentes</t>
        </is>
      </c>
      <c r="D363" t="inlineStr">
        <is>
          <t>Gerenciamento de Disponibilidade</t>
        </is>
      </c>
    </row>
    <row r="364">
      <c r="A364" t="inlineStr">
        <is>
          <t>3151</t>
        </is>
      </c>
      <c r="B364" t="inlineStr">
        <is>
          <t>Problema de bateria com o Dell XPS 13</t>
        </is>
      </c>
      <c r="C364" t="inlineStr">
        <is>
          <t>Gerenciamento de Incidentes</t>
        </is>
      </c>
      <c r="D364" t="inlineStr">
        <is>
          <t>Gerenciamento de Ativos de TI</t>
        </is>
      </c>
    </row>
    <row r="365">
      <c r="A365" t="inlineStr">
        <is>
          <t>3157</t>
        </is>
      </c>
      <c r="B365" t="inlineStr">
        <is>
          <t>Inatividade do Servidor Requer Atenção Imediata</t>
        </is>
      </c>
      <c r="C365" t="inlineStr">
        <is>
          <t>Gerenciamento de Incidentes</t>
        </is>
      </c>
      <c r="D365" t="inlineStr">
        <is>
          <t>Gerenciamento de Disponibilidade</t>
        </is>
      </c>
    </row>
    <row r="366">
      <c r="A366" t="inlineStr">
        <is>
          <t>3167</t>
        </is>
      </c>
      <c r="B366" t="inlineStr">
        <is>
          <t>Consulta sobre Upgrade do Dell XPS 13 9310</t>
        </is>
      </c>
      <c r="C366" t="inlineStr">
        <is>
          <t>Solicitação de Serviço</t>
        </is>
      </c>
      <c r="D366" t="inlineStr">
        <is>
          <t>Gerenciamento de Ativos de TI</t>
        </is>
      </c>
    </row>
    <row r="367">
      <c r="A367" t="inlineStr">
        <is>
          <t>3171</t>
        </is>
      </c>
      <c r="B367" t="inlineStr">
        <is>
          <t>Urgente: Suporte para Roteador com Mau Funcionamento</t>
        </is>
      </c>
      <c r="C367" t="inlineStr">
        <is>
          <t>Gerenciamento de Incidentes</t>
        </is>
      </c>
      <c r="D367" t="inlineStr">
        <is>
          <t>Gerenciamento de Mudanças</t>
        </is>
      </c>
    </row>
    <row r="368">
      <c r="A368" t="inlineStr">
        <is>
          <t>3174</t>
        </is>
      </c>
      <c r="B368" t="inlineStr">
        <is>
          <t>Solicitação para Habilitar o Quadro Scrum no Jira Software</t>
        </is>
      </c>
      <c r="C368" t="inlineStr">
        <is>
          <t>Solicitação de Serviço</t>
        </is>
      </c>
      <c r="D368" t="inlineStr">
        <is>
          <t>Gerenciamento de Mudanças</t>
        </is>
      </c>
    </row>
    <row r="369">
      <c r="A369" t="inlineStr">
        <is>
          <t>3175</t>
        </is>
      </c>
      <c r="B369" t="inlineStr">
        <is>
          <t>Assistência com Configuração do AWS EC2</t>
        </is>
      </c>
      <c r="C369" t="inlineStr">
        <is>
          <t>Gerenciamento de Incidentes</t>
        </is>
      </c>
      <c r="D369" t="inlineStr">
        <is>
          <t>Gerenciamento de Problemas</t>
        </is>
      </c>
    </row>
    <row r="370">
      <c r="A370" t="inlineStr">
        <is>
          <t>3188</t>
        </is>
      </c>
      <c r="B370" t="inlineStr">
        <is>
          <t>Solicitação de Mudança na Estratégia de TI</t>
        </is>
      </c>
      <c r="C370" t="inlineStr">
        <is>
          <t>Solicitação de Serviço</t>
        </is>
      </c>
      <c r="D370" t="inlineStr">
        <is>
          <t>Gerenciamento de Mudanças</t>
        </is>
      </c>
    </row>
    <row r="371">
      <c r="A371" t="inlineStr">
        <is>
          <t>3198</t>
        </is>
      </c>
      <c r="B371" t="inlineStr">
        <is>
          <t>Problemas com Chamadas no Zoom</t>
        </is>
      </c>
      <c r="C371" t="inlineStr">
        <is>
          <t>Gerenciamento de Incidentes</t>
        </is>
      </c>
      <c r="D371" t="inlineStr">
        <is>
          <t>Gerenciamento de Problemas</t>
        </is>
      </c>
    </row>
    <row r="372">
      <c r="A372" t="inlineStr">
        <is>
          <t>3214</t>
        </is>
      </c>
      <c r="B372" t="inlineStr">
        <is>
          <t>Problema Urgente: Jira Software 8.20 Falhando ao Inicializar</t>
        </is>
      </c>
      <c r="C372" t="inlineStr">
        <is>
          <t>Gerenciamento de Incidentes</t>
        </is>
      </c>
      <c r="D372" t="inlineStr">
        <is>
          <t>Gerenciamento de Disponibilidade</t>
        </is>
      </c>
    </row>
    <row r="373">
      <c r="A373" t="inlineStr">
        <is>
          <t>3216</t>
        </is>
      </c>
      <c r="B373" t="inlineStr">
        <is>
          <t>Experienciando Problemas Frequentes de Conexão no Zoom</t>
        </is>
      </c>
      <c r="C373" t="inlineStr">
        <is>
          <t>Gerenciamento de Incidentes</t>
        </is>
      </c>
      <c r="D373" t="inlineStr">
        <is>
          <t>Gerenciamento de Problemas</t>
        </is>
      </c>
    </row>
    <row r="374">
      <c r="A374" t="inlineStr">
        <is>
          <t>3247</t>
        </is>
      </c>
      <c r="B374" t="inlineStr">
        <is>
          <t>Urgente: Problema de Acesso ao Google Workspace Após a Migração</t>
        </is>
      </c>
      <c r="C374" t="inlineStr">
        <is>
          <t>Gerenciamento de Incidentes</t>
        </is>
      </c>
      <c r="D374" t="inlineStr">
        <is>
          <t>Gerenciamento de Acesso</t>
        </is>
      </c>
    </row>
    <row r="375">
      <c r="A375" t="inlineStr">
        <is>
          <t>3248</t>
        </is>
      </c>
      <c r="B375" t="inlineStr">
        <is>
          <t>Suporte Urgente Necessário: Problemas com a Bateria do MacBook Air M1</t>
        </is>
      </c>
      <c r="C375" t="inlineStr">
        <is>
          <t>Gerenciamento de Incidentes</t>
        </is>
      </c>
      <c r="D375" t="inlineStr">
        <is>
          <t>Gerenciamento de Ativos de TI</t>
        </is>
      </c>
    </row>
    <row r="376">
      <c r="A376" t="inlineStr">
        <is>
          <t>3253</t>
        </is>
      </c>
      <c r="B376" t="inlineStr">
        <is>
          <t>Ajuda Urgente Necessária Relativamente à Compra Recente</t>
        </is>
      </c>
      <c r="C376" t="inlineStr">
        <is>
          <t>Solicitação de Serviço</t>
        </is>
      </c>
      <c r="D376" t="inlineStr">
        <is>
          <t>Gerenciamento de Ativos de TI</t>
        </is>
      </c>
    </row>
    <row r="377">
      <c r="A377" t="inlineStr">
        <is>
          <t>3255</t>
        </is>
      </c>
      <c r="B377" t="inlineStr">
        <is>
          <t>Problema com Cobrança em Duplicidade</t>
        </is>
      </c>
      <c r="C377" t="inlineStr">
        <is>
          <t>Gerenciamento Financeiro</t>
        </is>
      </c>
      <c r="D377" t="inlineStr">
        <is>
          <t>Gerenciamento de Incidentes</t>
        </is>
      </c>
    </row>
    <row r="378">
      <c r="A378" t="inlineStr">
        <is>
          <t>3258</t>
        </is>
      </c>
      <c r="B378" t="inlineStr">
        <is>
          <t>Solicitação de Assistência Imediata com Laptop Dell</t>
        </is>
      </c>
      <c r="C378" t="inlineStr">
        <is>
          <t>Gerenciamento de Incidentes</t>
        </is>
      </c>
      <c r="D378" t="inlineStr">
        <is>
          <t>Gerenciamento de Ativos de TI</t>
        </is>
      </c>
    </row>
    <row r="379">
      <c r="A379" t="inlineStr">
        <is>
          <t>3263</t>
        </is>
      </c>
      <c r="B379" t="inlineStr">
        <is>
          <t>Urgente: Problemas de Instalação do Adobe Photoshop 2024</t>
        </is>
      </c>
      <c r="C379" t="inlineStr">
        <is>
          <t>Gerenciamento de Incidentes</t>
        </is>
      </c>
      <c r="D379" t="inlineStr">
        <is>
          <t>Gerenciamento de Problemas</t>
        </is>
      </c>
    </row>
    <row r="380">
      <c r="A380" t="inlineStr">
        <is>
          <t>3277</t>
        </is>
      </c>
      <c r="B380" t="inlineStr">
        <is>
          <t>Problemas de Conectividade com a Impressora HP DeskJet 3755</t>
        </is>
      </c>
      <c r="C380" t="inlineStr">
        <is>
          <t>Gerenciamento de Incidentes</t>
        </is>
      </c>
      <c r="D380" t="inlineStr">
        <is>
          <t>Gerenciamento de Problemas</t>
        </is>
      </c>
    </row>
    <row r="381">
      <c r="A381" t="inlineStr">
        <is>
          <t>3296</t>
        </is>
      </c>
      <c r="B381" t="inlineStr">
        <is>
          <t>Urgente: Problema de Interrupção do Serviço de Gerenciamento da AWS</t>
        </is>
      </c>
      <c r="C381" t="inlineStr">
        <is>
          <t>Gerenciamento de Incidentes</t>
        </is>
      </c>
      <c r="D381" t="inlineStr">
        <is>
          <t>Gerenciamento de Mudanças</t>
        </is>
      </c>
    </row>
    <row r="382">
      <c r="A382" t="inlineStr">
        <is>
          <t>3308</t>
        </is>
      </c>
      <c r="B382" t="inlineStr">
        <is>
          <t>Urgente: Problema de Infraestrutura da AWS</t>
        </is>
      </c>
      <c r="C382" t="inlineStr">
        <is>
          <t>Gerenciamento de Incidentes</t>
        </is>
      </c>
      <c r="D382" t="inlineStr">
        <is>
          <t>Gerenciamento Financeiro</t>
        </is>
      </c>
    </row>
    <row r="383">
      <c r="A383" t="inlineStr">
        <is>
          <t>3313</t>
        </is>
      </c>
      <c r="B383" t="inlineStr">
        <is>
          <t>Ajuda Imediata Necessária: Dificuldades com o Zoom</t>
        </is>
      </c>
      <c r="C383" t="inlineStr">
        <is>
          <t>Solicitação de Serviço</t>
        </is>
      </c>
      <c r="D383" t="inlineStr">
        <is>
          <t>Gerenciamento de Incidentes</t>
        </is>
      </c>
    </row>
    <row r="384">
      <c r="A384" t="inlineStr">
        <is>
          <t>3314</t>
        </is>
      </c>
      <c r="B384" t="inlineStr">
        <is>
          <t>Urgente: Problemas de Conectividade com Impressão Sem Fio</t>
        </is>
      </c>
      <c r="C384" t="inlineStr">
        <is>
          <t>Gerenciamento de Incidentes</t>
        </is>
      </c>
      <c r="D384" t="inlineStr">
        <is>
          <t>Gerenciamento de Problemas</t>
        </is>
      </c>
    </row>
    <row r="385">
      <c r="A385" t="inlineStr">
        <is>
          <t>3318</t>
        </is>
      </c>
      <c r="B385" t="inlineStr">
        <is>
          <t>Assistência Urgente Necessária: Falha na Implantação do AWS em Serviços de Nuvem</t>
        </is>
      </c>
      <c r="C385" t="inlineStr">
        <is>
          <t>Gerenciamento de Incidentes</t>
        </is>
      </c>
      <c r="D385" t="inlineStr">
        <is>
          <t>Gerenciamento de Mudanças</t>
        </is>
      </c>
    </row>
    <row r="386">
      <c r="A386" t="inlineStr">
        <is>
          <t>3319</t>
        </is>
      </c>
      <c r="B386" t="inlineStr">
        <is>
          <t>Problemas com Extensões do Navegador na Atualização do Chrome 102.0</t>
        </is>
      </c>
      <c r="C386" t="inlineStr">
        <is>
          <t>Gerenciamento de Incidentes</t>
        </is>
      </c>
      <c r="D386" t="inlineStr">
        <is>
          <t>Gerenciamento de Problemas</t>
        </is>
      </c>
    </row>
    <row r="387">
      <c r="A387" t="inlineStr">
        <is>
          <t>3324</t>
        </is>
      </c>
      <c r="B387" t="inlineStr">
        <is>
          <t>Problemas de Login com a Atualização do Jira Software 8.20</t>
        </is>
      </c>
      <c r="C387" t="inlineStr">
        <is>
          <t>Gerenciamento de Incidentes</t>
        </is>
      </c>
      <c r="D387" t="inlineStr">
        <is>
          <t>Gerenciamento de Acesso</t>
        </is>
      </c>
    </row>
    <row r="388">
      <c r="A388" t="inlineStr">
        <is>
          <t>3327</t>
        </is>
      </c>
      <c r="B388" t="inlineStr">
        <is>
          <t>Situação Crítica de Interrupção do Servidor</t>
        </is>
      </c>
      <c r="C388" t="inlineStr">
        <is>
          <t>Gerenciamento de Incidentes</t>
        </is>
      </c>
      <c r="D388" t="inlineStr">
        <is>
          <t>Gerenciamento de Disponibilidade</t>
        </is>
      </c>
    </row>
    <row r="389">
      <c r="A389" t="inlineStr">
        <is>
          <t>3329</t>
        </is>
      </c>
      <c r="B389" t="inlineStr">
        <is>
          <t>Urgente: Assistência Necessária para Inatividade do Serviço AWS</t>
        </is>
      </c>
      <c r="C389" t="inlineStr">
        <is>
          <t>Gerenciamento de Incidentes</t>
        </is>
      </c>
      <c r="D389" t="inlineStr">
        <is>
          <t>Gerenciamento de Disponibilidade</t>
        </is>
      </c>
    </row>
    <row r="390">
      <c r="A390" t="inlineStr">
        <is>
          <t>3341</t>
        </is>
      </c>
      <c r="B390" t="inlineStr">
        <is>
          <t>Solicitação de Substituição Imediata da Bateria Com Problema do MacBook Air M1</t>
        </is>
      </c>
      <c r="C390" t="inlineStr">
        <is>
          <t>Solicitação de Serviço</t>
        </is>
      </c>
      <c r="D390" t="inlineStr">
        <is>
          <t>Gerenciamento de Ativos de TI</t>
        </is>
      </c>
    </row>
    <row r="391">
      <c r="A391" t="inlineStr">
        <is>
          <t>3346</t>
        </is>
      </c>
      <c r="B391" t="inlineStr">
        <is>
          <t>Urgente: Problema na Atualização do Norton Antivirus Plus Requer Resolução Imediata</t>
        </is>
      </c>
      <c r="C391" t="inlineStr">
        <is>
          <t>Gerenciamento de Incidentes</t>
        </is>
      </c>
      <c r="D391" t="inlineStr">
        <is>
          <t>Gerenciamento de Problemas</t>
        </is>
      </c>
    </row>
    <row r="392">
      <c r="A392" t="inlineStr">
        <is>
          <t>3352</t>
        </is>
      </c>
      <c r="B392" t="inlineStr">
        <is>
          <t>Suporte AWS Urgente Necessário</t>
        </is>
      </c>
      <c r="C392" t="inlineStr">
        <is>
          <t>Solicitação de Serviço</t>
        </is>
      </c>
      <c r="D392" t="inlineStr">
        <is>
          <t>Gerenciamento Financeiro</t>
        </is>
      </c>
    </row>
    <row r="393">
      <c r="A393" t="inlineStr">
        <is>
          <t>3355</t>
        </is>
      </c>
      <c r="B393" t="inlineStr">
        <is>
          <t>Urgente: Erro 403 no Acesso ao Console de Gerenciamento da AWS</t>
        </is>
      </c>
      <c r="C393" t="inlineStr">
        <is>
          <t>Gerenciamento de Incidentes</t>
        </is>
      </c>
      <c r="D393" t="inlineStr">
        <is>
          <t>Gerenciamento de Acesso</t>
        </is>
      </c>
    </row>
    <row r="394">
      <c r="A394" t="inlineStr">
        <is>
          <t>3356</t>
        </is>
      </c>
      <c r="B394" t="inlineStr">
        <is>
          <t>Solicitação de Assistência: Problema na Configuração sem Fio da Impressora HP</t>
        </is>
      </c>
      <c r="C394" t="inlineStr">
        <is>
          <t>Solicitação de Serviço</t>
        </is>
      </c>
      <c r="D394" t="inlineStr">
        <is>
          <t>Gerenciamento de Incidentes</t>
        </is>
      </c>
    </row>
    <row r="395">
      <c r="A395" t="inlineStr">
        <is>
          <t>3361</t>
        </is>
      </c>
      <c r="B395" t="inlineStr">
        <is>
          <t>Assistência Urgente Necessária para Otimização e Atualizações de TI</t>
        </is>
      </c>
      <c r="C395" t="inlineStr">
        <is>
          <t>Solicitação de Serviço</t>
        </is>
      </c>
      <c r="D395" t="inlineStr">
        <is>
          <t>Gerenciamento de Nível de Serviço</t>
        </is>
      </c>
    </row>
    <row r="396">
      <c r="A396" t="inlineStr">
        <is>
          <t>3389</t>
        </is>
      </c>
      <c r="B396" t="inlineStr">
        <is>
          <t>Resposta imediata necessária: problema com o roteador Cisco ISR4331</t>
        </is>
      </c>
      <c r="C396" t="inlineStr">
        <is>
          <t>Gerenciamento de Incidentes</t>
        </is>
      </c>
      <c r="D396" t="inlineStr">
        <is>
          <t>Gerenciamento de Disponibilidade</t>
        </is>
      </c>
    </row>
    <row r="397">
      <c r="A397" t="inlineStr">
        <is>
          <t>3398</t>
        </is>
      </c>
      <c r="B397" t="inlineStr">
        <is>
          <t>Solicitação de Suporte para o Roteador Cisco ISR4331</t>
        </is>
      </c>
      <c r="C397" t="inlineStr">
        <is>
          <t>Solicitação de Serviço</t>
        </is>
      </c>
      <c r="D397" t="inlineStr">
        <is>
          <t>Gerenciamento de Problemas</t>
        </is>
      </c>
    </row>
    <row r="398">
      <c r="A398" t="inlineStr">
        <is>
          <t>3404</t>
        </is>
      </c>
      <c r="B398" t="inlineStr">
        <is>
          <t>Problema com Anexo do Ticket</t>
        </is>
      </c>
      <c r="C398" t="inlineStr">
        <is>
          <t>Gerenciamento de Incidentes</t>
        </is>
      </c>
      <c r="D398" t="inlineStr">
        <is>
          <t>Gerenciamento de Problemas</t>
        </is>
      </c>
    </row>
    <row r="399">
      <c r="A399" t="inlineStr">
        <is>
          <t>3405</t>
        </is>
      </c>
      <c r="B399" t="inlineStr">
        <is>
          <t>Consulta sobre Discrepância de Cobrança</t>
        </is>
      </c>
      <c r="C399" t="inlineStr">
        <is>
          <t>Gerenciamento Financeiro</t>
        </is>
      </c>
      <c r="D399" t="inlineStr">
        <is>
          <t>Gerenciamento de Incidentes</t>
        </is>
      </c>
    </row>
    <row r="400">
      <c r="A400" t="inlineStr">
        <is>
          <t>3407</t>
        </is>
      </c>
      <c r="B400" t="inlineStr">
        <is>
          <t>Urgente: Retificação Necessária para Cobranças de Faturamento Incorretas</t>
        </is>
      </c>
      <c r="C400" t="inlineStr">
        <is>
          <t>Gerenciamento Financeiro</t>
        </is>
      </c>
      <c r="D400" t="inlineStr">
        <is>
          <t>Gerenciamento de Incidentes</t>
        </is>
      </c>
    </row>
    <row r="401">
      <c r="A401" t="inlineStr">
        <is>
          <t>3412</t>
        </is>
      </c>
      <c r="B401" t="inlineStr">
        <is>
          <t>Investigação sobre Discrepância na Cobrança da AWS</t>
        </is>
      </c>
      <c r="C401" t="inlineStr">
        <is>
          <t>Gerenciamento Financeiro</t>
        </is>
      </c>
      <c r="D401" t="inlineStr">
        <is>
          <t>Gerenciamento de Incidentes</t>
        </is>
      </c>
    </row>
    <row r="402">
      <c r="A402" t="inlineStr">
        <is>
          <t>3426</t>
        </is>
      </c>
      <c r="B402" t="inlineStr">
        <is>
          <t>Consulta sobre os Recursos do MacBook Air M1</t>
        </is>
      </c>
      <c r="C402" t="inlineStr">
        <is>
          <t>Solicitação de Serviço</t>
        </is>
      </c>
      <c r="D402" t="inlineStr">
        <is>
          <t>Gerenciamento de Ativos de TI</t>
        </is>
      </c>
    </row>
    <row r="403">
      <c r="A403" t="inlineStr">
        <is>
          <t>3430</t>
        </is>
      </c>
      <c r="B403" t="inlineStr">
        <is>
          <t>Ajuda Imediata Requerida</t>
        </is>
      </c>
      <c r="C403" t="inlineStr">
        <is>
          <t>Solicitação de Serviço</t>
        </is>
      </c>
      <c r="D403" t="inlineStr">
        <is>
          <t>Gerenciamento de Nível de Serviço</t>
        </is>
      </c>
    </row>
    <row r="404">
      <c r="A404" t="inlineStr">
        <is>
          <t>3442</t>
        </is>
      </c>
      <c r="B404" t="inlineStr">
        <is>
          <t>Cliente mencionou a ausência de um acessório no pedido do Lenovo IdeaPad 5. Solicitação de assistência urgente para resolver a questão.</t>
        </is>
      </c>
      <c r="C404" t="inlineStr">
        <is>
          <t>Solicitação de Serviço</t>
        </is>
      </c>
      <c r="D404" t="inlineStr">
        <is>
          <t>Gerenciamento de Ativos de TI</t>
        </is>
      </c>
    </row>
    <row r="405">
      <c r="A405" t="inlineStr">
        <is>
          <t>3443</t>
        </is>
      </c>
      <c r="B405" t="inlineStr">
        <is>
          <t>Urgente: Atraso na Entrega</t>
        </is>
      </c>
      <c r="C405" t="inlineStr">
        <is>
          <t>Gerenciamento de Incidentes</t>
        </is>
      </c>
      <c r="D405" t="inlineStr">
        <is>
          <t>Gerenciamento de Ativos de TI</t>
        </is>
      </c>
    </row>
    <row r="406">
      <c r="A406" t="inlineStr">
        <is>
          <t>3450</t>
        </is>
      </c>
      <c r="B406" t="inlineStr">
        <is>
          <t>Urgente: Assistência ao Cliente Requerida—Problema com Atraso na Entrega da Minha Compra do MacBook Air M1</t>
        </is>
      </c>
      <c r="C406" t="inlineStr">
        <is>
          <t>Gerenciamento de Incidentes</t>
        </is>
      </c>
      <c r="D406" t="inlineStr">
        <is>
          <t>Gerenciamento de Ativos de TI</t>
        </is>
      </c>
    </row>
    <row r="407">
      <c r="A407" t="inlineStr">
        <is>
          <t>3453</t>
        </is>
      </c>
      <c r="B407" t="inlineStr">
        <is>
          <t>Questão de Atraso na Entrega do Pedido &lt;acc_num&gt;</t>
        </is>
      </c>
      <c r="C407" t="inlineStr">
        <is>
          <t>Gerenciamento de Incidentes</t>
        </is>
      </c>
      <c r="D407" t="inlineStr">
        <is>
          <t>Gerenciamento de Ativos de TI</t>
        </is>
      </c>
    </row>
    <row r="408">
      <c r="A408" t="inlineStr">
        <is>
          <t>3461</t>
        </is>
      </c>
      <c r="B408" t="inlineStr">
        <is>
          <t>Solicitação de Otimização de Custos da AWS</t>
        </is>
      </c>
      <c r="C408" t="inlineStr">
        <is>
          <t>Solicitação de Serviço</t>
        </is>
      </c>
      <c r="D408" t="inlineStr">
        <is>
          <t>Gerenciamento Financeiro</t>
        </is>
      </c>
    </row>
    <row r="409">
      <c r="A409" t="inlineStr">
        <is>
          <t>3471</t>
        </is>
      </c>
      <c r="B409" t="inlineStr">
        <is>
          <t>Consulta sobre Serviços de Consultoria em TI</t>
        </is>
      </c>
      <c r="C409" t="inlineStr">
        <is>
          <t>Solicitação de Serviço</t>
        </is>
      </c>
      <c r="D409" t="inlineStr">
        <is>
          <t>Gerenciamento de Nível de Serviço</t>
        </is>
      </c>
    </row>
    <row r="410">
      <c r="A410" t="inlineStr">
        <is>
          <t>3475</t>
        </is>
      </c>
      <c r="B410" t="inlineStr">
        <is>
          <t>Assistência Urgente Necessária: Interrupção do Serviço AWS</t>
        </is>
      </c>
      <c r="C410" t="inlineStr">
        <is>
          <t>Gerenciamento de Incidentes</t>
        </is>
      </c>
      <c r="D410" t="inlineStr">
        <is>
          <t>Gerenciamento de Disponibilidade</t>
        </is>
      </c>
    </row>
    <row r="411">
      <c r="A411" t="inlineStr">
        <is>
          <t>3479</t>
        </is>
      </c>
      <c r="B411" t="inlineStr">
        <is>
          <t>Solicitação de Especificações e Personalização do MacBook Air M1</t>
        </is>
      </c>
      <c r="C411" t="inlineStr">
        <is>
          <t>Solicitação de Serviço</t>
        </is>
      </c>
      <c r="D411" t="inlineStr">
        <is>
          <t>Gerenciamento de Ativos de TI</t>
        </is>
      </c>
    </row>
    <row r="412">
      <c r="A412" t="inlineStr">
        <is>
          <t>3490</t>
        </is>
      </c>
      <c r="B412" t="inlineStr">
        <is>
          <t>Solicitação de Troca Devida a Problemas de Flickering no LG OLED C1</t>
        </is>
      </c>
      <c r="C412" t="inlineStr">
        <is>
          <t>Solicitação de Serviço</t>
        </is>
      </c>
      <c r="D412" t="inlineStr">
        <is>
          <t>Gerenciamento de Ativos de TI</t>
        </is>
      </c>
    </row>
    <row r="413">
      <c r="A413" t="inlineStr">
        <is>
          <t>3492</t>
        </is>
      </c>
      <c r="B413" t="inlineStr">
        <is>
          <t>Assistência Urgente Necessária: Queda do Servidor MySQL</t>
        </is>
      </c>
      <c r="C413" t="inlineStr">
        <is>
          <t>Gerenciamento de Incidentes</t>
        </is>
      </c>
      <c r="D413" t="inlineStr">
        <is>
          <t>Gerenciamento de Disponibilidade</t>
        </is>
      </c>
    </row>
    <row r="414">
      <c r="A414" t="inlineStr">
        <is>
          <t>3499</t>
        </is>
      </c>
      <c r="B414" t="inlineStr">
        <is>
          <t>Problema com Falha de Pagamento para Assinatura do Microsoft Office 365</t>
        </is>
      </c>
      <c r="C414" t="inlineStr">
        <is>
          <t>Gerenciamento Financeiro</t>
        </is>
      </c>
      <c r="D414" t="inlineStr">
        <is>
          <t>Gerenciamento de Incidentes</t>
        </is>
      </c>
    </row>
    <row r="415">
      <c r="A415" t="inlineStr">
        <is>
          <t>3505</t>
        </is>
      </c>
      <c r="B415" t="inlineStr">
        <is>
          <t>Urgente: Problema de desligamento inesperado com MacBook Air M1</t>
        </is>
      </c>
      <c r="C415" t="inlineStr">
        <is>
          <t>Gerenciamento de Incidentes</t>
        </is>
      </c>
      <c r="D415" t="inlineStr">
        <is>
          <t>Gerenciamento de Ativos de TI</t>
        </is>
      </c>
    </row>
    <row r="416">
      <c r="A416" t="inlineStr">
        <is>
          <t>3514</t>
        </is>
      </c>
      <c r="B416" t="inlineStr">
        <is>
          <t>Incidente de alta prioridade</t>
        </is>
      </c>
      <c r="C416" t="inlineStr">
        <is>
          <t>Gerenciamento de Incidentes</t>
        </is>
      </c>
      <c r="D416" t="inlineStr">
        <is>
          <t>Gerenciamento de Problemas</t>
        </is>
      </c>
    </row>
    <row r="417">
      <c r="A417" t="inlineStr">
        <is>
          <t>3517</t>
        </is>
      </c>
      <c r="B417" t="inlineStr">
        <is>
          <t>Urgente: Interrupção de Serviço da AWS</t>
        </is>
      </c>
      <c r="C417" t="inlineStr">
        <is>
          <t>Gerenciamento de Incidentes</t>
        </is>
      </c>
      <c r="D417" t="inlineStr">
        <is>
          <t>Gerenciamento de Disponibilidade</t>
        </is>
      </c>
    </row>
    <row r="418">
      <c r="A418" t="inlineStr">
        <is>
          <t>3522</t>
        </is>
      </c>
      <c r="B418" t="inlineStr">
        <is>
          <t>Problema de Cobrança: Cobranças Incorretas na Assinatura</t>
        </is>
      </c>
      <c r="C418" t="inlineStr">
        <is>
          <t>Gerenciamento Financeiro</t>
        </is>
      </c>
      <c r="D418" t="inlineStr">
        <is>
          <t>Gerenciamento de Incidentes</t>
        </is>
      </c>
    </row>
    <row r="419">
      <c r="A419" t="inlineStr">
        <is>
          <t>3528</t>
        </is>
      </c>
      <c r="B419" t="inlineStr">
        <is>
          <t>Assistência Necessária para Problema de Tela do Dell XPS 13</t>
        </is>
      </c>
      <c r="C419" t="inlineStr">
        <is>
          <t>Gerenciamento de Incidentes</t>
        </is>
      </c>
      <c r="D419" t="inlineStr">
        <is>
          <t>Gerenciamento de Problemas</t>
        </is>
      </c>
    </row>
    <row r="420">
      <c r="A420" t="inlineStr">
        <is>
          <t>3530</t>
        </is>
      </c>
      <c r="B420" t="inlineStr">
        <is>
          <t>Problemas com a impressora HP DeskJet 3755</t>
        </is>
      </c>
      <c r="C420" t="inlineStr">
        <is>
          <t>Gerenciamento de Incidentes</t>
        </is>
      </c>
      <c r="D420" t="inlineStr">
        <is>
          <t>Gerenciamento de Problemas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20"/>
  <sheetViews>
    <sheetView workbookViewId="0">
      <selection activeCell="E3" sqref="E3"/>
    </sheetView>
  </sheetViews>
  <sheetFormatPr baseColWidth="8" defaultRowHeight="15"/>
  <cols>
    <col width="10" bestFit="1" customWidth="1" min="1" max="1"/>
    <col width="22.42578125" customWidth="1" style="3" min="2" max="2"/>
    <col width="45.5703125" customWidth="1" style="3" min="3" max="3"/>
    <col width="59.140625" customWidth="1" style="3" min="4" max="4"/>
    <col width="40.85546875" bestFit="1" customWidth="1" style="3" min="5" max="5"/>
    <col width="33.7109375" bestFit="1" customWidth="1" style="3" min="6" max="6"/>
    <col width="32.85546875" bestFit="1" customWidth="1" style="3" min="7" max="7"/>
    <col width="40.85546875" bestFit="1" customWidth="1" min="8" max="8"/>
    <col width="45.140625" bestFit="1" customWidth="1" min="9" max="9"/>
    <col width="23.140625" customWidth="1" min="10" max="10"/>
    <col width="45.140625" bestFit="1" customWidth="1" min="11" max="12"/>
    <col width="22.7109375" bestFit="1" customWidth="1" min="13" max="13"/>
    <col width="45" bestFit="1" customWidth="1" min="14" max="15"/>
    <col width="32.85546875" bestFit="1" customWidth="1" min="16" max="16"/>
    <col width="40.85546875" bestFit="1" customWidth="1" min="17" max="17"/>
    <col width="117" bestFit="1" customWidth="1" min="18" max="18"/>
    <col width="29.7109375" bestFit="1" customWidth="1" min="19" max="19"/>
  </cols>
  <sheetData>
    <row r="1" ht="15.75" customHeight="1" thickBot="1">
      <c r="A1" s="13">
        <f>[1]amostra_tickets!A1</f>
        <v/>
      </c>
      <c r="B1" s="8">
        <f>[1]amostra_tickets!B1</f>
        <v/>
      </c>
      <c r="C1" s="14" t="inlineStr">
        <is>
          <t>Prática Principal</t>
        </is>
      </c>
      <c r="D1" s="14" t="inlineStr">
        <is>
          <t>Prática Auxiliar</t>
        </is>
      </c>
      <c r="E1" s="15" t="inlineStr">
        <is>
          <t>Prática Principal  - chat stream</t>
        </is>
      </c>
      <c r="F1" s="15" t="inlineStr">
        <is>
          <t>Prática Auxiliar  - chat stream</t>
        </is>
      </c>
      <c r="G1" s="2" t="inlineStr">
        <is>
          <t>avaliacao respostas - chat stream</t>
        </is>
      </c>
      <c r="H1" s="16" t="inlineStr">
        <is>
          <t xml:space="preserve">Prática Principal  - chat </t>
        </is>
      </c>
      <c r="I1" s="16" t="inlineStr">
        <is>
          <t xml:space="preserve">Prática Auxiliar  - chat </t>
        </is>
      </c>
      <c r="J1" s="9" t="inlineStr">
        <is>
          <t>avaliacao respostas - chat</t>
        </is>
      </c>
      <c r="K1" s="17" t="inlineStr">
        <is>
          <t>Prática Principal  -rag</t>
        </is>
      </c>
      <c r="L1" s="17" t="inlineStr">
        <is>
          <t>Prática Auxiliar  - rag</t>
        </is>
      </c>
      <c r="M1" s="10" t="inlineStr">
        <is>
          <t>avaliacao respostas - rag</t>
        </is>
      </c>
      <c r="N1" s="18" t="inlineStr">
        <is>
          <t>Prática Principal  -rag_adaptativo</t>
        </is>
      </c>
      <c r="O1" s="18" t="inlineStr">
        <is>
          <t>Prática Auxiliar  - rag_adaptativo</t>
        </is>
      </c>
      <c r="P1" s="11" t="inlineStr">
        <is>
          <t>avaliacao respostas - rag adaptativo</t>
        </is>
      </c>
      <c r="Q1" s="19" t="inlineStr">
        <is>
          <t>Prática Principal  -plan_exec</t>
        </is>
      </c>
      <c r="R1" s="19" t="inlineStr">
        <is>
          <t>Prática Auxiliar  - plan_exec</t>
        </is>
      </c>
      <c r="S1" s="12" t="inlineStr">
        <is>
          <t>avaliacao respostas - plan _exec</t>
        </is>
      </c>
    </row>
    <row r="2">
      <c r="A2" t="n">
        <v>3</v>
      </c>
      <c r="B2" s="3" t="inlineStr">
        <is>
          <t>Erro na Autocompletação de Código do IntelliJ IDEA</t>
        </is>
      </c>
      <c r="C2" s="4" t="inlineStr">
        <is>
          <t>Gerenciamento de Incidentes</t>
        </is>
      </c>
      <c r="D2" s="4" t="inlineStr">
        <is>
          <t>Gerenciamento de Problemas</t>
        </is>
      </c>
      <c r="E2" s="5" t="inlineStr">
        <is>
          <t>Gerenciamento de Incidentes</t>
        </is>
      </c>
      <c r="F2" s="5" t="inlineStr">
        <is>
          <t>Gerenciamento de Problemas</t>
        </is>
      </c>
      <c r="G2" s="6">
        <f>IF(E2&lt;&gt;"", IF(AND(C2=E2, D2=F2), "ACERTOU", IF(OR(C2=E2, D2=F2, C2=F2, D2=E2), "PARCIALMENTE", IF(OR(E2="Não há recomendação", F2="Não há recomendação", E2="SEM RECOMENDAÇÃO", F2="SEM RECOMENDAÇÃO"), "NÃO RECOMENDOU", "ERROU"))), "")</f>
        <v/>
      </c>
      <c r="H2" s="20" t="inlineStr">
        <is>
          <t>Gerenciamento de Incidentes</t>
        </is>
      </c>
      <c r="I2" s="20" t="inlineStr">
        <is>
          <t>Gerenciamento de Problemas</t>
        </is>
      </c>
      <c r="J2" s="20">
        <f>IF(H2&lt;&gt;"", IF(AND(C2=H2, D2=I2), "ACERTOU", IF(OR(C2=H2, D2=I2, C2=I2, D2=H2), "PARCIALMENTE", IF(OR(H2="Não há recomendação", I2="Não há recomendação", H2="SEM RECOMENDAÇÃO", I2="SEM RECOMENDAÇÃO"), "NÃO RECOMENDOU", "ERROU"))), "")</f>
        <v/>
      </c>
      <c r="K2" s="21" t="inlineStr">
        <is>
          <t>Gerenciamento de Problemas</t>
        </is>
      </c>
      <c r="L2" s="21" t="inlineStr">
        <is>
          <t>Validação e Teste de Serviço</t>
        </is>
      </c>
      <c r="M2" s="21">
        <f>IF(K2&lt;&gt;"", IF(AND(C2=K2, D2=L2), "ACERTOU", IF(OR(C2=K2, D2=L2, C2=L2, D2=K2), "PARCIALMENTE", IF(OR(K2="Não há recomendação", L2="Não há recomendação", K2="SEM RECOMENDAÇÃO", L2="SEM RECOMENDAÇÃO"), "NÃO RECOMENDOU", "ERROU"))), "")</f>
        <v/>
      </c>
      <c r="N2" s="22" t="inlineStr">
        <is>
          <t>Gerenciamento de Problemas</t>
        </is>
      </c>
      <c r="O2" s="22" t="inlineStr">
        <is>
          <t>Gerenciamento de Incidentes</t>
        </is>
      </c>
      <c r="P2" s="22">
        <f>IF(N2&lt;&gt;"", IF(AND(C2=N2, D2=O2), "ACERTOU", IF(OR(C2=N2, D2=O2, C2=O2, D2=N2), "PARCIALMENTE", IF(OR(N2="Não há recomendação", O2="Não há recomendação", N2="SEM RECOMENDAÇÃO", O2="SEM RECOMENDAÇÃO"), "NÃO RECOMENDOU", "ERROU"))), "")</f>
        <v/>
      </c>
      <c r="Q2" s="23" t="n"/>
      <c r="R2" s="23" t="n"/>
      <c r="S2" s="23" t="n"/>
    </row>
    <row r="3">
      <c r="A3" t="n">
        <v>25</v>
      </c>
      <c r="B3" s="3" t="inlineStr">
        <is>
          <t>Problemas intermitentes de exibição após atualização de firmware</t>
        </is>
      </c>
      <c r="C3" s="4" t="inlineStr">
        <is>
          <t>Gerenciamento de Incidentes</t>
        </is>
      </c>
      <c r="D3" s="4" t="inlineStr">
        <is>
          <t>Gerenciamento de Mudanças</t>
        </is>
      </c>
      <c r="E3" s="5" t="inlineStr">
        <is>
          <t>Gerenciamento de Incidentes</t>
        </is>
      </c>
      <c r="F3" s="5" t="inlineStr">
        <is>
          <t>Habilitação de Mudança</t>
        </is>
      </c>
      <c r="G3" s="6">
        <f>IF(E3&lt;&gt;"", IF(AND(C3=E3, D3=F3), "ACERTOU", IF(OR(C3=E3, D3=F3, C3=F3, D3=E3), "PARCIALMENTE", IF(OR(E3="Não há recomendação", F3="Não há recomendação", E3="SEM RECOMENDAÇÃO", F3="SEM RECOMENDAÇÃO"), "NÃO RECOMENDOU", "ERROU"))), "")</f>
        <v/>
      </c>
      <c r="H3" s="20" t="inlineStr">
        <is>
          <t>Habilitação de Mudança</t>
        </is>
      </c>
      <c r="I3" s="20" t="inlineStr">
        <is>
          <t>Gerenciamento de Incidentes</t>
        </is>
      </c>
      <c r="J3" s="20">
        <f>IF(H3&lt;&gt;"", IF(AND(C3=H3, D3=I3), "ACERTOU", IF(OR(C3=H3, D3=I3, C3=I3, D3=H3), "PARCIALMENTE", IF(OR(H3="Não há recomendação", I3="Não há recomendação", H3="SEM RECOMENDAÇÃO", I3="SEM RECOMENDAÇÃO"), "NÃO RECOMENDOU", "ERROU"))), "")</f>
        <v/>
      </c>
      <c r="K3" s="21" t="inlineStr">
        <is>
          <t>Habilitação de Mudança</t>
        </is>
      </c>
      <c r="L3" s="21" t="inlineStr">
        <is>
          <t>Gerenciamento de Liberação</t>
        </is>
      </c>
      <c r="M3" s="21">
        <f>IF(K3&lt;&gt;"", IF(AND(C3=K3, D3=L3), "ACERTOU", IF(OR(C3=K3, D3=L3, C3=L3, D3=K3), "PARCIALMENTE", IF(OR(K3="Não há recomendação", L3="Não há recomendação", K3="SEM RECOMENDAÇÃO", L3="SEM RECOMENDAÇÃO"), "NÃO RECOMENDOU", "ERROU"))), "")</f>
        <v/>
      </c>
      <c r="N3" s="22" t="inlineStr">
        <is>
          <t>Gerenciamento de Requisição de Serviço</t>
        </is>
      </c>
      <c r="O3" s="22" t="inlineStr">
        <is>
          <t>Não se aplica</t>
        </is>
      </c>
      <c r="P3" s="22">
        <f>IF(N3&lt;&gt;"", IF(AND(C3=N3, D3=O3), "ACERTOU", IF(OR(C3=N3, D3=O3, C3=O3, D3=N3), "PARCIALMENTE", IF(OR(N3="Não há recomendação", O3="Não há recomendação", N3="SEM RECOMENDAÇÃO", O3="SEM RECOMENDAÇÃO"), "NÃO RECOMENDOU", "ERROU"))), "")</f>
        <v/>
      </c>
      <c r="Q3" s="23" t="n"/>
      <c r="R3" s="23" t="n"/>
      <c r="S3" s="23" t="n"/>
    </row>
    <row r="4">
      <c r="A4" t="n">
        <v>42</v>
      </c>
      <c r="B4" s="3" t="inlineStr">
        <is>
          <t>Pedido de Assistência para Administração de Servidores</t>
        </is>
      </c>
      <c r="C4" s="4" t="inlineStr">
        <is>
          <t>Solicitação de Serviço</t>
        </is>
      </c>
      <c r="D4" s="4" t="inlineStr">
        <is>
          <t>Gerenciamento de Nível de Serviço</t>
        </is>
      </c>
      <c r="E4" s="5" t="inlineStr">
        <is>
          <t>Gerenciamento de Requisição de Serviço</t>
        </is>
      </c>
      <c r="F4" s="5" t="inlineStr">
        <is>
          <t>Gerenciamento de Nível de Serviço</t>
        </is>
      </c>
      <c r="G4" s="6">
        <f>IF(E4&lt;&gt;"", IF(AND(C4=E4, D4=F4), "ACERTOU", IF(OR(C4=E4, D4=F4, C4=F4, D4=E4), "PARCIALMENTE", IF(OR(E4="Não há recomendação", F4="Não há recomendação", E4="SEM RECOMENDAÇÃO", F4="SEM RECOMENDAÇÃO"), "NÃO RECOMENDOU", "ERROU"))), "")</f>
        <v/>
      </c>
      <c r="H4" s="20" t="inlineStr">
        <is>
          <t>Gerenciamento de Capacidade e Desempenho</t>
        </is>
      </c>
      <c r="I4" s="20" t="inlineStr">
        <is>
          <t>Análise de Negócio</t>
        </is>
      </c>
      <c r="J4" s="20">
        <f>IF(H4&lt;&gt;"", IF(AND(C4=H4, D4=I4), "ACERTOU", IF(OR(C4=H4, D4=I4, C4=I4, D4=H4), "PARCIALMENTE", IF(OR(H4="Não há recomendação", I4="Não há recomendação", H4="SEM RECOMENDAÇÃO", I4="SEM RECOMENDAÇÃO"), "NÃO RECOMENDOU", "ERROU"))), "")</f>
        <v/>
      </c>
      <c r="K4" s="21" t="inlineStr">
        <is>
          <t>Gerenciamento de Requisição de Serviço</t>
        </is>
      </c>
      <c r="L4" s="21" t="inlineStr">
        <is>
          <t>Gerenciamento de Relacionamento</t>
        </is>
      </c>
      <c r="M4" s="21">
        <f>IF(K4&lt;&gt;"", IF(AND(C4=K4, D4=L4), "ACERTOU", IF(OR(C4=K4, D4=L4, C4=L4, D4=K4), "PARCIALMENTE", IF(OR(K4="Não há recomendação", L4="Não há recomendação", K4="SEM RECOMENDAÇÃO", L4="SEM RECOMENDAÇÃO"), "NÃO RECOMENDOU", "ERROU"))), "")</f>
        <v/>
      </c>
      <c r="N4" s="22" t="inlineStr">
        <is>
          <t>Gerenciamento de Nível de Serviço</t>
        </is>
      </c>
      <c r="O4" s="22" t="inlineStr">
        <is>
          <t>Melhoria Contínua</t>
        </is>
      </c>
      <c r="P4" s="22">
        <f>IF(N4&lt;&gt;"", IF(AND(C4=N4, D4=O4), "ACERTOU", IF(OR(C4=N4, D4=O4, C4=O4, D4=N4), "PARCIALMENTE", IF(OR(N4="Não há recomendação", O4="Não há recomendação", N4="SEM RECOMENDAÇÃO", O4="SEM RECOMENDAÇÃO"), "NÃO RECOMENDOU", "ERROU"))), "")</f>
        <v/>
      </c>
      <c r="Q4" s="23" t="n"/>
      <c r="R4" s="23" t="n"/>
      <c r="S4" s="23" t="n"/>
    </row>
    <row r="5">
      <c r="A5" t="n">
        <v>57</v>
      </c>
      <c r="B5" s="3" t="inlineStr">
        <is>
          <t>Urgente: Relato de Falha na Bateria do MacBook Air M1 Adquirido na Loja Virtual</t>
        </is>
      </c>
      <c r="C5" s="4" t="inlineStr">
        <is>
          <t>Gerenciamento de Incidentes</t>
        </is>
      </c>
      <c r="D5" s="4" t="inlineStr">
        <is>
          <t>Gerenciamento de Ativos de TI</t>
        </is>
      </c>
      <c r="E5" s="5" t="inlineStr">
        <is>
          <t>Gerenciamento de Incidentes</t>
        </is>
      </c>
      <c r="F5" s="5" t="inlineStr">
        <is>
          <t>Gerenciamento de Ativos de TI</t>
        </is>
      </c>
      <c r="G5" s="6">
        <f>IF(E5&lt;&gt;"", IF(AND(C5=E5, D5=F5), "ACERTOU", IF(OR(C5=E5, D5=F5, C5=F5, D5=E5), "PARCIALMENTE", IF(OR(E5="Não há recomendação", F5="Não há recomendação", E5="SEM RECOMENDAÇÃO", F5="SEM RECOMENDAÇÃO"), "NÃO RECOMENDOU", "ERROU"))), "")</f>
        <v/>
      </c>
      <c r="H5" s="20" t="inlineStr">
        <is>
          <t>Gerenciamento de Incidentes</t>
        </is>
      </c>
      <c r="I5" s="20" t="inlineStr">
        <is>
          <t>Gerenciamento de Ativos de TI</t>
        </is>
      </c>
      <c r="J5" s="20">
        <f>IF(H5&lt;&gt;"", IF(AND(C5=H5, D5=I5), "ACERTOU", IF(OR(C5=H5, D5=I5, C5=I5, D5=H5), "PARCIALMENTE", IF(OR(H5="Não há recomendação", I5="Não há recomendação", H5="SEM RECOMENDAÇÃO", I5="SEM RECOMENDAÇÃO"), "NÃO RECOMENDOU", "ERROU"))), "")</f>
        <v/>
      </c>
      <c r="K5" s="21" t="inlineStr">
        <is>
          <t>Gerenciamento de Problemas</t>
        </is>
      </c>
      <c r="L5" s="21" t="inlineStr">
        <is>
          <t>Gerenciamento de Fornecedor</t>
        </is>
      </c>
      <c r="M5" s="21">
        <f>IF(K5&lt;&gt;"", IF(AND(C5=K5, D5=L5), "ACERTOU", IF(OR(C5=K5, D5=L5, C5=L5, D5=K5), "PARCIALMENTE", IF(OR(K5="Não há recomendação", L5="Não há recomendação", K5="SEM RECOMENDAÇÃO", L5="SEM RECOMENDAÇÃO"), "NÃO RECOMENDOU", "ERROU"))), "")</f>
        <v/>
      </c>
      <c r="N5" s="22" t="inlineStr">
        <is>
          <t>Gerenciamento de Incidentes</t>
        </is>
      </c>
      <c r="O5" s="22" t="inlineStr">
        <is>
          <t>Gerenciamento de Ativos de TI</t>
        </is>
      </c>
      <c r="P5" s="22">
        <f>IF(N5&lt;&gt;"", IF(AND(C5=N5, D5=O5), "ACERTOU", IF(OR(C5=N5, D5=O5, C5=O5, D5=N5), "PARCIALMENTE", IF(OR(N5="Não há recomendação", O5="Não há recomendação", N5="SEM RECOMENDAÇÃO", O5="SEM RECOMENDAÇÃO"), "NÃO RECOMENDOU", "ERROU"))), "")</f>
        <v/>
      </c>
      <c r="Q5" s="23" t="n"/>
      <c r="R5" s="23" t="n"/>
      <c r="S5" s="23" t="n"/>
    </row>
    <row r="6">
      <c r="A6" t="n">
        <v>62</v>
      </c>
      <c r="B6" s="3" t="inlineStr">
        <is>
          <t>Assistência Necessária para Integração do Jira Software</t>
        </is>
      </c>
      <c r="C6" s="4" t="inlineStr">
        <is>
          <t>Gerenciamento de Problemas</t>
        </is>
      </c>
      <c r="D6" s="4" t="inlineStr">
        <is>
          <t>Gerenciamento de Mudanças</t>
        </is>
      </c>
      <c r="E6" s="5" t="inlineStr">
        <is>
          <t>Gerenciamento de Requisição de Serviço</t>
        </is>
      </c>
      <c r="F6" s="5" t="inlineStr">
        <is>
          <t>Gerenciamento de Conhecimento</t>
        </is>
      </c>
      <c r="G6" s="6">
        <f>IF(E6&lt;&gt;"", IF(AND(C6=E6, D6=F6), "ACERTOU", IF(OR(C6=E6, D6=F6, C6=F6, D6=E6), "PARCIALMENTE", IF(OR(E6="Não há recomendação", F6="Não há recomendação", E6="SEM RECOMENDAÇÃO", F6="SEM RECOMENDAÇÃO"), "NÃO RECOMENDOU", "ERROU"))), "")</f>
        <v/>
      </c>
      <c r="H6" s="20" t="inlineStr">
        <is>
          <t>Gerenciamento de Requisição de Serviço</t>
        </is>
      </c>
      <c r="I6" s="20" t="inlineStr">
        <is>
          <t>Análise de Negócio</t>
        </is>
      </c>
      <c r="J6" s="20">
        <f>IF(H6&lt;&gt;"", IF(AND(C6=H6, D6=I6), "ACERTOU", IF(OR(C6=H6, D6=I6, C6=I6, D6=H6), "PARCIALMENTE", IF(OR(H6="Não há recomendação", I6="Não há recomendação", H6="SEM RECOMENDAÇÃO", I6="SEM RECOMENDAÇÃO"), "NÃO RECOMENDOU", "ERROU"))), "")</f>
        <v/>
      </c>
      <c r="K6" s="21" t="inlineStr">
        <is>
          <t>Gerenciamento de Configuração de Serviço</t>
        </is>
      </c>
      <c r="L6" s="21" t="inlineStr">
        <is>
          <t>Gerenciamento de Conhecimento</t>
        </is>
      </c>
      <c r="M6" s="21">
        <f>IF(K6&lt;&gt;"", IF(AND(C6=K6, D6=L6), "ACERTOU", IF(OR(C6=K6, D6=L6, C6=L6, D6=K6), "PARCIALMENTE", IF(OR(K6="Não há recomendação", L6="Não há recomendação", K6="SEM RECOMENDAÇÃO", L6="SEM RECOMENDAÇÃO"), "NÃO RECOMENDOU", "ERROU"))), "")</f>
        <v/>
      </c>
      <c r="N6" s="22" t="inlineStr">
        <is>
          <t>Gerenciamento de Configuração</t>
        </is>
      </c>
      <c r="O6" s="22" t="inlineStr">
        <is>
          <t>Gerenciamento de Incidentes</t>
        </is>
      </c>
      <c r="P6" s="22">
        <f>IF(N6&lt;&gt;"", IF(AND(C6=N6, D6=O6), "ACERTOU", IF(OR(C6=N6, D6=O6, C6=O6, D6=N6), "PARCIALMENTE", IF(OR(N6="Não há recomendação", O6="Não há recomendação", N6="SEM RECOMENDAÇÃO", O6="SEM RECOMENDAÇÃO"), "NÃO RECOMENDOU", "ERROU"))), "")</f>
        <v/>
      </c>
      <c r="Q6" s="23" t="n"/>
      <c r="R6" s="23" t="n"/>
      <c r="S6" s="23" t="n"/>
    </row>
    <row r="7">
      <c r="A7" t="n">
        <v>77</v>
      </c>
      <c r="B7" s="3" t="inlineStr">
        <is>
          <t>Discrepância de Faturamento no Google Workspace</t>
        </is>
      </c>
      <c r="C7" s="4" t="inlineStr">
        <is>
          <t>Gerenciamento Financeiro</t>
        </is>
      </c>
      <c r="D7" s="4" t="inlineStr">
        <is>
          <t>Gerenciamento de Incidentes</t>
        </is>
      </c>
      <c r="E7" s="5" t="inlineStr">
        <is>
          <t>Gerenciamento Financeiro de Serviços</t>
        </is>
      </c>
      <c r="F7" s="5" t="inlineStr">
        <is>
          <t>Gerenciamento de Relacionamento</t>
        </is>
      </c>
      <c r="G7" s="6">
        <f>IF(E7&lt;&gt;"", IF(AND(C7=E7, D7=F7), "ACERTOU", IF(OR(C7=E7, D7=F7, C7=F7, D7=E7), "PARCIALMENTE", IF(OR(E7="Não há recomendação", F7="Não há recomendação", E7="SEM RECOMENDAÇÃO", F7="SEM RECOMENDAÇÃO"), "NÃO RECOMENDOU", "ERROU"))), "")</f>
        <v/>
      </c>
      <c r="H7" s="20" t="inlineStr">
        <is>
          <t>Gerenciamento Financeiro de Serviços</t>
        </is>
      </c>
      <c r="I7" s="20" t="inlineStr">
        <is>
          <t>Gerenciamento de Requisição de Serviço</t>
        </is>
      </c>
      <c r="J7" s="20">
        <f>IF(H7&lt;&gt;"", IF(AND(C7=H7, D7=I7), "ACERTOU", IF(OR(C7=H7, D7=I7, C7=I7, D7=H7), "PARCIALMENTE", IF(OR(H7="Não há recomendação", I7="Não há recomendação", H7="SEM RECOMENDAÇÃO", I7="SEM RECOMENDAÇÃO"), "NÃO RECOMENDOU", "ERROU"))), "")</f>
        <v/>
      </c>
      <c r="K7" s="21" t="inlineStr">
        <is>
          <t>Gerenciamento Financeiro de Serviços</t>
        </is>
      </c>
      <c r="L7" s="21" t="inlineStr">
        <is>
          <t>Gerenciamento de Relacionamento</t>
        </is>
      </c>
      <c r="M7" s="21">
        <f>IF(K7&lt;&gt;"", IF(AND(C7=K7, D7=L7), "ACERTOU", IF(OR(C7=K7, D7=L7, C7=L7, D7=K7), "PARCIALMENTE", IF(OR(K7="Não há recomendação", L7="Não há recomendação", K7="SEM RECOMENDAÇÃO", L7="SEM RECOMENDAÇÃO"), "NÃO RECOMENDOU", "ERROU"))), "")</f>
        <v/>
      </c>
      <c r="N7" s="22" t="inlineStr">
        <is>
          <t>Gerenciamento de Requisições de Serviço</t>
        </is>
      </c>
      <c r="O7" s="22" t="inlineStr">
        <is>
          <t>Não se aplica</t>
        </is>
      </c>
      <c r="P7" s="22">
        <f>IF(N7&lt;&gt;"", IF(AND(C7=N7, D7=O7), "ACERTOU", IF(OR(C7=N7, D7=O7, C7=O7, D7=N7), "PARCIALMENTE", IF(OR(N7="Não há recomendação", O7="Não há recomendação", N7="SEM RECOMENDAÇÃO", O7="SEM RECOMENDAÇÃO"), "NÃO RECOMENDOU", "ERROU"))), "")</f>
        <v/>
      </c>
      <c r="Q7" s="23" t="n"/>
      <c r="R7" s="23" t="n"/>
      <c r="S7" s="23" t="n"/>
    </row>
    <row r="8">
      <c r="A8" t="n">
        <v>87</v>
      </c>
      <c r="B8" s="3" t="inlineStr">
        <is>
          <t>Urgente: Problema de inatividade do Serviço de Gerenciamento da AWS</t>
        </is>
      </c>
      <c r="C8" s="4" t="inlineStr">
        <is>
          <t>Gerenciamento de Incidentes</t>
        </is>
      </c>
      <c r="D8" s="4" t="inlineStr">
        <is>
          <t>Gerenciamento de Disponibilidade</t>
        </is>
      </c>
      <c r="E8" s="5" t="inlineStr">
        <is>
          <t>Gerenciamento de Incidentes</t>
        </is>
      </c>
      <c r="F8" s="5" t="inlineStr">
        <is>
          <t>Gerenciamento de Disponibilidade</t>
        </is>
      </c>
      <c r="G8" s="6">
        <f>IF(E8&lt;&gt;"", IF(AND(C8=E8, D8=F8), "ACERTOU", IF(OR(C8=E8, D8=F8, C8=F8, D8=E8), "PARCIALMENTE", IF(OR(E8="Não há recomendação", F8="Não há recomendação", E8="SEM RECOMENDAÇÃO", F8="SEM RECOMENDAÇÃO"), "NÃO RECOMENDOU", "ERROU"))), "")</f>
        <v/>
      </c>
      <c r="H8" s="20" t="inlineStr">
        <is>
          <t>Gerenciamento de Incidentes</t>
        </is>
      </c>
      <c r="I8" s="20" t="inlineStr">
        <is>
          <t>Gerenciamento de Disponibilidade</t>
        </is>
      </c>
      <c r="J8" s="20">
        <f>IF(H8&lt;&gt;"", IF(AND(C8=H8, D8=I8), "ACERTOU", IF(OR(C8=H8, D8=I8, C8=I8, D8=H8), "PARCIALMENTE", IF(OR(H8="Não há recomendação", I8="Não há recomendação", H8="SEM RECOMENDAÇÃO", I8="SEM RECOMENDAÇÃO"), "NÃO RECOMENDOU", "ERROU"))), "")</f>
        <v/>
      </c>
      <c r="K8" s="21" t="inlineStr">
        <is>
          <t>Gerenciamento de Disponibilidade</t>
        </is>
      </c>
      <c r="L8" s="21" t="inlineStr">
        <is>
          <t>Gerenciamento de Continuidade de Serviço</t>
        </is>
      </c>
      <c r="M8" s="21">
        <f>IF(K8&lt;&gt;"", IF(AND(C8=K8, D8=L8), "ACERTOU", IF(OR(C8=K8, D8=L8, C8=L8, D8=K8), "PARCIALMENTE", IF(OR(K8="Não há recomendação", L8="Não há recomendação", K8="SEM RECOMENDAÇÃO", L8="SEM RECOMENDAÇÃO"), "NÃO RECOMENDOU", "ERROU"))), "")</f>
        <v/>
      </c>
      <c r="N8" s="22" t="inlineStr">
        <is>
          <t>Gerenciamento de Incidentes</t>
        </is>
      </c>
      <c r="O8" s="22" t="inlineStr">
        <is>
          <t>Gerenciamento de Disponibilidade</t>
        </is>
      </c>
      <c r="P8" s="22">
        <f>IF(N8&lt;&gt;"", IF(AND(C8=N8, D8=O8), "ACERTOU", IF(OR(C8=N8, D8=O8, C8=O8, D8=N8), "PARCIALMENTE", IF(OR(N8="Não há recomendação", O8="Não há recomendação", N8="SEM RECOMENDAÇÃO", O8="SEM RECOMENDAÇÃO"), "NÃO RECOMENDOU", "ERROU"))), "")</f>
        <v/>
      </c>
      <c r="Q8" s="23" t="n"/>
      <c r="R8" s="23" t="n"/>
      <c r="S8" s="23" t="n"/>
    </row>
    <row r="9" ht="30" customHeight="1">
      <c r="A9" t="n">
        <v>98</v>
      </c>
      <c r="B9" s="3" t="inlineStr">
        <is>
          <t>Solicitação de Soluções de Gerenciamento da AWS Eficientes em Custo</t>
        </is>
      </c>
      <c r="C9" s="4" t="inlineStr">
        <is>
          <t>Solicitação de Serviço</t>
        </is>
      </c>
      <c r="D9" s="4" t="inlineStr">
        <is>
          <t>Gerenciamento Financeiro</t>
        </is>
      </c>
      <c r="E9" s="5" t="inlineStr">
        <is>
          <t>Gerenciamento Financeiro de Serviços</t>
        </is>
      </c>
      <c r="F9" s="5" t="inlineStr">
        <is>
          <t>Gerenciamento de Capacidade e Desempenho</t>
        </is>
      </c>
      <c r="G9" s="6">
        <f>IF(E9&lt;&gt;"", IF(AND(C9=E9, D9=F9), "ACERTOU", IF(OR(C9=E9, D9=F9, C9=F9, D9=E9), "PARCIALMENTE", IF(OR(E9="Não há recomendação", F9="Não há recomendação", E9="SEM RECOMENDAÇÃO", F9="SEM RECOMENDAÇÃO"), "NÃO RECOMENDOU", "ERROU"))), "")</f>
        <v/>
      </c>
      <c r="H9" s="20" t="inlineStr">
        <is>
          <t>Gerenciamento Financeiro de Serviços</t>
        </is>
      </c>
      <c r="I9" s="20" t="inlineStr">
        <is>
          <t>Gerenciamento de Requisição de Serviço</t>
        </is>
      </c>
      <c r="J9" s="20">
        <f>IF(H9&lt;&gt;"", IF(AND(C9=H9, D9=I9), "ACERTOU", IF(OR(C9=H9, D9=I9, C9=I9, D9=H9), "PARCIALMENTE", IF(OR(H9="Não há recomendação", I9="Não há recomendação", H9="SEM RECOMENDAÇÃO", I9="SEM RECOMENDAÇÃO"), "NÃO RECOMENDOU", "ERROU"))), "")</f>
        <v/>
      </c>
      <c r="K9" s="21" t="inlineStr">
        <is>
          <t>Gerenciamento Financeiro de Serviços</t>
        </is>
      </c>
      <c r="L9" s="21" t="inlineStr">
        <is>
          <t>Gerenciamento de Capacidade e Desempenho</t>
        </is>
      </c>
      <c r="M9" s="21">
        <f>IF(K9&lt;&gt;"", IF(AND(C9=K9, D9=L9), "ACERTOU", IF(OR(C9=K9, D9=L9, C9=L9, D9=K9), "PARCIALMENTE", IF(OR(K9="Não há recomendação", L9="Não há recomendação", K9="SEM RECOMENDAÇÃO", L9="SEM RECOMENDAÇÃO"), "NÃO RECOMENDOU", "ERROU"))), "")</f>
        <v/>
      </c>
      <c r="N9" s="22" t="inlineStr">
        <is>
          <t>Gerenciamento de Ativos de TI</t>
        </is>
      </c>
      <c r="O9" s="22" t="inlineStr">
        <is>
          <t>Gerenciamento Financeiro de TI</t>
        </is>
      </c>
      <c r="P9" s="22">
        <f>IF(N9&lt;&gt;"", IF(AND(C9=N9, D9=O9), "ACERTOU", IF(OR(C9=N9, D9=O9, C9=O9, D9=N9), "PARCIALMENTE", IF(OR(N9="Não há recomendação", O9="Não há recomendação", N9="SEM RECOMENDAÇÃO", O9="SEM RECOMENDAÇÃO"), "NÃO RECOMENDOU", "ERROU"))), "")</f>
        <v/>
      </c>
      <c r="Q9" s="23" t="n"/>
      <c r="R9" s="23" t="n"/>
      <c r="S9" s="23" t="n"/>
    </row>
    <row r="10" ht="35.25" customHeight="1">
      <c r="A10" t="n">
        <v>104</v>
      </c>
      <c r="B10" s="3" t="inlineStr">
        <is>
          <t>Interrupção do Roteador Cisco</t>
        </is>
      </c>
      <c r="C10" s="4" t="inlineStr">
        <is>
          <t>Gerenciamento de Incidentes</t>
        </is>
      </c>
      <c r="D10" s="4" t="inlineStr">
        <is>
          <t>Gerenciamento de Problemas</t>
        </is>
      </c>
      <c r="E10" s="5" t="inlineStr">
        <is>
          <t>Gerenciamento de Incidentes</t>
        </is>
      </c>
      <c r="F10" s="5" t="inlineStr">
        <is>
          <t>Gerenciamento de Problemas</t>
        </is>
      </c>
      <c r="G10" s="6">
        <f>IF(E10&lt;&gt;"", IF(AND(C10=E10, D10=F10), "ACERTOU", IF(OR(C10=E10, D10=F10, C10=F10, D10=E10), "PARCIALMENTE", IF(OR(E10="Não há recomendação", F10="Não há recomendação", E10="SEM RECOMENDAÇÃO", F10="SEM RECOMENDAÇÃO"), "NÃO RECOMENDOU", "ERROU"))), "")</f>
        <v/>
      </c>
      <c r="H10" s="20" t="inlineStr">
        <is>
          <t>Gerenciamento de Incidentes</t>
        </is>
      </c>
      <c r="I10" s="20" t="inlineStr">
        <is>
          <t>Gerenciamento de Problemas</t>
        </is>
      </c>
      <c r="J10" s="20">
        <f>IF(H10&lt;&gt;"", IF(AND(C10=H10, D10=I10), "ACERTOU", IF(OR(C10=H10, D10=I10, C10=I10, D10=H10), "PARCIALMENTE", IF(OR(H10="Não há recomendação", I10="Não há recomendação", H10="SEM RECOMENDAÇÃO", I10="SEM RECOMENDAÇÃO"), "NÃO RECOMENDOU", "ERROU"))), "")</f>
        <v/>
      </c>
      <c r="K10" s="21" t="inlineStr">
        <is>
          <t>Gerenciamento de Problemas</t>
        </is>
      </c>
      <c r="L10" s="21" t="inlineStr">
        <is>
          <t>Gerenciamento de Disponibilidade</t>
        </is>
      </c>
      <c r="M10" s="21">
        <f>IF(K10&lt;&gt;"", IF(AND(C10=K10, D10=L10), "ACERTOU", IF(OR(C10=K10, D10=L10, C10=L10, D10=K10), "PARCIALMENTE", IF(OR(K10="Não há recomendação", L10="Não há recomendação", K10="SEM RECOMENDAÇÃO", L10="SEM RECOMENDAÇÃO"), "NÃO RECOMENDOU", "ERROU"))), "")</f>
        <v/>
      </c>
      <c r="N10" s="22" t="inlineStr">
        <is>
          <t>Gerenciamento de Incidentes</t>
        </is>
      </c>
      <c r="O10" s="22" t="inlineStr">
        <is>
          <t>Gerenciamento de Disponibilidade</t>
        </is>
      </c>
      <c r="P10" s="22">
        <f>IF(N10&lt;&gt;"", IF(AND(C10=N10, D10=O10), "ACERTOU", IF(OR(C10=N10, D10=O10, C10=O10, D10=N10), "PARCIALMENTE", IF(OR(N10="Não há recomendação", O10="Não há recomendação", N10="SEM RECOMENDAÇÃO", O10="SEM RECOMENDAÇÃO"), "NÃO RECOMENDOU", "ERROU"))), "")</f>
        <v/>
      </c>
      <c r="Q10" s="23" t="n"/>
      <c r="R10" s="23" t="n"/>
      <c r="S10" s="23" t="n"/>
    </row>
    <row r="11" ht="30" customHeight="1">
      <c r="A11" t="n">
        <v>110</v>
      </c>
      <c r="B11" s="3" t="inlineStr">
        <is>
          <t>Urgente: Problemas de Conectividade de Rede do Roteador Cisco ISR4331</t>
        </is>
      </c>
      <c r="C11" s="4" t="inlineStr">
        <is>
          <t>Gerenciamento de Incidentes</t>
        </is>
      </c>
      <c r="D11" s="4" t="inlineStr">
        <is>
          <t>Gerenciamento de Problemas</t>
        </is>
      </c>
      <c r="E11" s="5" t="inlineStr">
        <is>
          <t>Gerenciamento de Problemas</t>
        </is>
      </c>
      <c r="F11" s="5" t="inlineStr">
        <is>
          <t>Gerenciamento de Capacidade e Desempenho</t>
        </is>
      </c>
      <c r="G11" s="6">
        <f>IF(E11&lt;&gt;"", IF(AND(C11=E11, D11=F11), "ACERTOU", IF(OR(C11=E11, D11=F11, C11=F11, D11=E11), "PARCIALMENTE", IF(OR(E11="Não há recomendação", F11="Não há recomendação", E11="SEM RECOMENDAÇÃO", F11="SEM RECOMENDAÇÃO"), "NÃO RECOMENDOU", "ERROU"))), "")</f>
        <v/>
      </c>
      <c r="H11" s="20" t="inlineStr">
        <is>
          <t>Gerenciamento de Problemas</t>
        </is>
      </c>
      <c r="I11" s="20" t="inlineStr">
        <is>
          <t>Gerenciamento de Capacidade e Desempenho</t>
        </is>
      </c>
      <c r="J11" s="20">
        <f>IF(H11&lt;&gt;"", IF(AND(C11=H11, D11=I11), "ACERTOU", IF(OR(C11=H11, D11=I11, C11=I11, D11=H11), "PARCIALMENTE", IF(OR(H11="Não há recomendação", I11="Não há recomendação", H11="SEM RECOMENDAÇÃO", I11="SEM RECOMENDAÇÃO"), "NÃO RECOMENDOU", "ERROU"))), "")</f>
        <v/>
      </c>
      <c r="K11" s="21" t="inlineStr">
        <is>
          <t>Gerenciamento de Capacidade e Desempenho</t>
        </is>
      </c>
      <c r="L11" s="21" t="inlineStr">
        <is>
          <t>Gerenciamento de Problemas</t>
        </is>
      </c>
      <c r="M11" s="21">
        <f>IF(K11&lt;&gt;"", IF(AND(C11=K11, D11=L11), "ACERTOU", IF(OR(C11=K11, D11=L11, C11=L11, D11=K11), "PARCIALMENTE", IF(OR(K11="Não há recomendação", L11="Não há recomendação", K11="SEM RECOMENDAÇÃO", L11="SEM RECOMENDAÇÃO"), "NÃO RECOMENDOU", "ERROU"))), "")</f>
        <v/>
      </c>
      <c r="N11" s="22" t="inlineStr">
        <is>
          <t>Gerenciamento de Problemas</t>
        </is>
      </c>
      <c r="O11" s="22" t="inlineStr">
        <is>
          <t>Gerenciamento de Incidentes</t>
        </is>
      </c>
      <c r="P11" s="22">
        <f>IF(N11&lt;&gt;"", IF(AND(C11=N11, D11=O11), "ACERTOU", IF(OR(C11=N11, D11=O11, C11=O11, D11=N11), "PARCIALMENTE", IF(OR(N11="Não há recomendação", O11="Não há recomendação", N11="SEM RECOMENDAÇÃO", O11="SEM RECOMENDAÇÃO"), "NÃO RECOMENDOU", "ERROU"))), "")</f>
        <v/>
      </c>
      <c r="Q11" s="23" t="n"/>
      <c r="R11" s="23" t="n"/>
      <c r="S11" s="23" t="n"/>
    </row>
    <row r="12">
      <c r="A12" t="n">
        <v>111</v>
      </c>
      <c r="B12" s="3" t="inlineStr">
        <is>
          <t>Discrepância de Cobrança no Google Workspace</t>
        </is>
      </c>
      <c r="C12" s="4" t="inlineStr">
        <is>
          <t>Gerenciamento Financeiro</t>
        </is>
      </c>
      <c r="D12" s="4" t="inlineStr">
        <is>
          <t>Gerenciamento de Incidentes</t>
        </is>
      </c>
      <c r="E12" s="5" t="inlineStr">
        <is>
          <t>Gerenciamento Financeiro de Serviços</t>
        </is>
      </c>
      <c r="F12" s="5" t="inlineStr">
        <is>
          <t>SEM RECOMENDAÇÃO</t>
        </is>
      </c>
      <c r="G12" s="6">
        <f>IF(E12&lt;&gt;"", IF(AND(C12=E12, D12=F12), "ACERTOU", IF(OR(C12=E12, D12=F12, C12=F12, D12=E12), "PARCIALMENTE", IF(OR(E12="Não há recomendação", F12="Não há recomendação", E12="SEM RECOMENDAÇÃO", F12="SEM RECOMENDAÇÃO"), "NÃO RECOMENDOU", "ERROU"))), "")</f>
        <v/>
      </c>
      <c r="H12" s="20" t="inlineStr">
        <is>
          <t>Gerenciamento Financeiro de Serviços</t>
        </is>
      </c>
      <c r="I12" s="20" t="inlineStr">
        <is>
          <t>Gerenciamento de Requisição de Serviço</t>
        </is>
      </c>
      <c r="J12" s="20">
        <f>IF(H12&lt;&gt;"", IF(AND(C12=H12, D12=I12), "ACERTOU", IF(OR(C12=H12, D12=I12, C12=I12, D12=H12), "PARCIALMENTE", IF(OR(H12="Não há recomendação", I12="Não há recomendação", H12="SEM RECOMENDAÇÃO", I12="SEM RECOMENDAÇÃO"), "NÃO RECOMENDOU", "ERROU"))), "")</f>
        <v/>
      </c>
      <c r="K12" s="21" t="inlineStr">
        <is>
          <t>Gerenciamento Financeiro de Serviços</t>
        </is>
      </c>
      <c r="L12" s="21" t="inlineStr">
        <is>
          <t>Gerenciamento de Relacionamento</t>
        </is>
      </c>
      <c r="M12" s="21">
        <f>IF(K12&lt;&gt;"", IF(AND(C12=K12, D12=L12), "ACERTOU", IF(OR(C12=K12, D12=L12, C12=L12, D12=K12), "PARCIALMENTE", IF(OR(K12="Não há recomendação", L12="Não há recomendação", K12="SEM RECOMENDAÇÃO", L12="SEM RECOMENDAÇÃO"), "NÃO RECOMENDOU", "ERROU"))), "")</f>
        <v/>
      </c>
      <c r="N12" s="22" t="inlineStr">
        <is>
          <t>Gerenciamento de Requisições de Serviço</t>
        </is>
      </c>
      <c r="O12" s="22" t="inlineStr">
        <is>
          <t>Não se aplica</t>
        </is>
      </c>
      <c r="P12" s="22">
        <f>IF(N12&lt;&gt;"", IF(AND(C12=N12, D12=O12), "ACERTOU", IF(OR(C12=N12, D12=O12, C12=O12, D12=N12), "PARCIALMENTE", IF(OR(N12="Não há recomendação", O12="Não há recomendação", N12="SEM RECOMENDAÇÃO", O12="SEM RECOMENDAÇÃO"), "NÃO RECOMENDOU", "ERROU"))), "")</f>
        <v/>
      </c>
      <c r="Q12" s="23" t="n"/>
      <c r="R12" s="23" t="n"/>
      <c r="S12" s="23" t="n"/>
    </row>
    <row r="13">
      <c r="A13" t="n">
        <v>123</v>
      </c>
      <c r="B13" s="3" t="inlineStr">
        <is>
          <t>Problemas de Performance de Rede com o Roteador Cisco ISR4331</t>
        </is>
      </c>
      <c r="C13" s="4" t="inlineStr">
        <is>
          <t>Gerenciamento de Incidentes</t>
        </is>
      </c>
      <c r="D13" s="4" t="inlineStr">
        <is>
          <t>Gerenciamento de Capacidade</t>
        </is>
      </c>
      <c r="E13" s="5" t="inlineStr">
        <is>
          <t>Gerenciamento de Incidentes</t>
        </is>
      </c>
      <c r="F13" s="5" t="inlineStr">
        <is>
          <t>Gerenciamento de Problemas</t>
        </is>
      </c>
      <c r="G13" s="6">
        <f>IF(E13&lt;&gt;"", IF(AND(C13=E13, D13=F13), "ACERTOU", IF(OR(C13=E13, D13=F13, C13=F13, D13=E13), "PARCIALMENTE", IF(OR(E13="Não há recomendação", F13="Não há recomendação", E13="SEM RECOMENDAÇÃO", F13="SEM RECOMENDAÇÃO"), "NÃO RECOMENDOU", "ERROU"))), "")</f>
        <v/>
      </c>
      <c r="H13" s="20" t="inlineStr">
        <is>
          <t>Gerenciamento de Problemas</t>
        </is>
      </c>
      <c r="I13" s="20" t="inlineStr">
        <is>
          <t>Gerenciamento de Capacidade e Desempenho</t>
        </is>
      </c>
      <c r="J13" s="20">
        <f>IF(H13&lt;&gt;"", IF(AND(C13=H13, D13=I13), "ACERTOU", IF(OR(C13=H13, D13=I13, C13=I13, D13=H13), "PARCIALMENTE", IF(OR(H13="Não há recomendação", I13="Não há recomendação", H13="SEM RECOMENDAÇÃO", I13="SEM RECOMENDAÇÃO"), "NÃO RECOMENDOU", "ERROU"))), "")</f>
        <v/>
      </c>
      <c r="K13" s="21" t="inlineStr">
        <is>
          <t>Gerenciamento de Capacidade e Desempenho</t>
        </is>
      </c>
      <c r="L13" s="21" t="inlineStr">
        <is>
          <t>Gerenciamento de Problemas</t>
        </is>
      </c>
      <c r="M13" s="21">
        <f>IF(K13&lt;&gt;"", IF(AND(C13=K13, D13=L13), "ACERTOU", IF(OR(C13=K13, D13=L13, C13=L13, D13=K13), "PARCIALMENTE", IF(OR(K13="Não há recomendação", L13="Não há recomendação", K13="SEM RECOMENDAÇÃO", L13="SEM RECOMENDAÇÃO"), "NÃO RECOMENDOU", "ERROU"))), "")</f>
        <v/>
      </c>
      <c r="N13" s="22" t="inlineStr">
        <is>
          <t>Gerenciamento de Problemas</t>
        </is>
      </c>
      <c r="O13" s="22" t="inlineStr">
        <is>
          <t>Gerenciamento de Capacidade</t>
        </is>
      </c>
      <c r="P13" s="22">
        <f>IF(N13&lt;&gt;"", IF(AND(C13=N13, D13=O13), "ACERTOU", IF(OR(C13=N13, D13=O13, C13=O13, D13=N13), "PARCIALMENTE", IF(OR(N13="Não há recomendação", O13="Não há recomendação", N13="SEM RECOMENDAÇÃO", O13="SEM RECOMENDAÇÃO"), "NÃO RECOMENDOU", "ERROU"))), "")</f>
        <v/>
      </c>
      <c r="Q13" s="23" t="n"/>
      <c r="R13" s="23" t="n"/>
      <c r="S13" s="23" t="n"/>
    </row>
    <row r="14" ht="30" customHeight="1">
      <c r="A14" t="n">
        <v>125</v>
      </c>
      <c r="B14" s="3" t="inlineStr">
        <is>
          <t>Solicitação de Otimização das Instâncias da AWS</t>
        </is>
      </c>
      <c r="C14" s="4" t="inlineStr">
        <is>
          <t>Solicitação de Serviço</t>
        </is>
      </c>
      <c r="D14" s="4" t="inlineStr">
        <is>
          <t>Gerenciamento de Capacidade</t>
        </is>
      </c>
      <c r="E14" s="5" t="inlineStr">
        <is>
          <t>Gerenciamento de Requisição de Serviço</t>
        </is>
      </c>
      <c r="F14" s="5" t="inlineStr">
        <is>
          <t>Gerenciamento de Capacidade e Desempenho</t>
        </is>
      </c>
      <c r="G14" s="6">
        <f>IF(E14&lt;&gt;"", IF(AND(C14=E14, D14=F14), "ACERTOU", IF(OR(C14=E14, D14=F14, C14=F14, D14=E14), "PARCIALMENTE", IF(OR(E14="Não há recomendação", F14="Não há recomendação", E14="SEM RECOMENDAÇÃO", F14="SEM RECOMENDAÇÃO"), "NÃO RECOMENDOU", "ERROU"))), "")</f>
        <v/>
      </c>
      <c r="H14" s="20" t="inlineStr">
        <is>
          <t>Gerenciamento de Capacidade e Desempenho</t>
        </is>
      </c>
      <c r="I14" s="20" t="inlineStr">
        <is>
          <t>Gerenciamento Financeiro de Serviços</t>
        </is>
      </c>
      <c r="J14" s="20">
        <f>IF(H14&lt;&gt;"", IF(AND(C14=H14, D14=I14), "ACERTOU", IF(OR(C14=H14, D14=I14, C14=I14, D14=H14), "PARCIALMENTE", IF(OR(H14="Não há recomendação", I14="Não há recomendação", H14="SEM RECOMENDAÇÃO", I14="SEM RECOMENDAÇÃO"), "NÃO RECOMENDOU", "ERROU"))), "")</f>
        <v/>
      </c>
      <c r="K14" s="21" t="inlineStr">
        <is>
          <t>Gerenciamento de Capacidade e Desempenho</t>
        </is>
      </c>
      <c r="L14" s="21" t="inlineStr">
        <is>
          <t>Gerenciamento Financeiro de Serviços</t>
        </is>
      </c>
      <c r="M14" s="21">
        <f>IF(K14&lt;&gt;"", IF(AND(C14=K14, D14=L14), "ACERTOU", IF(OR(C14=K14, D14=L14, C14=L14, D14=K14), "PARCIALMENTE", IF(OR(K14="Não há recomendação", L14="Não há recomendação", K14="SEM RECOMENDAÇÃO", L14="SEM RECOMENDAÇÃO"), "NÃO RECOMENDOU", "ERROU"))), "")</f>
        <v/>
      </c>
      <c r="N14" s="22" t="inlineStr">
        <is>
          <t>Melhoria Contínua</t>
        </is>
      </c>
      <c r="O14" s="22" t="inlineStr">
        <is>
          <t>Gerenciamento de Capacidade</t>
        </is>
      </c>
      <c r="P14" s="22">
        <f>IF(N14&lt;&gt;"", IF(AND(C14=N14, D14=O14), "ACERTOU", IF(OR(C14=N14, D14=O14, C14=O14, D14=N14), "PARCIALMENTE", IF(OR(N14="Não há recomendação", O14="Não há recomendação", N14="SEM RECOMENDAÇÃO", O14="SEM RECOMENDAÇÃO"), "NÃO RECOMENDOU", "ERROU"))), "")</f>
        <v/>
      </c>
      <c r="Q14" s="23" t="n"/>
      <c r="R14" s="23" t="n"/>
      <c r="S14" s="23" t="n"/>
    </row>
    <row r="15">
      <c r="A15" t="n">
        <v>151</v>
      </c>
      <c r="B15" s="3" t="inlineStr">
        <is>
          <t>Assistência Imediata Necessária para Problemas com o Jira Software</t>
        </is>
      </c>
      <c r="C15" s="4" t="inlineStr">
        <is>
          <t>Gerenciamento de Incidentes</t>
        </is>
      </c>
      <c r="D15" s="4" t="inlineStr">
        <is>
          <t>Gerenciamento de Problemas</t>
        </is>
      </c>
      <c r="E15" s="5" t="inlineStr">
        <is>
          <t>Gerenciamento de Incidentes</t>
        </is>
      </c>
      <c r="F15" s="5" t="inlineStr">
        <is>
          <t>Gerenciamento de Problemas</t>
        </is>
      </c>
      <c r="G15" s="6">
        <f>IF(E15&lt;&gt;"", IF(AND(C15=E15, D15=F15), "ACERTOU", IF(OR(C15=E15, D15=F15, C15=F15, D15=E15), "PARCIALMENTE", IF(OR(E15="Não há recomendação", F15="Não há recomendação", E15="SEM RECOMENDAÇÃO", F15="SEM RECOMENDAÇÃO"), "NÃO RECOMENDOU", "ERROU"))), "")</f>
        <v/>
      </c>
      <c r="H15" s="20" t="inlineStr">
        <is>
          <t>Gerenciamento de Incidentes</t>
        </is>
      </c>
      <c r="I15" s="20" t="inlineStr">
        <is>
          <t>Central de Serviço</t>
        </is>
      </c>
      <c r="J15" s="20">
        <f>IF(H15&lt;&gt;"", IF(AND(C15=H15, D15=I15), "ACERTOU", IF(OR(C15=H15, D15=I15, C15=I15, D15=H15), "PARCIALMENTE", IF(OR(H15="Não há recomendação", I15="Não há recomendação", H15="SEM RECOMENDAÇÃO", I15="SEM RECOMENDAÇÃO"), "NÃO RECOMENDOU", "ERROU"))), "")</f>
        <v/>
      </c>
      <c r="K15" s="21" t="inlineStr">
        <is>
          <t>Gerenciamento de Problemas</t>
        </is>
      </c>
      <c r="L15" s="21" t="inlineStr">
        <is>
          <t>Validação e Teste de Serviço</t>
        </is>
      </c>
      <c r="M15" s="21">
        <f>IF(K15&lt;&gt;"", IF(AND(C15=K15, D15=L15), "ACERTOU", IF(OR(C15=K15, D15=L15, C15=L15, D15=K15), "PARCIALMENTE", IF(OR(K15="Não há recomendação", L15="Não há recomendação", K15="SEM RECOMENDAÇÃO", L15="SEM RECOMENDAÇÃO"), "NÃO RECOMENDOU", "ERROU"))), "")</f>
        <v/>
      </c>
      <c r="N15" s="22" t="inlineStr">
        <is>
          <t>Gerenciamento de Incidentes</t>
        </is>
      </c>
      <c r="O15" s="22" t="inlineStr">
        <is>
          <t>Gerenciamento de Configuração</t>
        </is>
      </c>
      <c r="P15" s="22">
        <f>IF(N15&lt;&gt;"", IF(AND(C15=N15, D15=O15), "ACERTOU", IF(OR(C15=N15, D15=O15, C15=O15, D15=N15), "PARCIALMENTE", IF(OR(N15="Não há recomendação", O15="Não há recomendação", N15="SEM RECOMENDAÇÃO", O15="SEM RECOMENDAÇÃO"), "NÃO RECOMENDOU", "ERROU"))), "")</f>
        <v/>
      </c>
      <c r="Q15" s="23" t="n"/>
      <c r="R15" s="23" t="n"/>
      <c r="S15" s="23" t="n"/>
    </row>
    <row r="16" ht="30" customHeight="1">
      <c r="A16" t="n">
        <v>162</v>
      </c>
      <c r="B16" s="3" t="inlineStr">
        <is>
          <t>Suporte urgente da AWS necessário</t>
        </is>
      </c>
      <c r="C16" s="4" t="inlineStr">
        <is>
          <t>Gerenciamento de Incidentes</t>
        </is>
      </c>
      <c r="D16" s="4" t="inlineStr">
        <is>
          <t>Gerenciamento de Disponibilidade</t>
        </is>
      </c>
      <c r="E16" s="5" t="inlineStr">
        <is>
          <t>Gerenciamento de Incidentes</t>
        </is>
      </c>
      <c r="F16" s="5" t="inlineStr">
        <is>
          <t>Gerenciamento de Capacidade e Desempenho</t>
        </is>
      </c>
      <c r="G16" s="6">
        <f>IF(E16&lt;&gt;"", IF(AND(C16=E16, D16=F16), "ACERTOU", IF(OR(C16=E16, D16=F16, C16=F16, D16=E16), "PARCIALMENTE", IF(OR(E16="Não há recomendação", F16="Não há recomendação", E16="SEM RECOMENDAÇÃO", F16="SEM RECOMENDAÇÃO"), "NÃO RECOMENDOU", "ERROU"))), "")</f>
        <v/>
      </c>
      <c r="H16" s="20" t="inlineStr">
        <is>
          <t>Gerenciamento de Disponibilidade</t>
        </is>
      </c>
      <c r="I16" s="20" t="inlineStr">
        <is>
          <t>Gerenciamento de Capacidade e Desempenho</t>
        </is>
      </c>
      <c r="J16" s="20">
        <f>IF(H16&lt;&gt;"", IF(AND(C16=H16, D16=I16), "ACERTOU", IF(OR(C16=H16, D16=I16, C16=I16, D16=H16), "PARCIALMENTE", IF(OR(H16="Não há recomendação", I16="Não há recomendação", H16="SEM RECOMENDAÇÃO", I16="SEM RECOMENDAÇÃO"), "NÃO RECOMENDOU", "ERROU"))), "")</f>
        <v/>
      </c>
      <c r="K16" s="21" t="inlineStr">
        <is>
          <t>Gerenciamento de Disponibilidade</t>
        </is>
      </c>
      <c r="L16" s="21" t="inlineStr">
        <is>
          <t>Gerenciamento de Capacidade e Desempenho</t>
        </is>
      </c>
      <c r="M16" s="21">
        <f>IF(K16&lt;&gt;"", IF(AND(C16=K16, D16=L16), "ACERTOU", IF(OR(C16=K16, D16=L16, C16=L16, D16=K16), "PARCIALMENTE", IF(OR(K16="Não há recomendação", L16="Não há recomendação", K16="SEM RECOMENDAÇÃO", L16="SEM RECOMENDAÇÃO"), "NÃO RECOMENDOU", "ERROU"))), "")</f>
        <v/>
      </c>
      <c r="N16" s="22" t="inlineStr">
        <is>
          <t>Gerenciamento de Disponibilidade</t>
        </is>
      </c>
      <c r="O16" s="22" t="inlineStr">
        <is>
          <t>Gerenciamento de Incidentes</t>
        </is>
      </c>
      <c r="P16" s="22">
        <f>IF(N16&lt;&gt;"", IF(AND(C16=N16, D16=O16), "ACERTOU", IF(OR(C16=N16, D16=O16, C16=O16, D16=N16), "PARCIALMENTE", IF(OR(N16="Não há recomendação", O16="Não há recomendação", N16="SEM RECOMENDAÇÃO", O16="SEM RECOMENDAÇÃO"), "NÃO RECOMENDOU", "ERROU"))), "")</f>
        <v/>
      </c>
      <c r="Q16" s="23" t="n"/>
      <c r="R16" s="23" t="n"/>
      <c r="S16" s="23" t="n"/>
    </row>
    <row r="17">
      <c r="A17" t="n">
        <v>182</v>
      </c>
      <c r="B17" s="3" t="inlineStr">
        <is>
          <t>Problema de Piscar da Tela no Dell XPS</t>
        </is>
      </c>
      <c r="C17" s="4" t="inlineStr">
        <is>
          <t>Gerenciamento de Incidentes</t>
        </is>
      </c>
      <c r="D17" s="4" t="inlineStr">
        <is>
          <t>Gerenciamento de Configuração</t>
        </is>
      </c>
      <c r="E17" s="5" t="inlineStr">
        <is>
          <t>Gerenciamento de Incidentes</t>
        </is>
      </c>
      <c r="F17" s="5" t="inlineStr">
        <is>
          <t>Gerenciamento de Problemas</t>
        </is>
      </c>
      <c r="G17" s="6">
        <f>IF(E17&lt;&gt;"", IF(AND(C17=E17, D17=F17), "ACERTOU", IF(OR(C17=E17, D17=F17, C17=F17, D17=E17), "PARCIALMENTE", IF(OR(E17="Não há recomendação", F17="Não há recomendação", E17="SEM RECOMENDAÇÃO", F17="SEM RECOMENDAÇÃO"), "NÃO RECOMENDOU", "ERROU"))), "")</f>
        <v/>
      </c>
      <c r="H17" s="20" t="inlineStr">
        <is>
          <t>Gerenciamento de Incidentes</t>
        </is>
      </c>
      <c r="I17" s="20" t="inlineStr">
        <is>
          <t>Gerenciamento de Ativos de TI</t>
        </is>
      </c>
      <c r="J17" s="20">
        <f>IF(H17&lt;&gt;"", IF(AND(C17=H17, D17=I17), "ACERTOU", IF(OR(C17=H17, D17=I17, C17=I17, D17=H17), "PARCIALMENTE", IF(OR(H17="Não há recomendação", I17="Não há recomendação", H17="SEM RECOMENDAÇÃO", I17="SEM RECOMENDAÇÃO"), "NÃO RECOMENDOU", "ERROU"))), "")</f>
        <v/>
      </c>
      <c r="K17" s="21" t="inlineStr">
        <is>
          <t>Gerenciamento de Problemas</t>
        </is>
      </c>
      <c r="L17" s="21" t="inlineStr">
        <is>
          <t>Validação e Teste de Serviço</t>
        </is>
      </c>
      <c r="M17" s="21">
        <f>IF(K17&lt;&gt;"", IF(AND(C17=K17, D17=L17), "ACERTOU", IF(OR(C17=K17, D17=L17, C17=L17, D17=K17), "PARCIALMENTE", IF(OR(K17="Não há recomendação", L17="Não há recomendação", K17="SEM RECOMENDAÇÃO", L17="SEM RECOMENDAÇÃO"), "NÃO RECOMENDOU", "ERROU"))), "")</f>
        <v/>
      </c>
      <c r="N17" s="22" t="inlineStr">
        <is>
          <t>Gerenciamento de Problemas</t>
        </is>
      </c>
      <c r="O17" s="22" t="inlineStr">
        <is>
          <t>Gerenciamento de Incidentes</t>
        </is>
      </c>
      <c r="P17" s="22">
        <f>IF(N17&lt;&gt;"", IF(AND(C17=N17, D17=O17), "ACERTOU", IF(OR(C17=N17, D17=O17, C17=O17, D17=N17), "PARCIALMENTE", IF(OR(N17="Não há recomendação", O17="Não há recomendação", N17="SEM RECOMENDAÇÃO", O17="SEM RECOMENDAÇÃO"), "NÃO RECOMENDOU", "ERROU"))), "")</f>
        <v/>
      </c>
      <c r="Q17" s="23" t="n"/>
      <c r="R17" s="23" t="n"/>
      <c r="S17" s="23" t="n"/>
    </row>
    <row r="18" ht="30" customHeight="1">
      <c r="A18" t="n">
        <v>183</v>
      </c>
      <c r="B18" s="3" t="inlineStr">
        <is>
          <t>Cobrança Incorreta para o MySQL 8.0.30 Relato da Assinatura</t>
        </is>
      </c>
      <c r="C18" s="4" t="inlineStr">
        <is>
          <t>Gerenciamento Financeiro</t>
        </is>
      </c>
      <c r="D18" s="4" t="inlineStr">
        <is>
          <t>Gerenciamento de Incidentes</t>
        </is>
      </c>
      <c r="E18" s="5" t="inlineStr">
        <is>
          <t>Gerenciamento Financeiro de Serviços</t>
        </is>
      </c>
      <c r="F18" s="5" t="inlineStr">
        <is>
          <t>Gerenciamento de Requisição de Serviço</t>
        </is>
      </c>
      <c r="G18" s="6">
        <f>IF(E18&lt;&gt;"", IF(AND(C18=E18, D18=F18), "ACERTOU", IF(OR(C18=E18, D18=F18, C18=F18, D18=E18), "PARCIALMENTE", IF(OR(E18="Não há recomendação", F18="Não há recomendação", E18="SEM RECOMENDAÇÃO", F18="SEM RECOMENDAÇÃO"), "NÃO RECOMENDOU", "ERROU"))), "")</f>
        <v/>
      </c>
      <c r="H18" s="20" t="inlineStr">
        <is>
          <t>Gerenciamento Financeiro de Serviços</t>
        </is>
      </c>
      <c r="I18" s="20" t="inlineStr">
        <is>
          <t>Gerenciamento de Requisição de Serviço</t>
        </is>
      </c>
      <c r="J18" s="20">
        <f>IF(H18&lt;&gt;"", IF(AND(C18=H18, D18=I18), "ACERTOU", IF(OR(C18=H18, D18=I18, C18=I18, D18=H18), "PARCIALMENTE", IF(OR(H18="Não há recomendação", I18="Não há recomendação", H18="SEM RECOMENDAÇÃO", I18="SEM RECOMENDAÇÃO"), "NÃO RECOMENDOU", "ERROU"))), "")</f>
        <v/>
      </c>
      <c r="K18" s="21" t="inlineStr">
        <is>
          <t>Gerenciamento Financeiro de Serviços</t>
        </is>
      </c>
      <c r="L18" s="21" t="inlineStr">
        <is>
          <t>Gerenciamento de Nível de Serviço</t>
        </is>
      </c>
      <c r="M18" s="21">
        <f>IF(K18&lt;&gt;"", IF(AND(C18=K18, D18=L18), "ACERTOU", IF(OR(C18=K18, D18=L18, C18=L18, D18=K18), "PARCIALMENTE", IF(OR(K18="Não há recomendação", L18="Não há recomendação", K18="SEM RECOMENDAÇÃO", L18="SEM RECOMENDAÇÃO"), "NÃO RECOMENDOU", "ERROU"))), "")</f>
        <v/>
      </c>
      <c r="N18" s="22" t="inlineStr">
        <is>
          <t>Gerenciamento de Requisições de Serviço</t>
        </is>
      </c>
      <c r="O18" s="22" t="inlineStr">
        <is>
          <t>Não se aplica</t>
        </is>
      </c>
      <c r="P18" s="22">
        <f>IF(N18&lt;&gt;"", IF(AND(C18=N18, D18=O18), "ACERTOU", IF(OR(C18=N18, D18=O18, C18=O18, D18=N18), "PARCIALMENTE", IF(OR(N18="Não há recomendação", O18="Não há recomendação", N18="SEM RECOMENDAÇÃO", O18="SEM RECOMENDAÇÃO"), "NÃO RECOMENDOU", "ERROU"))), "")</f>
        <v/>
      </c>
      <c r="Q18" s="23" t="n"/>
      <c r="R18" s="23" t="n"/>
      <c r="S18" s="23" t="n"/>
    </row>
    <row r="19">
      <c r="A19" t="n">
        <v>189</v>
      </c>
      <c r="B19" s="3" t="inlineStr">
        <is>
          <t>Problema de Conectividade Wi-Fi</t>
        </is>
      </c>
      <c r="C19" s="4" t="inlineStr">
        <is>
          <t>Gerenciamento de Incidentes</t>
        </is>
      </c>
      <c r="D19" s="4" t="inlineStr">
        <is>
          <t>Gerenciamento de Problemas</t>
        </is>
      </c>
      <c r="E19" s="5" t="inlineStr">
        <is>
          <t>Gerenciamento de Incidentes</t>
        </is>
      </c>
      <c r="F19" s="5" t="inlineStr">
        <is>
          <t>Gerenciamento de Problemas</t>
        </is>
      </c>
      <c r="G19" s="6">
        <f>IF(E19&lt;&gt;"", IF(AND(C19=E19, D19=F19), "ACERTOU", IF(OR(C19=E19, D19=F19, C19=F19, D19=E19), "PARCIALMENTE", IF(OR(E19="Não há recomendação", F19="Não há recomendação", E19="SEM RECOMENDAÇÃO", F19="SEM RECOMENDAÇÃO"), "NÃO RECOMENDOU", "ERROU"))), "")</f>
        <v/>
      </c>
      <c r="H19" s="20" t="inlineStr">
        <is>
          <t>Gerenciamento de Incidentes</t>
        </is>
      </c>
      <c r="I19" s="20" t="inlineStr">
        <is>
          <t>Central de Serviço</t>
        </is>
      </c>
      <c r="J19" s="20">
        <f>IF(H19&lt;&gt;"", IF(AND(C19=H19, D19=I19), "ACERTOU", IF(OR(C19=H19, D19=I19, C19=I19, D19=H19), "PARCIALMENTE", IF(OR(H19="Não há recomendação", I19="Não há recomendação", H19="SEM RECOMENDAÇÃO", I19="SEM RECOMENDAÇÃO"), "NÃO RECOMENDOU", "ERROU"))), "")</f>
        <v/>
      </c>
      <c r="K19" s="21" t="inlineStr">
        <is>
          <t>Gerenciamento de Configuração de Serviço</t>
        </is>
      </c>
      <c r="L19" s="21" t="inlineStr">
        <is>
          <t>Gerenciamento de Conhecimento</t>
        </is>
      </c>
      <c r="M19" s="21">
        <f>IF(K19&lt;&gt;"", IF(AND(C19=K19, D19=L19), "ACERTOU", IF(OR(C19=K19, D19=L19, C19=L19, D19=K19), "PARCIALMENTE", IF(OR(K19="Não há recomendação", L19="Não há recomendação", K19="SEM RECOMENDAÇÃO", L19="SEM RECOMENDAÇÃO"), "NÃO RECOMENDOU", "ERROU"))), "")</f>
        <v/>
      </c>
      <c r="N19" s="22" t="inlineStr">
        <is>
          <t>Gerenciamento de Incidentes</t>
        </is>
      </c>
      <c r="O19" s="22" t="inlineStr">
        <is>
          <t>Gerenciamento de Configuração</t>
        </is>
      </c>
      <c r="P19" s="22">
        <f>IF(N19&lt;&gt;"", IF(AND(C19=N19, D19=O19), "ACERTOU", IF(OR(C19=N19, D19=O19, C19=O19, D19=N19), "PARCIALMENTE", IF(OR(N19="Não há recomendação", O19="Não há recomendação", N19="SEM RECOMENDAÇÃO", O19="SEM RECOMENDAÇÃO"), "NÃO RECOMENDOU", "ERROU"))), "")</f>
        <v/>
      </c>
      <c r="Q19" s="23" t="n"/>
      <c r="R19" s="23" t="n"/>
      <c r="S19" s="23" t="n"/>
    </row>
    <row r="20">
      <c r="A20" t="n">
        <v>194</v>
      </c>
      <c r="B20" s="3" t="inlineStr">
        <is>
          <t>Buscando Assistência Imediata para Problema de Ruído da Impressora HP DeskJet 3755</t>
        </is>
      </c>
      <c r="C20" s="4" t="inlineStr">
        <is>
          <t>Gerenciamento de Incidentes</t>
        </is>
      </c>
      <c r="D20" s="4" t="inlineStr">
        <is>
          <t>Gerenciamento de Ativos de TI</t>
        </is>
      </c>
      <c r="E20" s="5" t="inlineStr">
        <is>
          <t>Gerenciamento de Incidentes</t>
        </is>
      </c>
      <c r="F20" s="5" t="inlineStr">
        <is>
          <t>Gerenciamento de Ativos de TI</t>
        </is>
      </c>
      <c r="G20" s="6">
        <f>IF(E20&lt;&gt;"", IF(AND(C20=E20, D20=F20), "ACERTOU", IF(OR(C20=E20, D20=F20, C20=F20, D20=E20), "PARCIALMENTE", IF(OR(E20="Não há recomendação", F20="Não há recomendação", E20="SEM RECOMENDAÇÃO", F20="SEM RECOMENDAÇÃO"), "NÃO RECOMENDOU", "ERROU"))), "")</f>
        <v/>
      </c>
      <c r="H20" s="20" t="inlineStr">
        <is>
          <t>Gerenciamento de Incidentes</t>
        </is>
      </c>
      <c r="I20" s="20" t="inlineStr">
        <is>
          <t>Gerenciamento de Ativos de TI</t>
        </is>
      </c>
      <c r="J20" s="20">
        <f>IF(H20&lt;&gt;"", IF(AND(C20=H20, D20=I20), "ACERTOU", IF(OR(C20=H20, D20=I20, C20=I20, D20=H20), "PARCIALMENTE", IF(OR(H20="Não há recomendação", I20="Não há recomendação", H20="SEM RECOMENDAÇÃO", I20="SEM RECOMENDAÇÃO"), "NÃO RECOMENDOU", "ERROU"))), "")</f>
        <v/>
      </c>
      <c r="K20" s="21" t="inlineStr">
        <is>
          <t>Gerenciamento de Problemas</t>
        </is>
      </c>
      <c r="L20" s="21" t="inlineStr">
        <is>
          <t>Gerenciamento de Ativos de TI</t>
        </is>
      </c>
      <c r="M20" s="21">
        <f>IF(K20&lt;&gt;"", IF(AND(C20=K20, D20=L20), "ACERTOU", IF(OR(C20=K20, D20=L20, C20=L20, D20=K20), "PARCIALMENTE", IF(OR(K20="Não há recomendação", L20="Não há recomendação", K20="SEM RECOMENDAÇÃO", L20="SEM RECOMENDAÇÃO"), "NÃO RECOMENDOU", "ERROU"))), "")</f>
        <v/>
      </c>
      <c r="N20" s="22" t="inlineStr">
        <is>
          <t>Gerenciamento de Incidentes</t>
        </is>
      </c>
      <c r="O20" s="22" t="inlineStr">
        <is>
          <t>Gerenciamento de Ativos de TI</t>
        </is>
      </c>
      <c r="P20" s="22">
        <f>IF(N20&lt;&gt;"", IF(AND(C20=N20, D20=O20), "ACERTOU", IF(OR(C20=N20, D20=O20, C20=O20, D20=N20), "PARCIALMENTE", IF(OR(N20="Não há recomendação", O20="Não há recomendação", N20="SEM RECOMENDAÇÃO", O20="SEM RECOMENDAÇÃO"), "NÃO RECOMENDOU", "ERROU"))), "")</f>
        <v/>
      </c>
      <c r="Q20" s="23" t="n"/>
      <c r="R20" s="23" t="n"/>
      <c r="S20" s="23" t="n"/>
    </row>
    <row r="21">
      <c r="A21" t="n">
        <v>201</v>
      </c>
      <c r="B21" s="3" t="inlineStr">
        <is>
          <t>Solicitação de Assistência com Erro de Instalação do Office 365</t>
        </is>
      </c>
      <c r="C21" s="4" t="inlineStr">
        <is>
          <t>Gerenciamento de Incidentes</t>
        </is>
      </c>
      <c r="D21" s="4" t="inlineStr">
        <is>
          <t>Gerenciamento de Mudanças</t>
        </is>
      </c>
      <c r="E21" s="5" t="inlineStr">
        <is>
          <t>Gerenciamento de Incidentes</t>
        </is>
      </c>
      <c r="F21" s="5" t="inlineStr">
        <is>
          <t>Gerenciamento de Conhecimento</t>
        </is>
      </c>
      <c r="G21" s="6">
        <f>IF(E21&lt;&gt;"", IF(AND(C21=E21, D21=F21), "ACERTOU", IF(OR(C21=E21, D21=F21, C21=F21, D21=E21), "PARCIALMENTE", IF(OR(E21="Não há recomendação", F21="Não há recomendação", E21="SEM RECOMENDAÇÃO", F21="SEM RECOMENDAÇÃO"), "NÃO RECOMENDOU", "ERROU"))), "")</f>
        <v/>
      </c>
      <c r="H21" s="20" t="inlineStr">
        <is>
          <t>Gerenciamento de Incidentes</t>
        </is>
      </c>
      <c r="I21" s="20" t="inlineStr">
        <is>
          <t>Central de Serviço</t>
        </is>
      </c>
      <c r="J21" s="20">
        <f>IF(H21&lt;&gt;"", IF(AND(C21=H21, D21=I21), "ACERTOU", IF(OR(C21=H21, D21=I21, C21=I21, D21=H21), "PARCIALMENTE", IF(OR(H21="Não há recomendação", I21="Não há recomendação", H21="SEM RECOMENDAÇÃO", I21="SEM RECOMENDAÇÃO"), "NÃO RECOMENDOU", "ERROU"))), "")</f>
        <v/>
      </c>
      <c r="K21" s="21" t="inlineStr">
        <is>
          <t>Validação e Teste de Serviço</t>
        </is>
      </c>
      <c r="L21" s="21" t="inlineStr">
        <is>
          <t>Gerenciamento de Liberação</t>
        </is>
      </c>
      <c r="M21" s="21">
        <f>IF(K21&lt;&gt;"", IF(AND(C21=K21, D21=L21), "ACERTOU", IF(OR(C21=K21, D21=L21, C21=L21, D21=K21), "PARCIALMENTE", IF(OR(K21="Não há recomendação", L21="Não há recomendação", K21="SEM RECOMENDAÇÃO", L21="SEM RECOMENDAÇÃO"), "NÃO RECOMENDOU", "ERROU"))), "")</f>
        <v/>
      </c>
      <c r="N21" s="22" t="inlineStr">
        <is>
          <t>Gerenciamento de Requisições de Serviço</t>
        </is>
      </c>
      <c r="O21" s="22" t="inlineStr">
        <is>
          <t>Gerenciamento de Incidentes</t>
        </is>
      </c>
      <c r="P21" s="22">
        <f>IF(N21&lt;&gt;"", IF(AND(C21=N21, D21=O21), "ACERTOU", IF(OR(C21=N21, D21=O21, C21=O21, D21=N21), "PARCIALMENTE", IF(OR(N21="Não há recomendação", O21="Não há recomendação", N21="SEM RECOMENDAÇÃO", O21="SEM RECOMENDAÇÃO"), "NÃO RECOMENDOU", "ERROU"))), "")</f>
        <v/>
      </c>
      <c r="Q21" s="23" t="n"/>
      <c r="R21" s="23" t="n"/>
      <c r="S21" s="23" t="n"/>
    </row>
    <row r="22" ht="30" customHeight="1">
      <c r="A22" t="n">
        <v>203</v>
      </c>
      <c r="B22" s="3" t="inlineStr">
        <is>
          <t>Problema com a Precisão da Transação de Software</t>
        </is>
      </c>
      <c r="C22" s="4" t="inlineStr">
        <is>
          <t>Gerenciamento Financeiro</t>
        </is>
      </c>
      <c r="D22" s="4" t="inlineStr">
        <is>
          <t>Gerenciamento de Incidentes</t>
        </is>
      </c>
      <c r="E22" s="5" t="inlineStr">
        <is>
          <t>Gerenciamento Financeiro de Serviços</t>
        </is>
      </c>
      <c r="F22" s="5" t="inlineStr">
        <is>
          <t>Gerenciamento de Requisição de Serviço</t>
        </is>
      </c>
      <c r="G22" s="6">
        <f>IF(E22&lt;&gt;"", IF(AND(C22=E22, D22=F22), "ACERTOU", IF(OR(C22=E22, D22=F22, C22=F22, D22=E22), "PARCIALMENTE", IF(OR(E22="Não há recomendação", F22="Não há recomendação", E22="SEM RECOMENDAÇÃO", F22="SEM RECOMENDAÇÃO"), "NÃO RECOMENDOU", "ERROU"))), "")</f>
        <v/>
      </c>
      <c r="H22" s="20" t="inlineStr">
        <is>
          <t>Gerenciamento Financeiro de Serviços</t>
        </is>
      </c>
      <c r="I22" s="20" t="inlineStr">
        <is>
          <t>Gerenciamento de Requisição de Serviço</t>
        </is>
      </c>
      <c r="J22" s="20">
        <f>IF(H22&lt;&gt;"", IF(AND(C22=H22, D22=I22), "ACERTOU", IF(OR(C22=H22, D22=I22, C22=I22, D22=H22), "PARCIALMENTE", IF(OR(H22="Não há recomendação", I22="Não há recomendação", H22="SEM RECOMENDAÇÃO", I22="SEM RECOMENDAÇÃO"), "NÃO RECOMENDOU", "ERROU"))), "")</f>
        <v/>
      </c>
      <c r="K22" s="21" t="inlineStr">
        <is>
          <t>Gerenciamento Financeiro de Serviços</t>
        </is>
      </c>
      <c r="L22" s="21" t="inlineStr">
        <is>
          <t>Gerenciamento de Relacionamento</t>
        </is>
      </c>
      <c r="M22" s="21">
        <f>IF(K22&lt;&gt;"", IF(AND(C22=K22, D22=L22), "ACERTOU", IF(OR(C22=K22, D22=L22, C22=L22, D22=K22), "PARCIALMENTE", IF(OR(K22="Não há recomendação", L22="Não há recomendação", K22="SEM RECOMENDAÇÃO", L22="SEM RECOMENDAÇÃO"), "NÃO RECOMENDOU", "ERROU"))), "")</f>
        <v/>
      </c>
      <c r="N22" s="22" t="inlineStr">
        <is>
          <t>Gerenciamento de Requisições de Serviço</t>
        </is>
      </c>
      <c r="O22" s="22" t="inlineStr">
        <is>
          <t>Não se aplica</t>
        </is>
      </c>
      <c r="P22" s="22">
        <f>IF(N22&lt;&gt;"", IF(AND(C22=N22, D22=O22), "ACERTOU", IF(OR(C22=N22, D22=O22, C22=O22, D22=N22), "PARCIALMENTE", IF(OR(N22="Não há recomendação", O22="Não há recomendação", N22="SEM RECOMENDAÇÃO", O22="SEM RECOMENDAÇÃO"), "NÃO RECOMENDOU", "ERROU"))), "")</f>
        <v/>
      </c>
      <c r="Q22" s="23" t="n"/>
      <c r="R22" s="23" t="n"/>
      <c r="S22" s="23" t="n"/>
    </row>
    <row r="23">
      <c r="A23" t="n">
        <v>205</v>
      </c>
      <c r="B23" s="3" t="inlineStr">
        <is>
          <t>Assistência necessária para configuração sem fio da HP DeskJet 3755</t>
        </is>
      </c>
      <c r="C23" s="4" t="inlineStr">
        <is>
          <t>Solicitação de Serviço</t>
        </is>
      </c>
      <c r="D23" s="4" t="inlineStr">
        <is>
          <t>Gerenciamento de Incidentes</t>
        </is>
      </c>
      <c r="E23" s="5" t="inlineStr">
        <is>
          <t>Gerenciamento de Requisição de Serviço</t>
        </is>
      </c>
      <c r="F23" s="5" t="inlineStr">
        <is>
          <t>Gerenciamento de Conhecimento</t>
        </is>
      </c>
      <c r="G23" s="6">
        <f>IF(E23&lt;&gt;"", IF(AND(C23=E23, D23=F23), "ACERTOU", IF(OR(C23=E23, D23=F23, C23=F23, D23=E23), "PARCIALMENTE", IF(OR(E23="Não há recomendação", F23="Não há recomendação", E23="SEM RECOMENDAÇÃO", F23="SEM RECOMENDAÇÃO"), "NÃO RECOMENDOU", "ERROU"))), "")</f>
        <v/>
      </c>
      <c r="H23" s="20" t="inlineStr">
        <is>
          <t>Gerenciamento de Requisição de Serviço</t>
        </is>
      </c>
      <c r="I23" s="20" t="inlineStr">
        <is>
          <t>Central de Serviço</t>
        </is>
      </c>
      <c r="J23" s="20">
        <f>IF(H23&lt;&gt;"", IF(AND(C23=H23, D23=I23), "ACERTOU", IF(OR(C23=H23, D23=I23, C23=I23, D23=H23), "PARCIALMENTE", IF(OR(H23="Não há recomendação", I23="Não há recomendação", H23="SEM RECOMENDAÇÃO", I23="SEM RECOMENDAÇÃO"), "NÃO RECOMENDOU", "ERROU"))), "")</f>
        <v/>
      </c>
      <c r="K23" s="21" t="inlineStr">
        <is>
          <t>Gerenciamento de Requisição de Serviço</t>
        </is>
      </c>
      <c r="L23" s="21" t="inlineStr">
        <is>
          <t>Gerenciamento de Conhecimento</t>
        </is>
      </c>
      <c r="M23" s="21">
        <f>IF(K23&lt;&gt;"", IF(AND(C23=K23, D23=L23), "ACERTOU", IF(OR(C23=K23, D23=L23, C23=L23, D23=K23), "PARCIALMENTE", IF(OR(K23="Não há recomendação", L23="Não há recomendação", K23="SEM RECOMENDAÇÃO", L23="SEM RECOMENDAÇÃO"), "NÃO RECOMENDOU", "ERROU"))), "")</f>
        <v/>
      </c>
      <c r="N23" s="22" t="inlineStr">
        <is>
          <t>Gerenciamento de Requisições de Serviço</t>
        </is>
      </c>
      <c r="O23" s="22" t="inlineStr">
        <is>
          <t>Não se aplica</t>
        </is>
      </c>
      <c r="P23" s="22">
        <f>IF(N23&lt;&gt;"", IF(AND(C23=N23, D23=O23), "ACERTOU", IF(OR(C23=N23, D23=O23, C23=O23, D23=N23), "PARCIALMENTE", IF(OR(N23="Não há recomendação", O23="Não há recomendação", N23="SEM RECOMENDAÇÃO", O23="SEM RECOMENDAÇÃO"), "NÃO RECOMENDOU", "ERROU"))), "")</f>
        <v/>
      </c>
      <c r="Q23" s="23" t="n"/>
      <c r="R23" s="23" t="n"/>
      <c r="S23" s="23" t="n"/>
    </row>
    <row r="24" ht="30" customHeight="1">
      <c r="A24" t="n">
        <v>219</v>
      </c>
      <c r="B24" s="3" t="inlineStr">
        <is>
          <t>Consultoria para Otimização de Desempenho de Servidores</t>
        </is>
      </c>
      <c r="C24" s="4" t="inlineStr">
        <is>
          <t>Solicitação de Serviço</t>
        </is>
      </c>
      <c r="D24" s="4" t="inlineStr">
        <is>
          <t>Gerenciamento de Capacidade</t>
        </is>
      </c>
      <c r="E24" s="5" t="inlineStr">
        <is>
          <t>Análise de Negócio</t>
        </is>
      </c>
      <c r="F24" s="5" t="inlineStr">
        <is>
          <t>Gerenciamento de Capacidade e Desempenho</t>
        </is>
      </c>
      <c r="G24" s="6">
        <f>IF(E24&lt;&gt;"", IF(AND(C24=E24, D24=F24), "ACERTOU", IF(OR(C24=E24, D24=F24, C24=F24, D24=E24), "PARCIALMENTE", IF(OR(E24="Não há recomendação", F24="Não há recomendação", E24="SEM RECOMENDAÇÃO", F24="SEM RECOMENDAÇÃO"), "NÃO RECOMENDOU", "ERROU"))), "")</f>
        <v/>
      </c>
      <c r="H24" s="20" t="inlineStr">
        <is>
          <t>Gerenciamento de Capacidade e Desempenho</t>
        </is>
      </c>
      <c r="I24" s="20" t="inlineStr">
        <is>
          <t>Melhoria Contínua</t>
        </is>
      </c>
      <c r="J24" s="20">
        <f>IF(H24&lt;&gt;"", IF(AND(C24=H24, D24=I24), "ACERTOU", IF(OR(C24=H24, D24=I24, C24=I24, D24=H24), "PARCIALMENTE", IF(OR(H24="Não há recomendação", I24="Não há recomendação", H24="SEM RECOMENDAÇÃO", I24="SEM RECOMENDAÇÃO"), "NÃO RECOMENDOU", "ERROU"))), "")</f>
        <v/>
      </c>
      <c r="K24" s="21" t="inlineStr">
        <is>
          <t>Gerenciamento de Capacidade e Desempenho</t>
        </is>
      </c>
      <c r="L24" s="21" t="inlineStr">
        <is>
          <t>Gerenciamento de Relacionamento</t>
        </is>
      </c>
      <c r="M24" s="21">
        <f>IF(K24&lt;&gt;"", IF(AND(C24=K24, D24=L24), "ACERTOU", IF(OR(C24=K24, D24=L24, C24=L24, D24=K24), "PARCIALMENTE", IF(OR(K24="Não há recomendação", L24="Não há recomendação", K24="SEM RECOMENDAÇÃO", L24="SEM RECOMENDAÇÃO"), "NÃO RECOMENDOU", "ERROU"))), "")</f>
        <v/>
      </c>
      <c r="N24" s="22" t="inlineStr">
        <is>
          <t>Melhoria Contínua</t>
        </is>
      </c>
      <c r="O24" s="22" t="inlineStr">
        <is>
          <t>Gerenciamento de Capacidade</t>
        </is>
      </c>
      <c r="P24" s="22">
        <f>IF(N24&lt;&gt;"", IF(AND(C24=N24, D24=O24), "ACERTOU", IF(OR(C24=N24, D24=O24, C24=O24, D24=N24), "PARCIALMENTE", IF(OR(N24="Não há recomendação", O24="Não há recomendação", N24="SEM RECOMENDAÇÃO", O24="SEM RECOMENDAÇÃO"), "NÃO RECOMENDOU", "ERROU"))), "")</f>
        <v/>
      </c>
      <c r="Q24" s="23" t="n"/>
      <c r="R24" s="23" t="n"/>
      <c r="S24" s="23" t="n"/>
    </row>
    <row r="25">
      <c r="A25" t="n">
        <v>223</v>
      </c>
      <c r="B25" s="3" t="inlineStr">
        <is>
          <t>Atualização do Fluxo de Trabalho do Jira</t>
        </is>
      </c>
      <c r="C25" s="4" t="inlineStr">
        <is>
          <t>Gerenciamento de Mudanças</t>
        </is>
      </c>
      <c r="D25" s="4" t="inlineStr">
        <is>
          <t>Gerenciamento de Problemas</t>
        </is>
      </c>
      <c r="E25" s="5" t="inlineStr">
        <is>
          <t>Habilitação de Mudança</t>
        </is>
      </c>
      <c r="F25" s="5" t="inlineStr">
        <is>
          <t>Análise de Negócio</t>
        </is>
      </c>
      <c r="G25" s="6">
        <f>IF(E25&lt;&gt;"", IF(AND(C25=E25, D25=F25), "ACERTOU", IF(OR(C25=E25, D25=F25, C25=F25, D25=E25), "PARCIALMENTE", IF(OR(E25="Não há recomendação", F25="Não há recomendação", E25="SEM RECOMENDAÇÃO", F25="SEM RECOMENDAÇÃO"), "NÃO RECOMENDOU", "ERROU"))), "")</f>
        <v/>
      </c>
      <c r="H25" s="20" t="inlineStr">
        <is>
          <t>Habilitação de Mudança</t>
        </is>
      </c>
      <c r="I25" s="20" t="inlineStr">
        <is>
          <t>Melhoria Contínua</t>
        </is>
      </c>
      <c r="J25" s="20">
        <f>IF(H25&lt;&gt;"", IF(AND(C25=H25, D25=I25), "ACERTOU", IF(OR(C25=H25, D25=I25, C25=I25, D25=H25), "PARCIALMENTE", IF(OR(H25="Não há recomendação", I25="Não há recomendação", H25="SEM RECOMENDAÇÃO", I25="SEM RECOMENDAÇÃO"), "NÃO RECOMENDOU", "ERROU"))), "")</f>
        <v/>
      </c>
      <c r="K25" s="21" t="inlineStr">
        <is>
          <t>Habilitação de Mudança</t>
        </is>
      </c>
      <c r="L25" s="21" t="inlineStr">
        <is>
          <t>Desenho de Serviço</t>
        </is>
      </c>
      <c r="M25" s="21">
        <f>IF(K25&lt;&gt;"", IF(AND(C25=K25, D25=L25), "ACERTOU", IF(OR(C25=K25, D25=L25, C25=L25, D25=K25), "PARCIALMENTE", IF(OR(K25="Não há recomendação", L25="Não há recomendação", K25="SEM RECOMENDAÇÃO", L25="SEM RECOMENDAÇÃO"), "NÃO RECOMENDOU", "ERROU"))), "")</f>
        <v/>
      </c>
      <c r="N25" s="22" t="inlineStr">
        <is>
          <t>Gerenciamento de Mudanças</t>
        </is>
      </c>
      <c r="O25" s="22" t="inlineStr">
        <is>
          <t>Gerenciamento de Configuração</t>
        </is>
      </c>
      <c r="P25" s="22">
        <f>IF(N25&lt;&gt;"", IF(AND(C25=N25, D25=O25), "ACERTOU", IF(OR(C25=N25, D25=O25, C25=O25, D25=N25), "PARCIALMENTE", IF(OR(N25="Não há recomendação", O25="Não há recomendação", N25="SEM RECOMENDAÇÃO", O25="SEM RECOMENDAÇÃO"), "NÃO RECOMENDOU", "ERROU"))), "")</f>
        <v/>
      </c>
      <c r="Q25" s="23" t="n"/>
      <c r="R25" s="23" t="n"/>
      <c r="S25" s="23" t="n"/>
    </row>
    <row r="26">
      <c r="A26" t="n">
        <v>225</v>
      </c>
      <c r="B26" s="3" t="inlineStr">
        <is>
          <t>Cliente Precisa de Modo Escuro e Extensões para Configuração do VS Code</t>
        </is>
      </c>
      <c r="C26" s="4" t="inlineStr">
        <is>
          <t>Solicitação de Serviço</t>
        </is>
      </c>
      <c r="D26" s="4" t="inlineStr">
        <is>
          <t>Gerenciamento de Configuração</t>
        </is>
      </c>
      <c r="E26" s="5" t="inlineStr">
        <is>
          <t>Gerenciamento de Requisição de Serviço</t>
        </is>
      </c>
      <c r="F26" s="5" t="inlineStr">
        <is>
          <t>Gerenciamento de Conhecimento</t>
        </is>
      </c>
      <c r="G26" s="6">
        <f>IF(E26&lt;&gt;"", IF(AND(C26=E26, D26=F26), "ACERTOU", IF(OR(C26=E26, D26=F26, C26=F26, D26=E26), "PARCIALMENTE", IF(OR(E26="Não há recomendação", F26="Não há recomendação", E26="SEM RECOMENDAÇÃO", F26="SEM RECOMENDAÇÃO"), "NÃO RECOMENDOU", "ERROU"))), "")</f>
        <v/>
      </c>
      <c r="H26" s="20" t="inlineStr">
        <is>
          <t>Gerenciamento de Requisição de Serviço</t>
        </is>
      </c>
      <c r="I26" s="20" t="inlineStr">
        <is>
          <t>Central de Serviço</t>
        </is>
      </c>
      <c r="J26" s="20">
        <f>IF(H26&lt;&gt;"", IF(AND(C26=H26, D26=I26), "ACERTOU", IF(OR(C26=H26, D26=I26, C26=I26, D26=H26), "PARCIALMENTE", IF(OR(H26="Não há recomendação", I26="Não há recomendação", H26="SEM RECOMENDAÇÃO", I26="SEM RECOMENDAÇÃO"), "NÃO RECOMENDOU", "ERROU"))), "")</f>
        <v/>
      </c>
      <c r="K26" s="21" t="inlineStr">
        <is>
          <t>Gerenciamento de Requisição de Serviço</t>
        </is>
      </c>
      <c r="L26" s="21" t="inlineStr">
        <is>
          <t>Gerenciamento de Configuração de Serviço</t>
        </is>
      </c>
      <c r="M26" s="21">
        <f>IF(K26&lt;&gt;"", IF(AND(C26=K26, D26=L26), "ACERTOU", IF(OR(C26=K26, D26=L26, C26=L26, D26=K26), "PARCIALMENTE", IF(OR(K26="Não há recomendação", L26="Não há recomendação", K26="SEM RECOMENDAÇÃO", L26="SEM RECOMENDAÇÃO"), "NÃO RECOMENDOU", "ERROU"))), "")</f>
        <v/>
      </c>
      <c r="N26" s="22" t="inlineStr">
        <is>
          <t>Gerenciamento de Requisições de Serviço</t>
        </is>
      </c>
      <c r="O26" s="22" t="inlineStr">
        <is>
          <t>Não se aplica</t>
        </is>
      </c>
      <c r="P26" s="22">
        <f>IF(N26&lt;&gt;"", IF(AND(C26=N26, D26=O26), "ACERTOU", IF(OR(C26=N26, D26=O26, C26=O26, D26=N26), "PARCIALMENTE", IF(OR(N26="Não há recomendação", O26="Não há recomendação", N26="SEM RECOMENDAÇÃO", O26="SEM RECOMENDAÇÃO"), "NÃO RECOMENDOU", "ERROU"))), "")</f>
        <v/>
      </c>
      <c r="Q26" s="23" t="n"/>
      <c r="R26" s="23" t="n"/>
      <c r="S26" s="23" t="n"/>
    </row>
    <row r="27">
      <c r="A27" t="n">
        <v>228</v>
      </c>
      <c r="B27" s="3" t="inlineStr">
        <is>
          <t>Assistência Necessária: Problema de Configuração Sem Fio</t>
        </is>
      </c>
      <c r="C27" s="4" t="inlineStr">
        <is>
          <t>Solicitação de Serviço</t>
        </is>
      </c>
      <c r="D27" s="4" t="inlineStr">
        <is>
          <t>Gerenciamento de Incidentes</t>
        </is>
      </c>
      <c r="E27" s="5" t="inlineStr">
        <is>
          <t>Gerenciamento de Requisição de Serviço</t>
        </is>
      </c>
      <c r="F27" s="5" t="inlineStr">
        <is>
          <t>Gerenciamento de Conhecimento</t>
        </is>
      </c>
      <c r="G27" s="6">
        <f>IF(E27&lt;&gt;"", IF(AND(C27=E27, D27=F27), "ACERTOU", IF(OR(C27=E27, D27=F27, C27=F27, D27=E27), "PARCIALMENTE", IF(OR(E27="Não há recomendação", F27="Não há recomendação", E27="SEM RECOMENDAÇÃO", F27="SEM RECOMENDAÇÃO"), "NÃO RECOMENDOU", "ERROU"))), "")</f>
        <v/>
      </c>
      <c r="H27" s="20" t="inlineStr">
        <is>
          <t>Gerenciamento de Requisição de Serviço</t>
        </is>
      </c>
      <c r="I27" s="20" t="inlineStr">
        <is>
          <t>Central de Serviço</t>
        </is>
      </c>
      <c r="J27" s="20">
        <f>IF(H27&lt;&gt;"", IF(AND(C27=H27, D27=I27), "ACERTOU", IF(OR(C27=H27, D27=I27, C27=I27, D27=H27), "PARCIALMENTE", IF(OR(H27="Não há recomendação", I27="Não há recomendação", H27="SEM RECOMENDAÇÃO", I27="SEM RECOMENDAÇÃO"), "NÃO RECOMENDOU", "ERROU"))), "")</f>
        <v/>
      </c>
      <c r="K27" s="21" t="inlineStr">
        <is>
          <t>Gerenciamento de Requisição de Serviço</t>
        </is>
      </c>
      <c r="L27" s="21" t="inlineStr">
        <is>
          <t>Gerenciamento de Conhecimento</t>
        </is>
      </c>
      <c r="M27" s="21">
        <f>IF(K27&lt;&gt;"", IF(AND(C27=K27, D27=L27), "ACERTOU", IF(OR(C27=K27, D27=L27, C27=L27, D27=K27), "PARCIALMENTE", IF(OR(K27="Não há recomendação", L27="Não há recomendação", K27="SEM RECOMENDAÇÃO", L27="SEM RECOMENDAÇÃO"), "NÃO RECOMENDOU", "ERROU"))), "")</f>
        <v/>
      </c>
      <c r="N27" s="22" t="inlineStr">
        <is>
          <t>Gerenciamento de Requisições de Serviço</t>
        </is>
      </c>
      <c r="O27" s="22" t="inlineStr">
        <is>
          <t>Não se aplica</t>
        </is>
      </c>
      <c r="P27" s="22">
        <f>IF(N27&lt;&gt;"", IF(AND(C27=N27, D27=O27), "ACERTOU", IF(OR(C27=N27, D27=O27, C27=O27, D27=N27), "PARCIALMENTE", IF(OR(N27="Não há recomendação", O27="Não há recomendação", N27="SEM RECOMENDAÇÃO", O27="SEM RECOMENDAÇÃO"), "NÃO RECOMENDOU", "ERROU"))), "")</f>
        <v/>
      </c>
      <c r="Q27" s="23" t="n"/>
      <c r="R27" s="23" t="n"/>
      <c r="S27" s="23" t="n"/>
    </row>
    <row r="28">
      <c r="A28" t="n">
        <v>229</v>
      </c>
      <c r="B28" s="3" t="inlineStr">
        <is>
          <t>Urgente: Problema de Acesso ao Jira</t>
        </is>
      </c>
      <c r="C28" s="4" t="inlineStr">
        <is>
          <t>Gerenciamento de Incidentes</t>
        </is>
      </c>
      <c r="D28" s="4" t="inlineStr">
        <is>
          <t>Gerenciamento de Acesso</t>
        </is>
      </c>
      <c r="E28" s="5" t="inlineStr">
        <is>
          <t>Gerenciamento de Incidentes</t>
        </is>
      </c>
      <c r="F28" s="5" t="inlineStr">
        <is>
          <t>Gerenciamento de Acessos</t>
        </is>
      </c>
      <c r="G28" s="6">
        <f>IF(E28&lt;&gt;"", IF(AND(C28=E28, D28=F28), "ACERTOU", IF(OR(C28=E28, D28=F28, C28=F28, D28=E28), "PARCIALMENTE", IF(OR(E28="Não há recomendação", F28="Não há recomendação", E28="SEM RECOMENDAÇÃO", F28="SEM RECOMENDAÇÃO"), "NÃO RECOMENDOU", "ERROU"))), "")</f>
        <v/>
      </c>
      <c r="H28" s="20" t="inlineStr">
        <is>
          <t>Gerenciamento de Incidentes</t>
        </is>
      </c>
      <c r="I28" s="20" t="inlineStr">
        <is>
          <t>Gerenciamento de Acesso</t>
        </is>
      </c>
      <c r="J28" s="20">
        <f>IF(H28&lt;&gt;"", IF(AND(C28=H28, D28=I28), "ACERTOU", IF(OR(C28=H28, D28=I28, C28=I28, D28=H28), "PARCIALMENTE", IF(OR(H28="Não há recomendação", I28="Não há recomendação", H28="SEM RECOMENDAÇÃO", I28="SEM RECOMENDAÇÃO"), "NÃO RECOMENDOU", "ERROU"))), "")</f>
        <v/>
      </c>
      <c r="K28" s="21" t="inlineStr">
        <is>
          <t>Gerenciamento de Segurança da Informação</t>
        </is>
      </c>
      <c r="L28" s="21" t="inlineStr">
        <is>
          <t>Gerenciamento de Identidade e Acesso</t>
        </is>
      </c>
      <c r="M28" s="21">
        <f>IF(K28&lt;&gt;"", IF(AND(C28=K28, D28=L28), "ACERTOU", IF(OR(C28=K28, D28=L28, C28=L28, D28=K28), "PARCIALMENTE", IF(OR(K28="Não há recomendação", L28="Não há recomendação", K28="SEM RECOMENDAÇÃO", L28="SEM RECOMENDAÇÃO"), "NÃO RECOMENDOU", "ERROU"))), "")</f>
        <v/>
      </c>
      <c r="N28" s="22" t="inlineStr">
        <is>
          <t>Gerenciamento de Acesso</t>
        </is>
      </c>
      <c r="O28" s="22" t="inlineStr">
        <is>
          <t>Gerenciamento de Incidentes</t>
        </is>
      </c>
      <c r="P28" s="22">
        <f>IF(N28&lt;&gt;"", IF(AND(C28=N28, D28=O28), "ACERTOU", IF(OR(C28=N28, D28=O28, C28=O28, D28=N28), "PARCIALMENTE", IF(OR(N28="Não há recomendação", O28="Não há recomendação", N28="SEM RECOMENDAÇÃO", O28="SEM RECOMENDAÇÃO"), "NÃO RECOMENDOU", "ERROU"))), "")</f>
        <v/>
      </c>
      <c r="Q28" s="23" t="n"/>
      <c r="R28" s="23" t="n"/>
      <c r="S28" s="23" t="n"/>
    </row>
    <row r="29">
      <c r="A29" t="n">
        <v>230</v>
      </c>
      <c r="B29" s="3" t="inlineStr">
        <is>
          <t>Consulta sobre o Dell XPS 13</t>
        </is>
      </c>
      <c r="C29" s="4" t="inlineStr">
        <is>
          <t>Solicitação de Serviço</t>
        </is>
      </c>
      <c r="D29" s="4" t="inlineStr">
        <is>
          <t>Gerenciamento de Ativos de TI</t>
        </is>
      </c>
      <c r="E29" s="5" t="inlineStr">
        <is>
          <t>Não há recomendação</t>
        </is>
      </c>
      <c r="F29" s="5" t="inlineStr">
        <is>
          <t>SEM RECOMENDAÇÃO</t>
        </is>
      </c>
      <c r="G29" s="6">
        <f>IF(E29&lt;&gt;"", IF(AND(C29=E29, D29=F29), "ACERTOU", IF(OR(C29=E29, D29=F29, C29=F29, D29=E29), "PARCIALMENTE", IF(OR(E29="Não há recomendação", F29="Não há recomendação", E29="SEM RECOMENDAÇÃO", F29="SEM RECOMENDAÇÃO"), "NÃO RECOMENDOU", "ERROU"))), "")</f>
        <v/>
      </c>
      <c r="H29" s="20" t="inlineStr">
        <is>
          <t>Não há recomendação</t>
        </is>
      </c>
      <c r="I29" s="20" t="inlineStr">
        <is>
          <t>SEM RECOMENDAÇÃO</t>
        </is>
      </c>
      <c r="J29" s="20">
        <f>IF(H29&lt;&gt;"", IF(AND(C29=H29, D29=I29), "ACERTOU", IF(OR(C29=H29, D29=I29, C29=I29, D29=H29), "PARCIALMENTE", IF(OR(H29="Não há recomendação", I29="Não há recomendação", H29="SEM RECOMENDAÇÃO", I29="SEM RECOMENDAÇÃO"), "NÃO RECOMENDOU", "ERROU"))), "")</f>
        <v/>
      </c>
      <c r="K29" s="21" t="inlineStr">
        <is>
          <t>Gerenciamento de Catálogo de Serviço</t>
        </is>
      </c>
      <c r="L29" s="21" t="inlineStr">
        <is>
          <t>Gerenciamento de Relacionamento</t>
        </is>
      </c>
      <c r="M29" s="21">
        <f>IF(K29&lt;&gt;"", IF(AND(C29=K29, D29=L29), "ACERTOU", IF(OR(C29=K29, D29=L29, C29=L29, D29=K29), "PARCIALMENTE", IF(OR(K29="Não há recomendação", L29="Não há recomendação", K29="SEM RECOMENDAÇÃO", L29="SEM RECOMENDAÇÃO"), "NÃO RECOMENDOU", "ERROU"))), "")</f>
        <v/>
      </c>
      <c r="N29" s="22" t="inlineStr">
        <is>
          <t>Gerenciamento de Requisições de Serviço</t>
        </is>
      </c>
      <c r="O29" s="22" t="inlineStr">
        <is>
          <t>Não se aplica</t>
        </is>
      </c>
      <c r="P29" s="22">
        <f>IF(N29&lt;&gt;"", IF(AND(C29=N29, D29=O29), "ACERTOU", IF(OR(C29=N29, D29=O29, C29=O29, D29=N29), "PARCIALMENTE", IF(OR(N29="Não há recomendação", O29="Não há recomendação", N29="SEM RECOMENDAÇÃO", O29="SEM RECOMENDAÇÃO"), "NÃO RECOMENDOU", "ERROU"))), "")</f>
        <v/>
      </c>
      <c r="Q29" s="23" t="n"/>
      <c r="R29" s="23" t="n"/>
      <c r="S29" s="23" t="n"/>
    </row>
    <row r="30">
      <c r="A30" t="n">
        <v>234</v>
      </c>
      <c r="B30" s="3" t="inlineStr">
        <is>
          <t>Suporte para Resolução de Problemas com Atolamentos de Papel Consistentes</t>
        </is>
      </c>
      <c r="C30" s="4" t="inlineStr">
        <is>
          <t>Gerenciamento de Incidentes</t>
        </is>
      </c>
      <c r="D30" s="4" t="inlineStr">
        <is>
          <t>Gerenciamento de Problemas</t>
        </is>
      </c>
      <c r="E30" s="5" t="inlineStr">
        <is>
          <t>Gerenciamento de Incidentes</t>
        </is>
      </c>
      <c r="F30" s="5" t="inlineStr">
        <is>
          <t>Gerenciamento de Problemas</t>
        </is>
      </c>
      <c r="G30" s="6">
        <f>IF(E30&lt;&gt;"", IF(AND(C30=E30, D30=F30), "ACERTOU", IF(OR(C30=E30, D30=F30, C30=F30, D30=E30), "PARCIALMENTE", IF(OR(E30="Não há recomendação", F30="Não há recomendação", E30="SEM RECOMENDAÇÃO", F30="SEM RECOMENDAÇÃO"), "NÃO RECOMENDOU", "ERROU"))), "")</f>
        <v/>
      </c>
      <c r="H30" s="20" t="inlineStr">
        <is>
          <t>Gerenciamento de Incidentes</t>
        </is>
      </c>
      <c r="I30" s="20" t="inlineStr">
        <is>
          <t>Gerenciamento de Ativos de TI</t>
        </is>
      </c>
      <c r="J30" s="20">
        <f>IF(H30&lt;&gt;"", IF(AND(C30=H30, D30=I30), "ACERTOU", IF(OR(C30=H30, D30=I30, C30=I30, D30=H30), "PARCIALMENTE", IF(OR(H30="Não há recomendação", I30="Não há recomendação", H30="SEM RECOMENDAÇÃO", I30="SEM RECOMENDAÇÃO"), "NÃO RECOMENDOU", "ERROU"))), "")</f>
        <v/>
      </c>
      <c r="K30" s="21" t="inlineStr">
        <is>
          <t>Gerenciamento de Problemas</t>
        </is>
      </c>
      <c r="L30" s="21" t="inlineStr">
        <is>
          <t>Gerenciamento de Configuração de Serviço</t>
        </is>
      </c>
      <c r="M30" s="21">
        <f>IF(K30&lt;&gt;"", IF(AND(C30=K30, D30=L30), "ACERTOU", IF(OR(C30=K30, D30=L30, C30=L30, D30=K30), "PARCIALMENTE", IF(OR(K30="Não há recomendação", L30="Não há recomendação", K30="SEM RECOMENDAÇÃO", L30="SEM RECOMENDAÇÃO"), "NÃO RECOMENDOU", "ERROU"))), "")</f>
        <v/>
      </c>
      <c r="N30" s="22" t="inlineStr">
        <is>
          <t>Gerenciamento de Incidentes</t>
        </is>
      </c>
      <c r="O30" s="22" t="inlineStr">
        <is>
          <t>Gerenciamento de Ativos de TI</t>
        </is>
      </c>
      <c r="P30" s="22">
        <f>IF(N30&lt;&gt;"", IF(AND(C30=N30, D30=O30), "ACERTOU", IF(OR(C30=N30, D30=O30, C30=O30, D30=N30), "PARCIALMENTE", IF(OR(N30="Não há recomendação", O30="Não há recomendação", N30="SEM RECOMENDAÇÃO", O30="SEM RECOMENDAÇÃO"), "NÃO RECOMENDOU", "ERROU"))), "")</f>
        <v/>
      </c>
      <c r="Q30" s="23" t="n"/>
      <c r="R30" s="23" t="n"/>
      <c r="S30" s="23" t="n"/>
    </row>
    <row r="31">
      <c r="A31" t="n">
        <v>240</v>
      </c>
      <c r="B31" s="3" t="inlineStr">
        <is>
          <t>Problemas de Conectividade com HP DeskJet 3755</t>
        </is>
      </c>
      <c r="C31" s="4" t="inlineStr">
        <is>
          <t>Gerenciamento de Incidentes</t>
        </is>
      </c>
      <c r="D31" s="4" t="inlineStr">
        <is>
          <t>Gerenciamento de Problemas</t>
        </is>
      </c>
      <c r="E31" s="5" t="inlineStr">
        <is>
          <t>Gerenciamento de Incidentes</t>
        </is>
      </c>
      <c r="F31" s="5" t="inlineStr">
        <is>
          <t>Gerenciamento de Problemas</t>
        </is>
      </c>
      <c r="G31" s="6">
        <f>IF(E31&lt;&gt;"", IF(AND(C31=E31, D31=F31), "ACERTOU", IF(OR(C31=E31, D31=F31, C31=F31, D31=E31), "PARCIALMENTE", IF(OR(E31="Não há recomendação", F31="Não há recomendação", E31="SEM RECOMENDAÇÃO", F31="SEM RECOMENDAÇÃO"), "NÃO RECOMENDOU", "ERROU"))), "")</f>
        <v/>
      </c>
      <c r="H31" s="20" t="inlineStr">
        <is>
          <t>Gerenciamento de Incidentes</t>
        </is>
      </c>
      <c r="I31" s="20" t="inlineStr">
        <is>
          <t>Gerenciamento de Ativos de TI</t>
        </is>
      </c>
      <c r="J31" s="20">
        <f>IF(H31&lt;&gt;"", IF(AND(C31=H31, D31=I31), "ACERTOU", IF(OR(C31=H31, D31=I31, C31=I31, D31=H31), "PARCIALMENTE", IF(OR(H31="Não há recomendação", I31="Não há recomendação", H31="SEM RECOMENDAÇÃO", I31="SEM RECOMENDAÇÃO"), "NÃO RECOMENDOU", "ERROU"))), "")</f>
        <v/>
      </c>
      <c r="K31" s="21" t="inlineStr">
        <is>
          <t>Gerenciamento de Configuração de Serviço</t>
        </is>
      </c>
      <c r="L31" s="21" t="inlineStr">
        <is>
          <t>Gerenciamento de Problemas</t>
        </is>
      </c>
      <c r="M31" s="21">
        <f>IF(K31&lt;&gt;"", IF(AND(C31=K31, D31=L31), "ACERTOU", IF(OR(C31=K31, D31=L31, C31=L31, D31=K31), "PARCIALMENTE", IF(OR(K31="Não há recomendação", L31="Não há recomendação", K31="SEM RECOMENDAÇÃO", L31="SEM RECOMENDAÇÃO"), "NÃO RECOMENDOU", "ERROU"))), "")</f>
        <v/>
      </c>
      <c r="N31" s="22" t="inlineStr">
        <is>
          <t>Gerenciamento de Incidentes</t>
        </is>
      </c>
      <c r="O31" s="22" t="inlineStr">
        <is>
          <t>Gerenciamento de Configuração</t>
        </is>
      </c>
      <c r="P31" s="22">
        <f>IF(N31&lt;&gt;"", IF(AND(C31=N31, D31=O31), "ACERTOU", IF(OR(C31=N31, D31=O31, C31=O31, D31=N31), "PARCIALMENTE", IF(OR(N31="Não há recomendação", O31="Não há recomendação", N31="SEM RECOMENDAÇÃO", O31="SEM RECOMENDAÇÃO"), "NÃO RECOMENDOU", "ERROU"))), "")</f>
        <v/>
      </c>
      <c r="Q31" s="23" t="n"/>
      <c r="R31" s="23" t="n"/>
      <c r="S31" s="23" t="n"/>
    </row>
    <row r="32">
      <c r="A32" t="n">
        <v>252</v>
      </c>
      <c r="B32" s="3" t="inlineStr">
        <is>
          <t>Solicitação de Devolução para Compra do MacBook Air M1</t>
        </is>
      </c>
      <c r="C32" s="3" t="inlineStr">
        <is>
          <t>Solicitação de Serviço</t>
        </is>
      </c>
      <c r="D32" s="3" t="inlineStr">
        <is>
          <t>Gerenciamento de Ativos de TI</t>
        </is>
      </c>
      <c r="E32" s="5" t="inlineStr">
        <is>
          <t>Não há recomendação</t>
        </is>
      </c>
      <c r="F32" s="5" t="inlineStr">
        <is>
          <t>SEM RECOMENDAÇÃO</t>
        </is>
      </c>
      <c r="G32" s="6">
        <f>IF(E32&lt;&gt;"", IF(AND(C32=E32, D32=F32), "ACERTOU", IF(OR(C32=E32, D32=F32, C32=F32, D32=E32), "PARCIALMENTE", IF(OR(E32="Não há recomendação", F32="Não há recomendação", E32="SEM RECOMENDAÇÃO", F32="SEM RECOMENDAÇÃO"), "NÃO RECOMENDOU", "ERROU"))), "")</f>
        <v/>
      </c>
      <c r="H32" s="20" t="inlineStr">
        <is>
          <t>Não há recomendação</t>
        </is>
      </c>
      <c r="I32" s="20" t="inlineStr">
        <is>
          <t>SEM RECOMENDAÇÃO</t>
        </is>
      </c>
      <c r="J32" s="20">
        <f>IF(H32&lt;&gt;"", IF(AND(C32=H32, D32=I32), "ACERTOU", IF(OR(C32=H32, D32=I32, C32=I32, D32=H32), "PARCIALMENTE", IF(OR(H32="Não há recomendação", I32="Não há recomendação", H32="SEM RECOMENDAÇÃO", I32="SEM RECOMENDAÇÃO"), "NÃO RECOMENDOU", "ERROU"))), "")</f>
        <v/>
      </c>
      <c r="K32" s="21" t="inlineStr">
        <is>
          <t>Gerenciamento de Requisição de Serviço</t>
        </is>
      </c>
      <c r="L32" s="21" t="inlineStr">
        <is>
          <t>Gerenciamento de Catálogo de Serviço</t>
        </is>
      </c>
      <c r="M32" s="21">
        <f>IF(K32&lt;&gt;"", IF(AND(C32=K32, D32=L32), "ACERTOU", IF(OR(C32=K32, D32=L32, C32=L32, D32=K32), "PARCIALMENTE", IF(OR(K32="Não há recomendação", L32="Não há recomendação", K32="SEM RECOMENDAÇÃO", L32="SEM RECOMENDAÇÃO"), "NÃO RECOMENDOU", "ERROU"))), "")</f>
        <v/>
      </c>
      <c r="N32" s="22" t="n"/>
      <c r="O32" s="22" t="n"/>
      <c r="P32" s="22">
        <f>IF(N32&lt;&gt;"", IF(AND(C32=N32, D32=O32), "ACERTOU", IF(OR(C32=N32, D32=O32, C32=O32, D32=N32), "PARCIALMENTE", IF(OR(N32="Não há recomendação", O32="Não há recomendação", N32="SEM RECOMENDAÇÃO", O32="SEM RECOMENDAÇÃO"), "NÃO RECOMENDOU", "ERROU"))), "")</f>
        <v/>
      </c>
      <c r="Q32" s="23" t="n"/>
      <c r="R32" s="23" t="n"/>
      <c r="S32" s="23" t="n"/>
    </row>
    <row r="33">
      <c r="A33" t="n">
        <v>257</v>
      </c>
      <c r="B33" s="3" t="inlineStr">
        <is>
          <t>Pedido de Troca da Canon PIXMA MG3620</t>
        </is>
      </c>
      <c r="C33" s="3" t="inlineStr">
        <is>
          <t>Solicitação de Serviço</t>
        </is>
      </c>
      <c r="D33" s="3" t="inlineStr">
        <is>
          <t>Gerenciamento de Ativos de TI</t>
        </is>
      </c>
      <c r="E33" s="5" t="inlineStr">
        <is>
          <t>Gerenciamento de Requisição de Serviço</t>
        </is>
      </c>
      <c r="F33" s="5" t="inlineStr">
        <is>
          <t>Gerenciamento de Ativos de TI</t>
        </is>
      </c>
      <c r="G33" s="6">
        <f>IF(E33&lt;&gt;"", IF(AND(C33=E33, D33=F33), "ACERTOU", IF(OR(C33=E33, D33=F33, C33=F33, D33=E33), "PARCIALMENTE", IF(OR(E33="Não há recomendação", F33="Não há recomendação", E33="SEM RECOMENDAÇÃO", F33="SEM RECOMENDAÇÃO"), "NÃO RECOMENDOU", "ERROU"))), "")</f>
        <v/>
      </c>
      <c r="H33" s="20" t="inlineStr">
        <is>
          <t>Gerenciamento de Incidentes</t>
        </is>
      </c>
      <c r="I33" s="20" t="inlineStr">
        <is>
          <t>Gerenciamento de Ativos de TI</t>
        </is>
      </c>
      <c r="J33" s="20">
        <f>IF(H33&lt;&gt;"", IF(AND(C33=H33, D33=I33), "ACERTOU", IF(OR(C33=H33, D33=I33, C33=I33, D33=H33), "PARCIALMENTE", IF(OR(H33="Não há recomendação", I33="Não há recomendação", H33="SEM RECOMENDAÇÃO", I33="SEM RECOMENDAÇÃO"), "NÃO RECOMENDOU", "ERROU"))), "")</f>
        <v/>
      </c>
      <c r="K33" s="21" t="inlineStr">
        <is>
          <t>Gerenciamento de Incidentes</t>
        </is>
      </c>
      <c r="L33" s="21" t="inlineStr">
        <is>
          <t>Gerenciamento de Fornecedor</t>
        </is>
      </c>
      <c r="M33" s="21">
        <f>IF(K33&lt;&gt;"", IF(AND(C33=K33, D33=L33), "ACERTOU", IF(OR(C33=K33, D33=L33, C33=L33, D33=K33), "PARCIALMENTE", IF(OR(K33="Não há recomendação", L33="Não há recomendação", K33="SEM RECOMENDAÇÃO", L33="SEM RECOMENDAÇÃO"), "NÃO RECOMENDOU", "ERROU"))), "")</f>
        <v/>
      </c>
      <c r="N33" s="22" t="inlineStr">
        <is>
          <t>Gerenciamento de Incidentes</t>
        </is>
      </c>
      <c r="O33" s="22" t="inlineStr">
        <is>
          <t>Gerenciamento de Nível de Serviço</t>
        </is>
      </c>
      <c r="P33" s="22">
        <f>IF(N33&lt;&gt;"", IF(AND(C33=N33, D33=O33), "ACERTOU", IF(OR(C33=N33, D33=O33, C33=O33, D33=N33), "PARCIALMENTE", IF(OR(N33="Não há recomendação", O33="Não há recomendação", N33="SEM RECOMENDAÇÃO", O33="SEM RECOMENDAÇÃO"), "NÃO RECOMENDOU", "ERROU"))), "")</f>
        <v/>
      </c>
      <c r="Q33" s="23" t="n"/>
      <c r="R33" s="23" t="n"/>
      <c r="S33" s="23" t="n"/>
    </row>
    <row r="34">
      <c r="A34" t="n">
        <v>264</v>
      </c>
      <c r="B34" s="3" t="inlineStr">
        <is>
          <t>Problemas de Rede</t>
        </is>
      </c>
      <c r="C34" s="3" t="inlineStr">
        <is>
          <t>Gerenciamento de Incidentes</t>
        </is>
      </c>
      <c r="D34" s="3" t="inlineStr">
        <is>
          <t>Gerenciamento de Disponibilidade</t>
        </is>
      </c>
      <c r="E34" s="5" t="inlineStr">
        <is>
          <t>Gerenciamento de Incidentes</t>
        </is>
      </c>
      <c r="F34" s="5" t="inlineStr">
        <is>
          <t>Gerenciamento de Problemas</t>
        </is>
      </c>
      <c r="G34" s="6">
        <f>IF(E34&lt;&gt;"", IF(AND(C34=E34, D34=F34), "ACERTOU", IF(OR(C34=E34, D34=F34, C34=F34, D34=E34), "PARCIALMENTE", IF(OR(E34="Não há recomendação", F34="Não há recomendação", E34="SEM RECOMENDAÇÃO", F34="SEM RECOMENDAÇÃO"), "NÃO RECOMENDOU", "ERROU"))), "")</f>
        <v/>
      </c>
      <c r="H34" s="20" t="inlineStr">
        <is>
          <t>Gerenciamento de Incidentes</t>
        </is>
      </c>
      <c r="I34" s="20" t="inlineStr">
        <is>
          <t>Gerenciamento de Disponibilidade</t>
        </is>
      </c>
      <c r="J34" s="20">
        <f>IF(H34&lt;&gt;"", IF(AND(C34=H34, D34=I34), "ACERTOU", IF(OR(C34=H34, D34=I34, C34=I34, D34=H34), "PARCIALMENTE", IF(OR(H34="Não há recomendação", I34="Não há recomendação", H34="SEM RECOMENDAÇÃO", I34="SEM RECOMENDAÇÃO"), "NÃO RECOMENDOU", "ERROU"))), "")</f>
        <v/>
      </c>
      <c r="K34" s="21" t="inlineStr">
        <is>
          <t>Gerenciamento de Incidentes</t>
        </is>
      </c>
      <c r="L34" s="21" t="inlineStr">
        <is>
          <t>Gerenciamento de Problemas</t>
        </is>
      </c>
      <c r="M34" s="21">
        <f>IF(K34&lt;&gt;"", IF(AND(C34=K34, D34=L34), "ACERTOU", IF(OR(C34=K34, D34=L34, C34=L34, D34=K34), "PARCIALMENTE", IF(OR(K34="Não há recomendação", L34="Não há recomendação", K34="SEM RECOMENDAÇÃO", L34="SEM RECOMENDAÇÃO"), "NÃO RECOMENDOU", "ERROU"))), "")</f>
        <v/>
      </c>
      <c r="N34" s="22" t="inlineStr">
        <is>
          <t>Gerenciamento de Incidentes</t>
        </is>
      </c>
      <c r="O34" s="22" t="inlineStr">
        <is>
          <t>Gerenciamento de Disponibilidade</t>
        </is>
      </c>
      <c r="P34" s="22">
        <f>IF(N34&lt;&gt;"", IF(AND(C34=N34, D34=O34), "ACERTOU", IF(OR(C34=N34, D34=O34, C34=O34, D34=N34), "PARCIALMENTE", IF(OR(N34="Não há recomendação", O34="Não há recomendação", N34="SEM RECOMENDAÇÃO", O34="SEM RECOMENDAÇÃO"), "NÃO RECOMENDOU", "ERROU"))), "")</f>
        <v/>
      </c>
      <c r="Q34" s="23" t="n"/>
      <c r="R34" s="23" t="n"/>
      <c r="S34" s="23" t="n"/>
    </row>
    <row r="35">
      <c r="A35" t="n">
        <v>279</v>
      </c>
      <c r="B35" s="3" t="inlineStr">
        <is>
          <t>Crítico: Problemas com o Sistema de Bilhetagem</t>
        </is>
      </c>
      <c r="C35" s="3" t="inlineStr">
        <is>
          <t>Gerenciamento de Incidentes</t>
        </is>
      </c>
      <c r="D35" s="3" t="inlineStr">
        <is>
          <t>Gerenciamento de Problemas</t>
        </is>
      </c>
      <c r="E35" s="5" t="inlineStr">
        <is>
          <t>Gerenciamento de Incidentes</t>
        </is>
      </c>
      <c r="F35" s="5" t="inlineStr">
        <is>
          <t>Gerenciamento de Problemas</t>
        </is>
      </c>
      <c r="G35" s="6">
        <f>IF(E35&lt;&gt;"", IF(AND(C35=E35, D35=F35), "ACERTOU", IF(OR(C35=E35, D35=F35, C35=F35, D35=E35), "PARCIALMENTE", IF(OR(E35="Não há recomendação", F35="Não há recomendação", E35="SEM RECOMENDAÇÃO", F35="SEM RECOMENDAÇÃO"), "NÃO RECOMENDOU", "ERROU"))), "")</f>
        <v/>
      </c>
      <c r="H35" s="20" t="inlineStr">
        <is>
          <t>Gerenciamento de Problemas</t>
        </is>
      </c>
      <c r="I35" s="20" t="inlineStr">
        <is>
          <t>Gerenciamento de Disponibilidade</t>
        </is>
      </c>
      <c r="J35" s="20">
        <f>IF(H35&lt;&gt;"", IF(AND(C35=H35, D35=I35), "ACERTOU", IF(OR(C35=H35, D35=I35, C35=I35, D35=H35), "PARCIALMENTE", IF(OR(H35="Não há recomendação", I35="Não há recomendação", H35="SEM RECOMENDAÇÃO", I35="SEM RECOMENDAÇÃO"), "NÃO RECOMENDOU", "ERROU"))), "")</f>
        <v/>
      </c>
      <c r="K35" s="21" t="inlineStr">
        <is>
          <t>Gerenciamento de Problemas</t>
        </is>
      </c>
      <c r="L35" s="21" t="inlineStr">
        <is>
          <t>Validação e Teste de Serviço</t>
        </is>
      </c>
      <c r="M35" s="21">
        <f>IF(K35&lt;&gt;"", IF(AND(C35=K35, D35=L35), "ACERTOU", IF(OR(C35=K35, D35=L35, C35=L35, D35=K35), "PARCIALMENTE", IF(OR(K35="Não há recomendação", L35="Não há recomendação", K35="SEM RECOMENDAÇÃO", L35="SEM RECOMENDAÇÃO"), "NÃO RECOMENDOU", "ERROU"))), "")</f>
        <v/>
      </c>
      <c r="N35" s="22" t="inlineStr">
        <is>
          <t>Gerenciamento de Problemas</t>
        </is>
      </c>
      <c r="O35" s="22" t="inlineStr">
        <is>
          <t>Gerenciamento de Incidentes</t>
        </is>
      </c>
      <c r="P35" s="22">
        <f>IF(N35&lt;&gt;"", IF(AND(C35=N35, D35=O35), "ACERTOU", IF(OR(C35=N35, D35=O35, C35=O35, D35=N35), "PARCIALMENTE", IF(OR(N35="Não há recomendação", O35="Não há recomendação", N35="SEM RECOMENDAÇÃO", O35="SEM RECOMENDAÇÃO"), "NÃO RECOMENDOU", "ERROU"))), "")</f>
        <v/>
      </c>
      <c r="Q35" s="23" t="n"/>
      <c r="R35" s="23" t="n"/>
      <c r="S35" s="23" t="n"/>
    </row>
    <row r="36">
      <c r="A36" t="n">
        <v>294</v>
      </c>
      <c r="B36" s="3" t="inlineStr">
        <is>
          <t>Problemas técnicos com os recursos de vídeo e compartilhamento de tela do Zoom 5.11.0</t>
        </is>
      </c>
      <c r="C36" s="3" t="inlineStr">
        <is>
          <t>Gerenciamento de Incidentes</t>
        </is>
      </c>
      <c r="D36" s="3" t="inlineStr">
        <is>
          <t>Gerenciamento de Problemas</t>
        </is>
      </c>
      <c r="E36" s="5" t="inlineStr">
        <is>
          <t>Gerenciamento de Incidentes</t>
        </is>
      </c>
      <c r="F36" s="5" t="inlineStr">
        <is>
          <t>Gerenciamento de Problemas</t>
        </is>
      </c>
      <c r="G36" s="6">
        <f>IF(E36&lt;&gt;"", IF(AND(C36=E36, D36=F36), "ACERTOU", IF(OR(C36=E36, D36=F36, C36=F36, D36=E36), "PARCIALMENTE", IF(OR(E36="Não há recomendação", F36="Não há recomendação", E36="SEM RECOMENDAÇÃO", F36="SEM RECOMENDAÇÃO"), "NÃO RECOMENDOU", "ERROU"))), "")</f>
        <v/>
      </c>
      <c r="H36" s="20" t="inlineStr">
        <is>
          <t>Gerenciamento de Incidentes</t>
        </is>
      </c>
      <c r="I36" s="20" t="inlineStr">
        <is>
          <t>Gerenciamento de Problemas</t>
        </is>
      </c>
      <c r="J36" s="20">
        <f>IF(H36&lt;&gt;"", IF(AND(C36=H36, D36=I36), "ACERTOU", IF(OR(C36=H36, D36=I36, C36=I36, D36=H36), "PARCIALMENTE", IF(OR(H36="Não há recomendação", I36="Não há recomendação", H36="SEM RECOMENDAÇÃO", I36="SEM RECOMENDAÇÃO"), "NÃO RECOMENDOU", "ERROU"))), "")</f>
        <v/>
      </c>
      <c r="K36" s="21" t="inlineStr">
        <is>
          <t>Gerenciamento de Problemas</t>
        </is>
      </c>
      <c r="L36" s="21" t="inlineStr">
        <is>
          <t>Gerenciamento de Liberação</t>
        </is>
      </c>
      <c r="M36" s="21">
        <f>IF(K36&lt;&gt;"", IF(AND(C36=K36, D36=L36), "ACERTOU", IF(OR(C36=K36, D36=L36, C36=L36, D36=K36), "PARCIALMENTE", IF(OR(K36="Não há recomendação", L36="Não há recomendação", K36="SEM RECOMENDAÇÃO", L36="SEM RECOMENDAÇÃO"), "NÃO RECOMENDOU", "ERROU"))), "")</f>
        <v/>
      </c>
      <c r="N36" s="22" t="inlineStr">
        <is>
          <t>Gerenciamento de Problemas</t>
        </is>
      </c>
      <c r="O36" s="22" t="inlineStr">
        <is>
          <t>Gerenciamento de Mudanças</t>
        </is>
      </c>
      <c r="P36" s="22">
        <f>IF(N36&lt;&gt;"", IF(AND(C36=N36, D36=O36), "ACERTOU", IF(OR(C36=N36, D36=O36, C36=O36, D36=N36), "PARCIALMENTE", IF(OR(N36="Não há recomendação", O36="Não há recomendação", N36="SEM RECOMENDAÇÃO", O36="SEM RECOMENDAÇÃO"), "NÃO RECOMENDOU", "ERROU"))), "")</f>
        <v/>
      </c>
      <c r="Q36" s="23" t="n"/>
      <c r="R36" s="23" t="n"/>
      <c r="S36" s="23" t="n"/>
    </row>
    <row r="37">
      <c r="A37" t="n">
        <v>299</v>
      </c>
      <c r="B37" s="3" t="inlineStr">
        <is>
          <t>Pedido de Troca: MacBook Air M1 com Defeito Após Uso</t>
        </is>
      </c>
      <c r="C37" s="3" t="inlineStr">
        <is>
          <t>Solicitação de Serviço</t>
        </is>
      </c>
      <c r="D37" s="3" t="inlineStr">
        <is>
          <t>Gerenciamento de Ativos de TI</t>
        </is>
      </c>
      <c r="E37" s="5" t="inlineStr">
        <is>
          <t>Gerenciamento de Requisição de Serviço</t>
        </is>
      </c>
      <c r="F37" s="5" t="inlineStr">
        <is>
          <t>Gerenciamento de Ativos de TI</t>
        </is>
      </c>
      <c r="G37" s="6">
        <f>IF(E37&lt;&gt;"", IF(AND(C37=E37, D37=F37), "ACERTOU", IF(OR(C37=E37, D37=F37, C37=F37, D37=E37), "PARCIALMENTE", IF(OR(E37="Não há recomendação", F37="Não há recomendação", E37="SEM RECOMENDAÇÃO", F37="SEM RECOMENDAÇÃO"), "NÃO RECOMENDOU", "ERROU"))), "")</f>
        <v/>
      </c>
      <c r="H37" s="20" t="inlineStr">
        <is>
          <t>Gerenciamento de Incidentes</t>
        </is>
      </c>
      <c r="I37" s="20" t="inlineStr">
        <is>
          <t>Gerenciamento de Ativos de TI</t>
        </is>
      </c>
      <c r="J37" s="20">
        <f>IF(H37&lt;&gt;"", IF(AND(C37=H37, D37=I37), "ACERTOU", IF(OR(C37=H37, D37=I37, C37=I37, D37=H37), "PARCIALMENTE", IF(OR(H37="Não há recomendação", I37="Não há recomendação", H37="SEM RECOMENDAÇÃO", I37="SEM RECOMENDAÇÃO"), "NÃO RECOMENDOU", "ERROU"))), "")</f>
        <v/>
      </c>
      <c r="K37" s="21" t="inlineStr">
        <is>
          <t>Gerenciamento de Incidentes</t>
        </is>
      </c>
      <c r="L37" s="21" t="inlineStr">
        <is>
          <t>Gerenciamento de Ativos de TI</t>
        </is>
      </c>
      <c r="M37" s="21">
        <f>IF(K37&lt;&gt;"", IF(AND(C37=K37, D37=L37), "ACERTOU", IF(OR(C37=K37, D37=L37, C37=L37, D37=K37), "PARCIALMENTE", IF(OR(K37="Não há recomendação", L37="Não há recomendação", K37="SEM RECOMENDAÇÃO", L37="SEM RECOMENDAÇÃO"), "NÃO RECOMENDOU", "ERROU"))), "")</f>
        <v/>
      </c>
      <c r="N37" s="22" t="inlineStr">
        <is>
          <t>Gerenciamento de Incidentes</t>
        </is>
      </c>
      <c r="O37" s="22" t="inlineStr">
        <is>
          <t>Gerenciamento de Nível de Serviço</t>
        </is>
      </c>
      <c r="P37" s="22">
        <f>IF(N37&lt;&gt;"", IF(AND(C37=N37, D37=O37), "ACERTOU", IF(OR(C37=N37, D37=O37, C37=O37, D37=N37), "PARCIALMENTE", IF(OR(N37="Não há recomendação", O37="Não há recomendação", N37="SEM RECOMENDAÇÃO", O37="SEM RECOMENDAÇÃO"), "NÃO RECOMENDOU", "ERROU"))), "")</f>
        <v/>
      </c>
      <c r="Q37" s="23" t="n"/>
      <c r="R37" s="23" t="n"/>
      <c r="S37" s="23" t="n"/>
    </row>
    <row r="38">
      <c r="A38" t="n">
        <v>301</v>
      </c>
      <c r="B38" s="3" t="inlineStr">
        <is>
          <t>Urgente: Problema de Conectividade do Roteador</t>
        </is>
      </c>
      <c r="C38" s="3" t="inlineStr">
        <is>
          <t>Gerenciamento de Incidentes</t>
        </is>
      </c>
      <c r="D38" s="3" t="inlineStr">
        <is>
          <t>Gerenciamento de Disponibilidade</t>
        </is>
      </c>
      <c r="E38" s="5" t="inlineStr">
        <is>
          <t>Gerenciamento de Incidentes</t>
        </is>
      </c>
      <c r="F38" s="5" t="inlineStr">
        <is>
          <t>Gerenciamento de Problemas</t>
        </is>
      </c>
      <c r="G38" s="6">
        <f>IF(E38&lt;&gt;"", IF(AND(C38=E38, D38=F38), "ACERTOU", IF(OR(C38=E38, D38=F38, C38=F38, D38=E38), "PARCIALMENTE", IF(OR(E38="Não há recomendação", F38="Não há recomendação", E38="SEM RECOMENDAÇÃO", F38="SEM RECOMENDAÇÃO"), "NÃO RECOMENDOU", "ERROU"))), "")</f>
        <v/>
      </c>
      <c r="H38" s="20" t="inlineStr">
        <is>
          <t>Gerenciamento de Problemas</t>
        </is>
      </c>
      <c r="I38" s="20" t="inlineStr">
        <is>
          <t>Gerenciamento de Disponibilidade</t>
        </is>
      </c>
      <c r="J38" s="20">
        <f>IF(H38&lt;&gt;"", IF(AND(C38=H38, D38=I38), "ACERTOU", IF(OR(C38=H38, D38=I38, C38=I38, D38=H38), "PARCIALMENTE", IF(OR(H38="Não há recomendação", I38="Não há recomendação", H38="SEM RECOMENDAÇÃO", I38="SEM RECOMENDAÇÃO"), "NÃO RECOMENDOU", "ERROU"))), "")</f>
        <v/>
      </c>
      <c r="K38" s="21" t="inlineStr">
        <is>
          <t>Gerenciamento de Incidentes</t>
        </is>
      </c>
      <c r="L38" s="21" t="inlineStr">
        <is>
          <t>Gerenciamento de Disponibilidade</t>
        </is>
      </c>
      <c r="M38" s="21">
        <f>IF(K38&lt;&gt;"", IF(AND(C38=K38, D38=L38), "ACERTOU", IF(OR(C38=K38, D38=L38, C38=L38, D38=K38), "PARCIALMENTE", IF(OR(K38="Não há recomendação", L38="Não há recomendação", K38="SEM RECOMENDAÇÃO", L38="SEM RECOMENDAÇÃO"), "NÃO RECOMENDOU", "ERROU"))), "")</f>
        <v/>
      </c>
      <c r="N38" s="22" t="inlineStr">
        <is>
          <t>Gerenciamento de Problemas</t>
        </is>
      </c>
      <c r="O38" s="22" t="inlineStr">
        <is>
          <t>Gerenciamento de Disponibilidade</t>
        </is>
      </c>
      <c r="P38" s="22">
        <f>IF(N38&lt;&gt;"", IF(AND(C38=N38, D38=O38), "ACERTOU", IF(OR(C38=N38, D38=O38, C38=O38, D38=N38), "PARCIALMENTE", IF(OR(N38="Não há recomendação", O38="Não há recomendação", N38="SEM RECOMENDAÇÃO", O38="SEM RECOMENDAÇÃO"), "NÃO RECOMENDOU", "ERROU"))), "")</f>
        <v/>
      </c>
      <c r="Q38" s="23" t="n"/>
      <c r="R38" s="23" t="n"/>
      <c r="S38" s="23" t="n"/>
    </row>
    <row r="39">
      <c r="A39" t="n">
        <v>305</v>
      </c>
      <c r="B39" s="3" t="inlineStr">
        <is>
          <t>Assistência Necessária: Problema de Configuração de Wi-Fi para Impressora Canon PIXMA MG3620</t>
        </is>
      </c>
      <c r="C39" s="3" t="inlineStr">
        <is>
          <t>Gerenciamento de Incidentes</t>
        </is>
      </c>
      <c r="D39" s="3" t="inlineStr">
        <is>
          <t>Gerenciamento de Problemas</t>
        </is>
      </c>
      <c r="E39" s="5" t="inlineStr">
        <is>
          <t>Gerenciamento de Requisição de Serviço</t>
        </is>
      </c>
      <c r="F39" s="5" t="inlineStr">
        <is>
          <t>Gerenciamento de Conhecimento</t>
        </is>
      </c>
      <c r="G39" s="6">
        <f>IF(E39&lt;&gt;"", IF(AND(C39=E39, D39=F39), "ACERTOU", IF(OR(C39=E39, D39=F39, C39=F39, D39=E39), "PARCIALMENTE", IF(OR(E39="Não há recomendação", F39="Não há recomendação", E39="SEM RECOMENDAÇÃO", F39="SEM RECOMENDAÇÃO"), "NÃO RECOMENDOU", "ERROU"))), "")</f>
        <v/>
      </c>
      <c r="H39" s="20" t="inlineStr">
        <is>
          <t>Gerenciamento de Requisição de Serviço</t>
        </is>
      </c>
      <c r="I39" s="20" t="inlineStr">
        <is>
          <t>Central de Serviço</t>
        </is>
      </c>
      <c r="J39" s="20">
        <f>IF(H39&lt;&gt;"", IF(AND(C39=H39, D39=I39), "ACERTOU", IF(OR(C39=H39, D39=I39, C39=I39, D39=H39), "PARCIALMENTE", IF(OR(H39="Não há recomendação", I39="Não há recomendação", H39="SEM RECOMENDAÇÃO", I39="SEM RECOMENDAÇÃO"), "NÃO RECOMENDOU", "ERROU"))), "")</f>
        <v/>
      </c>
      <c r="K39" s="21" t="inlineStr">
        <is>
          <t>Gerenciamento de Requisição de Serviço</t>
        </is>
      </c>
      <c r="L39" s="21" t="inlineStr">
        <is>
          <t>Central de Serviço</t>
        </is>
      </c>
      <c r="M39" s="21">
        <f>IF(K39&lt;&gt;"", IF(AND(C39=K39, D39=L39), "ACERTOU", IF(OR(C39=K39, D39=L39, C39=L39, D39=K39), "PARCIALMENTE", IF(OR(K39="Não há recomendação", L39="Não há recomendação", K39="SEM RECOMENDAÇÃO", L39="SEM RECOMENDAÇÃO"), "NÃO RECOMENDOU", "ERROU"))), "")</f>
        <v/>
      </c>
      <c r="N39" s="22" t="inlineStr">
        <is>
          <t>Gerenciamento de Requisição de Serviço</t>
        </is>
      </c>
      <c r="O39" s="22" t="inlineStr">
        <is>
          <t>Não se aplica</t>
        </is>
      </c>
      <c r="P39" s="22">
        <f>IF(N39&lt;&gt;"", IF(AND(C39=N39, D39=O39), "ACERTOU", IF(OR(C39=N39, D39=O39, C39=O39, D39=N39), "PARCIALMENTE", IF(OR(N39="Não há recomendação", O39="Não há recomendação", N39="SEM RECOMENDAÇÃO", O39="SEM RECOMENDAÇÃO"), "NÃO RECOMENDOU", "ERROU"))), "")</f>
        <v/>
      </c>
      <c r="Q39" s="23" t="n"/>
      <c r="R39" s="23" t="n"/>
      <c r="S39" s="23" t="n"/>
    </row>
    <row r="40">
      <c r="A40" t="n">
        <v>331</v>
      </c>
      <c r="B40" s="3" t="inlineStr">
        <is>
          <t>Discrepância de Cobrança com o Serviço AWS</t>
        </is>
      </c>
      <c r="C40" s="3" t="inlineStr">
        <is>
          <t>Gerenciamento Financeiro</t>
        </is>
      </c>
      <c r="D40" s="3" t="inlineStr">
        <is>
          <t>Gerenciamento de Incidentes</t>
        </is>
      </c>
      <c r="E40" s="5" t="inlineStr">
        <is>
          <t>Gerenciamento Financeiro de Serviços</t>
        </is>
      </c>
      <c r="F40" s="5" t="inlineStr">
        <is>
          <t>Análise de Negócio</t>
        </is>
      </c>
      <c r="G40" s="6">
        <f>IF(E40&lt;&gt;"", IF(AND(C40=E40, D40=F40), "ACERTOU", IF(OR(C40=E40, D40=F40, C40=F40, D40=E40), "PARCIALMENTE", IF(OR(E40="Não há recomendação", F40="Não há recomendação", E40="SEM RECOMENDAÇÃO", F40="SEM RECOMENDAÇÃO"), "NÃO RECOMENDOU", "ERROU"))), "")</f>
        <v/>
      </c>
      <c r="H40" s="20" t="inlineStr">
        <is>
          <t>Gerenciamento Financeiro de Serviços</t>
        </is>
      </c>
      <c r="I40" s="20" t="inlineStr">
        <is>
          <t>Gerenciamento de Requisição de Serviço</t>
        </is>
      </c>
      <c r="J40" s="20">
        <f>IF(H40&lt;&gt;"", IF(AND(C40=H40, D40=I40), "ACERTOU", IF(OR(C40=H40, D40=I40, C40=I40, D40=H40), "PARCIALMENTE", IF(OR(H40="Não há recomendação", I40="Não há recomendação", H40="SEM RECOMENDAÇÃO", I40="SEM RECOMENDAÇÃO"), "NÃO RECOMENDOU", "ERROU"))), "")</f>
        <v/>
      </c>
      <c r="K40" s="21" t="inlineStr">
        <is>
          <t>Gerenciamento Financeiro de Serviços</t>
        </is>
      </c>
      <c r="L40" s="21" t="inlineStr">
        <is>
          <t>Gerenciamento de Nível de Serviço</t>
        </is>
      </c>
      <c r="M40" s="21">
        <f>IF(K40&lt;&gt;"", IF(AND(C40=K40, D40=L40), "ACERTOU", IF(OR(C40=K40, D40=L40, C40=L40, D40=K40), "PARCIALMENTE", IF(OR(K40="Não há recomendação", L40="Não há recomendação", K40="SEM RECOMENDAÇÃO", L40="SEM RECOMENDAÇÃO"), "NÃO RECOMENDOU", "ERROU"))), "")</f>
        <v/>
      </c>
      <c r="N40" s="22" t="inlineStr">
        <is>
          <t>Gerenciamento de Requisição de Serviço</t>
        </is>
      </c>
      <c r="O40" s="22" t="inlineStr">
        <is>
          <t>Gerenciamento Financeiro de TI</t>
        </is>
      </c>
      <c r="P40" s="22">
        <f>IF(N40&lt;&gt;"", IF(AND(C40=N40, D40=O40), "ACERTOU", IF(OR(C40=N40, D40=O40, C40=O40, D40=N40), "PARCIALMENTE", IF(OR(N40="Não há recomendação", O40="Não há recomendação", N40="SEM RECOMENDAÇÃO", O40="SEM RECOMENDAÇÃO"), "NÃO RECOMENDOU", "ERROU"))), "")</f>
        <v/>
      </c>
      <c r="Q40" s="23" t="n"/>
      <c r="R40" s="23" t="n"/>
      <c r="S40" s="23" t="n"/>
    </row>
    <row r="41">
      <c r="A41" t="n">
        <v>350</v>
      </c>
      <c r="B41" s="3" t="inlineStr">
        <is>
          <t>Problemas de Conectividade com Impressora Canon</t>
        </is>
      </c>
      <c r="C41" s="3" t="inlineStr">
        <is>
          <t>Gerenciamento de Incidentes</t>
        </is>
      </c>
      <c r="D41" s="3" t="inlineStr">
        <is>
          <t>Gerenciamento de Problemas</t>
        </is>
      </c>
      <c r="E41" s="5" t="inlineStr">
        <is>
          <t>Gerenciamento de Incidentes</t>
        </is>
      </c>
      <c r="F41" s="5" t="inlineStr">
        <is>
          <t>Gerenciamento de Problemas</t>
        </is>
      </c>
      <c r="G41" s="6">
        <f>IF(E41&lt;&gt;"", IF(AND(C41=E41, D41=F41), "ACERTOU", IF(OR(C41=E41, D41=F41, C41=F41, D41=E41), "PARCIALMENTE", IF(OR(E41="Não há recomendação", F41="Não há recomendação", E41="SEM RECOMENDAÇÃO", F41="SEM RECOMENDAÇÃO"), "NÃO RECOMENDOU", "ERROU"))), "")</f>
        <v/>
      </c>
      <c r="H41" s="20" t="inlineStr">
        <is>
          <t>Gerenciamento de Problemas</t>
        </is>
      </c>
      <c r="I41" s="20" t="inlineStr">
        <is>
          <t>Gerenciamento de Incidentes</t>
        </is>
      </c>
      <c r="J41" s="20">
        <f>IF(H41&lt;&gt;"", IF(AND(C41=H41, D41=I41), "ACERTOU", IF(OR(C41=H41, D41=I41, C41=I41, D41=H41), "PARCIALMENTE", IF(OR(H41="Não há recomendação", I41="Não há recomendação", H41="SEM RECOMENDAÇÃO", I41="SEM RECOMENDAÇÃO"), "NÃO RECOMENDOU", "ERROU"))), "")</f>
        <v/>
      </c>
      <c r="K41" s="21" t="inlineStr">
        <is>
          <t>Gerenciamento de Problemas</t>
        </is>
      </c>
      <c r="L41" s="21" t="inlineStr">
        <is>
          <t>Gerenciamento de Incidentes</t>
        </is>
      </c>
      <c r="M41" s="21">
        <f>IF(K41&lt;&gt;"", IF(AND(C41=K41, D41=L41), "ACERTOU", IF(OR(C41=K41, D41=L41, C41=L41, D41=K41), "PARCIALMENTE", IF(OR(K41="Não há recomendação", L41="Não há recomendação", K41="SEM RECOMENDAÇÃO", L41="SEM RECOMENDAÇÃO"), "NÃO RECOMENDOU", "ERROU"))), "")</f>
        <v/>
      </c>
      <c r="N41" s="22" t="inlineStr">
        <is>
          <t>Gerenciamento de Incidentes</t>
        </is>
      </c>
      <c r="O41" s="22" t="inlineStr">
        <is>
          <t>Gerenciamento de Problemas</t>
        </is>
      </c>
      <c r="P41" s="22">
        <f>IF(N41&lt;&gt;"", IF(AND(C41=N41, D41=O41), "ACERTOU", IF(OR(C41=N41, D41=O41, C41=O41, D41=N41), "PARCIALMENTE", IF(OR(N41="Não há recomendação", O41="Não há recomendação", N41="SEM RECOMENDAÇÃO", O41="SEM RECOMENDAÇÃO"), "NÃO RECOMENDOU", "ERROU"))), "")</f>
        <v/>
      </c>
      <c r="Q41" s="23" t="n"/>
      <c r="R41" s="23" t="n"/>
      <c r="S41" s="23" t="n"/>
    </row>
    <row r="42">
      <c r="A42" t="n">
        <v>356</v>
      </c>
      <c r="B42" s="3" t="inlineStr">
        <is>
          <t>Solicitação de Assistência para Dicas de Otimização do Excel</t>
        </is>
      </c>
      <c r="C42" s="3" t="inlineStr">
        <is>
          <t>Solicitação de Serviço</t>
        </is>
      </c>
      <c r="D42" s="3" t="inlineStr">
        <is>
          <t>Gerenciamento de Capacidade</t>
        </is>
      </c>
      <c r="E42" s="5" t="inlineStr">
        <is>
          <t>Gerenciamento de Requisição de Serviço</t>
        </is>
      </c>
      <c r="F42" s="5" t="inlineStr">
        <is>
          <t>Gerenciamento de Conhecimento</t>
        </is>
      </c>
      <c r="G42" s="6">
        <f>IF(E42&lt;&gt;"", IF(AND(C42=E42, D42=F42), "ACERTOU", IF(OR(C42=E42, D42=F42, C42=F42, D42=E42), "PARCIALMENTE", IF(OR(E42="Não há recomendação", F42="Não há recomendação", E42="SEM RECOMENDAÇÃO", F42="SEM RECOMENDAÇÃO"), "NÃO RECOMENDOU", "ERROU"))), "")</f>
        <v/>
      </c>
      <c r="H42" s="20" t="inlineStr">
        <is>
          <t>Gerenciamento de Requisição de Serviço</t>
        </is>
      </c>
      <c r="I42" s="20" t="inlineStr">
        <is>
          <t>Gerenciamento de Conhecimento</t>
        </is>
      </c>
      <c r="J42" s="20">
        <f>IF(H42&lt;&gt;"", IF(AND(C42=H42, D42=I42), "ACERTOU", IF(OR(C42=H42, D42=I42, C42=I42, D42=H42), "PARCIALMENTE", IF(OR(H42="Não há recomendação", I42="Não há recomendação", H42="SEM RECOMENDAÇÃO", I42="SEM RECOMENDAÇÃO"), "NÃO RECOMENDOU", "ERROU"))), "")</f>
        <v/>
      </c>
      <c r="K42" s="21" t="inlineStr">
        <is>
          <t>Gerenciamento de Requisição de Serviço</t>
        </is>
      </c>
      <c r="L42" s="21" t="inlineStr">
        <is>
          <t>Gerenciamento de Capacidade e Desempenho</t>
        </is>
      </c>
      <c r="M42" s="21">
        <f>IF(K42&lt;&gt;"", IF(AND(C42=K42, D42=L42), "ACERTOU", IF(OR(C42=K42, D42=L42, C42=L42, D42=K42), "PARCIALMENTE", IF(OR(K42="Não há recomendação", L42="Não há recomendação", K42="SEM RECOMENDAÇÃO", L42="SEM RECOMENDAÇÃO"), "NÃO RECOMENDOU", "ERROU"))), "")</f>
        <v/>
      </c>
      <c r="N42" s="22" t="inlineStr">
        <is>
          <t>Gerenciamento de Requisição de Serviço</t>
        </is>
      </c>
      <c r="O42" s="22" t="inlineStr">
        <is>
          <t>Não se aplica</t>
        </is>
      </c>
      <c r="P42" s="22">
        <f>IF(N42&lt;&gt;"", IF(AND(C42=N42, D42=O42), "ACERTOU", IF(OR(C42=N42, D42=O42, C42=O42, D42=N42), "PARCIALMENTE", IF(OR(N42="Não há recomendação", O42="Não há recomendação", N42="SEM RECOMENDAÇÃO", O42="SEM RECOMENDAÇÃO"), "NÃO RECOMENDOU", "ERROU"))), "")</f>
        <v/>
      </c>
      <c r="Q42" s="23" t="n"/>
      <c r="R42" s="23" t="n"/>
      <c r="S42" s="23" t="n"/>
    </row>
    <row r="43">
      <c r="A43" t="n">
        <v>364</v>
      </c>
      <c r="B43" s="3" t="inlineStr">
        <is>
          <t>Problemas de Conectividade e Desempenho do Wi-Fi com o Roteador Cisco</t>
        </is>
      </c>
      <c r="C43" s="3" t="inlineStr">
        <is>
          <t>Gerenciamento de Incidentes</t>
        </is>
      </c>
      <c r="D43" s="3" t="inlineStr">
        <is>
          <t>Gerenciamento de Problemas</t>
        </is>
      </c>
      <c r="E43" s="5" t="inlineStr">
        <is>
          <t>Gerenciamento de Incidentes</t>
        </is>
      </c>
      <c r="F43" s="5" t="inlineStr">
        <is>
          <t>Gerenciamento de Problemas</t>
        </is>
      </c>
      <c r="G43" s="6">
        <f>IF(E43&lt;&gt;"", IF(AND(C43=E43, D43=F43), "ACERTOU", IF(OR(C43=E43, D43=F43, C43=F43, D43=E43), "PARCIALMENTE", IF(OR(E43="Não há recomendação", F43="Não há recomendação", E43="SEM RECOMENDAÇÃO", F43="SEM RECOMENDAÇÃO"), "NÃO RECOMENDOU", "ERROU"))), "")</f>
        <v/>
      </c>
      <c r="H43" s="20" t="inlineStr">
        <is>
          <t>Gerenciamento de Incidentes</t>
        </is>
      </c>
      <c r="I43" s="20" t="inlineStr">
        <is>
          <t>Gerenciamento de Configuração de Serviço</t>
        </is>
      </c>
      <c r="J43" s="20">
        <f>IF(H43&lt;&gt;"", IF(AND(C43=H43, D43=I43), "ACERTOU", IF(OR(C43=H43, D43=I43, C43=I43, D43=H43), "PARCIALMENTE", IF(OR(H43="Não há recomendação", I43="Não há recomendação", H43="SEM RECOMENDAÇÃO", I43="SEM RECOMENDAÇÃO"), "NÃO RECOMENDOU", "ERROU"))), "")</f>
        <v/>
      </c>
      <c r="K43" s="21" t="inlineStr">
        <is>
          <t>Gerenciamento de Configuração de Serviço</t>
        </is>
      </c>
      <c r="L43" s="21" t="inlineStr">
        <is>
          <t>Gerenciamento de Incidentes</t>
        </is>
      </c>
      <c r="M43" s="21">
        <f>IF(K43&lt;&gt;"", IF(AND(C43=K43, D43=L43), "ACERTOU", IF(OR(C43=K43, D43=L43, C43=L43, D43=K43), "PARCIALMENTE", IF(OR(K43="Não há recomendação", L43="Não há recomendação", K43="SEM RECOMENDAÇÃO", L43="SEM RECOMENDAÇÃO"), "NÃO RECOMENDOU", "ERROU"))), "")</f>
        <v/>
      </c>
      <c r="N43" s="22" t="inlineStr">
        <is>
          <t>Gerenciamento de Problemas</t>
        </is>
      </c>
      <c r="O43" s="22" t="inlineStr">
        <is>
          <t>Gerenciamento de Mudanças</t>
        </is>
      </c>
      <c r="P43" s="22">
        <f>IF(N43&lt;&gt;"", IF(AND(C43=N43, D43=O43), "ACERTOU", IF(OR(C43=N43, D43=O43, C43=O43, D43=N43), "PARCIALMENTE", IF(OR(N43="Não há recomendação", O43="Não há recomendação", N43="SEM RECOMENDAÇÃO", O43="SEM RECOMENDAÇÃO"), "NÃO RECOMENDOU", "ERROU"))), "")</f>
        <v/>
      </c>
      <c r="Q43" s="23" t="n"/>
      <c r="R43" s="23" t="n"/>
      <c r="S43" s="23" t="n"/>
    </row>
    <row r="44">
      <c r="A44" t="n">
        <v>366</v>
      </c>
      <c r="B44" s="3" t="inlineStr">
        <is>
          <t>Solicitação de Recurso de Bug Adicional no VSCode</t>
        </is>
      </c>
      <c r="C44" s="3" t="inlineStr">
        <is>
          <t>Gerenciamento de Problemas</t>
        </is>
      </c>
      <c r="D44" s="3" t="inlineStr">
        <is>
          <t>Gerenciamento de Mudanças</t>
        </is>
      </c>
      <c r="E44" s="5" t="inlineStr">
        <is>
          <t>Gerenciamento de Incidentes</t>
        </is>
      </c>
      <c r="F44" s="5" t="inlineStr">
        <is>
          <t>Gerenciamento de Problemas</t>
        </is>
      </c>
      <c r="G44" s="6">
        <f>IF(E44&lt;&gt;"", IF(AND(C44=E44, D44=F44), "ACERTOU", IF(OR(C44=E44, D44=F44, C44=F44, D44=E44), "PARCIALMENTE", IF(OR(E44="Não há recomendação", F44="Não há recomendação", E44="SEM RECOMENDAÇÃO", F44="SEM RECOMENDAÇÃO"), "NÃO RECOMENDOU", "ERROU"))), "")</f>
        <v/>
      </c>
      <c r="H44" s="20" t="inlineStr">
        <is>
          <t>Gerenciamento de Problemas</t>
        </is>
      </c>
      <c r="I44" s="20" t="inlineStr">
        <is>
          <t>Gerenciamento de Liberação</t>
        </is>
      </c>
      <c r="J44" s="20">
        <f>IF(H44&lt;&gt;"", IF(AND(C44=H44, D44=I44), "ACERTOU", IF(OR(C44=H44, D44=I44, C44=I44, D44=H44), "PARCIALMENTE", IF(OR(H44="Não há recomendação", I44="Não há recomendação", H44="SEM RECOMENDAÇÃO", I44="SEM RECOMENDAÇÃO"), "NÃO RECOMENDOU", "ERROU"))), "")</f>
        <v/>
      </c>
      <c r="K44" s="21" t="inlineStr">
        <is>
          <t>Gerenciamento de Problemas</t>
        </is>
      </c>
      <c r="L44" s="21" t="inlineStr">
        <is>
          <t>Desenvolvimento e Gerenciamento de Software</t>
        </is>
      </c>
      <c r="M44" s="21">
        <f>IF(K44&lt;&gt;"", IF(AND(C44=K44, D44=L44), "ACERTOU", IF(OR(C44=K44, D44=L44, C44=L44, D44=K44), "PARCIALMENTE", IF(OR(K44="Não há recomendação", L44="Não há recomendação", K44="SEM RECOMENDAÇÃO", L44="SEM RECOMENDAÇÃO"), "NÃO RECOMENDOU", "ERROU"))), "")</f>
        <v/>
      </c>
      <c r="N44" s="22" t="inlineStr">
        <is>
          <t>Gerenciamento de Problemas</t>
        </is>
      </c>
      <c r="O44" s="22" t="inlineStr">
        <is>
          <t>Gerenciamento de Mudanças</t>
        </is>
      </c>
      <c r="P44" s="22">
        <f>IF(N44&lt;&gt;"", IF(AND(C44=N44, D44=O44), "ACERTOU", IF(OR(C44=N44, D44=O44, C44=O44, D44=N44), "PARCIALMENTE", IF(OR(N44="Não há recomendação", O44="Não há recomendação", N44="SEM RECOMENDAÇÃO", O44="SEM RECOMENDAÇÃO"), "NÃO RECOMENDOU", "ERROU"))), "")</f>
        <v/>
      </c>
      <c r="Q44" s="23" t="n"/>
      <c r="R44" s="23" t="n"/>
      <c r="S44" s="23" t="n"/>
    </row>
    <row r="45">
      <c r="A45" t="n">
        <v>372</v>
      </c>
      <c r="B45" s="3" t="inlineStr">
        <is>
          <t>Assistência Imediata Necessária: Problemas de Conexão ao Zoom</t>
        </is>
      </c>
      <c r="C45" s="3" t="inlineStr">
        <is>
          <t>Gerenciamento de Incidentes</t>
        </is>
      </c>
      <c r="D45" s="3" t="inlineStr">
        <is>
          <t>Gerenciamento de Problemas</t>
        </is>
      </c>
      <c r="E45" s="5" t="inlineStr">
        <is>
          <t>Gerenciamento de Incidentes</t>
        </is>
      </c>
      <c r="F45" s="5" t="inlineStr">
        <is>
          <t>Gerenciamento de Problemas</t>
        </is>
      </c>
      <c r="G45" s="6">
        <f>IF(E45&lt;&gt;"", IF(AND(C45=E45, D45=F45), "ACERTOU", IF(OR(C45=E45, D45=F45, C45=F45, D45=E45), "PARCIALMENTE", IF(OR(E45="Não há recomendação", F45="Não há recomendação", E45="SEM RECOMENDAÇÃO", F45="SEM RECOMENDAÇÃO"), "NÃO RECOMENDOU", "ERROU"))), "")</f>
        <v/>
      </c>
      <c r="H45" s="20" t="inlineStr">
        <is>
          <t>Gerenciamento de Incidentes</t>
        </is>
      </c>
      <c r="I45" s="20" t="inlineStr">
        <is>
          <t>Gerenciamento de Disponibilidade</t>
        </is>
      </c>
      <c r="J45" s="20">
        <f>IF(H45&lt;&gt;"", IF(AND(C45=H45, D45=I45), "ACERTOU", IF(OR(C45=H45, D45=I45, C45=I45, D45=H45), "PARCIALMENTE", IF(OR(H45="Não há recomendação", I45="Não há recomendação", H45="SEM RECOMENDAÇÃO", I45="SEM RECOMENDAÇÃO"), "NÃO RECOMENDOU", "ERROU"))), "")</f>
        <v/>
      </c>
      <c r="K45" s="21" t="inlineStr">
        <is>
          <t>Gerenciamento de Incidentes</t>
        </is>
      </c>
      <c r="L45" s="21" t="inlineStr">
        <is>
          <t>Gerenciamento de Disponibilidade</t>
        </is>
      </c>
      <c r="M45" s="21">
        <f>IF(K45&lt;&gt;"", IF(AND(C45=K45, D45=L45), "ACERTOU", IF(OR(C45=K45, D45=L45, C45=L45, D45=K45), "PARCIALMENTE", IF(OR(K45="Não há recomendação", L45="Não há recomendação", K45="SEM RECOMENDAÇÃO", L45="SEM RECOMENDAÇÃO"), "NÃO RECOMENDOU", "ERROU"))), "")</f>
        <v/>
      </c>
      <c r="N45" s="22" t="inlineStr">
        <is>
          <t>Gerenciamento de Incidentes</t>
        </is>
      </c>
      <c r="O45" s="22" t="inlineStr">
        <is>
          <t>Não se aplica</t>
        </is>
      </c>
      <c r="P45" s="22">
        <f>IF(N45&lt;&gt;"", IF(AND(C45=N45, D45=O45), "ACERTOU", IF(OR(C45=N45, D45=O45, C45=O45, D45=N45), "PARCIALMENTE", IF(OR(N45="Não há recomendação", O45="Não há recomendação", N45="SEM RECOMENDAÇÃO", O45="SEM RECOMENDAÇÃO"), "NÃO RECOMENDOU", "ERROU"))), "")</f>
        <v/>
      </c>
      <c r="Q45" s="23" t="n"/>
      <c r="R45" s="23" t="n"/>
      <c r="S45" s="23" t="n"/>
    </row>
    <row r="46">
      <c r="A46" t="n">
        <v>376</v>
      </c>
      <c r="B46" s="3" t="inlineStr">
        <is>
          <t>Pedido de Assistência para Mudança de Configuração da AWS</t>
        </is>
      </c>
      <c r="C46" s="3" t="inlineStr">
        <is>
          <t>Solicitação de Serviço</t>
        </is>
      </c>
      <c r="D46" s="3" t="inlineStr">
        <is>
          <t>Gerenciamento Financeiro</t>
        </is>
      </c>
      <c r="E46" s="5" t="inlineStr">
        <is>
          <t>Análise de Negócio</t>
        </is>
      </c>
      <c r="F46" s="5" t="inlineStr">
        <is>
          <t>Habilitação de Mudança</t>
        </is>
      </c>
      <c r="G46" s="6">
        <f>IF(E46&lt;&gt;"", IF(AND(C46=E46, D46=F46), "ACERTOU", IF(OR(C46=E46, D46=F46, C46=F46, D46=E46), "PARCIALMENTE", IF(OR(E46="Não há recomendação", F46="Não há recomendação", E46="SEM RECOMENDAÇÃO", F46="SEM RECOMENDAÇÃO"), "NÃO RECOMENDOU", "ERROU"))), "")</f>
        <v/>
      </c>
      <c r="H46" s="20" t="inlineStr">
        <is>
          <t>Habilitação de Mudança</t>
        </is>
      </c>
      <c r="I46" s="20" t="inlineStr">
        <is>
          <t>Gerenciamento Financeiro de Serviços</t>
        </is>
      </c>
      <c r="J46" s="20">
        <f>IF(H46&lt;&gt;"", IF(AND(C46=H46, D46=I46), "ACERTOU", IF(OR(C46=H46, D46=I46, C46=I46, D46=H46), "PARCIALMENTE", IF(OR(H46="Não há recomendação", I46="Não há recomendação", H46="SEM RECOMENDAÇÃO", I46="SEM RECOMENDAÇÃO"), "NÃO RECOMENDOU", "ERROU"))), "")</f>
        <v/>
      </c>
      <c r="K46" s="21" t="inlineStr">
        <is>
          <t>Habilitação de Mudança</t>
        </is>
      </c>
      <c r="L46" s="21" t="inlineStr">
        <is>
          <t>Gerenciamento Financeiro de Serviços</t>
        </is>
      </c>
      <c r="M46" s="21">
        <f>IF(K46&lt;&gt;"", IF(AND(C46=K46, D46=L46), "ACERTOU", IF(OR(C46=K46, D46=L46, C46=L46, D46=K46), "PARCIALMENTE", IF(OR(K46="Não há recomendação", L46="Não há recomendação", K46="SEM RECOMENDAÇÃO", L46="SEM RECOMENDAÇÃO"), "NÃO RECOMENDOU", "ERROU"))), "")</f>
        <v/>
      </c>
      <c r="N46" s="22" t="inlineStr">
        <is>
          <t>Gerenciamento de Requisição de Serviço</t>
        </is>
      </c>
      <c r="O46" s="22" t="inlineStr">
        <is>
          <t>Gerenciamento Financeiro de TI</t>
        </is>
      </c>
      <c r="P46" s="22">
        <f>IF(N46&lt;&gt;"", IF(AND(C46=N46, D46=O46), "ACERTOU", IF(OR(C46=N46, D46=O46, C46=O46, D46=N46), "PARCIALMENTE", IF(OR(N46="Não há recomendação", O46="Não há recomendação", N46="SEM RECOMENDAÇÃO", O46="SEM RECOMENDAÇÃO"), "NÃO RECOMENDOU", "ERROU"))), "")</f>
        <v/>
      </c>
      <c r="Q46" s="23" t="n"/>
      <c r="R46" s="23" t="n"/>
      <c r="S46" s="23" t="n"/>
    </row>
    <row r="47">
      <c r="A47" t="n">
        <v>398</v>
      </c>
      <c r="B47" s="3" t="inlineStr">
        <is>
          <t>Suporte Urgente para Problema de Laptop</t>
        </is>
      </c>
      <c r="C47" s="3" t="inlineStr">
        <is>
          <t>Gerenciamento de Incidentes</t>
        </is>
      </c>
      <c r="D47" s="3" t="inlineStr">
        <is>
          <t>Gerenciamento de Ativos de TI</t>
        </is>
      </c>
      <c r="E47" s="5" t="n"/>
      <c r="F47" s="5" t="n"/>
      <c r="G47" s="6">
        <f>IF(E47&lt;&gt;"", IF(AND(C47=E47, D47=F47), "ACERTOU", IF(OR(C47=E47, D47=F47, C47=F47, D47=E47), "PARCIALMENTE", IF(OR(E47="Não há recomendação", F47="Não há recomendação", E47="SEM RECOMENDAÇÃO", F47="SEM RECOMENDAÇÃO"), "NÃO RECOMENDOU", "ERROU"))), "")</f>
        <v/>
      </c>
      <c r="H47" s="20" t="inlineStr">
        <is>
          <t>Gerenciamento de Incidentes</t>
        </is>
      </c>
      <c r="I47" s="20" t="inlineStr">
        <is>
          <t>Gerenciamento de Ativos de TI</t>
        </is>
      </c>
      <c r="J47" s="20">
        <f>IF(H47&lt;&gt;"", IF(AND(C47=H47, D47=I47), "ACERTOU", IF(OR(C47=H47, D47=I47, C47=I47, D47=H47), "PARCIALMENTE", IF(OR(H47="Não há recomendação", I47="Não há recomendação", H47="SEM RECOMENDAÇÃO", I47="SEM RECOMENDAÇÃO"), "NÃO RECOMENDOU", "ERROU"))), "")</f>
        <v/>
      </c>
      <c r="K47" s="21" t="inlineStr">
        <is>
          <t>Gerenciamento de Incidentes</t>
        </is>
      </c>
      <c r="L47" s="21" t="inlineStr">
        <is>
          <t>Gerenciamento de Ativos de TI</t>
        </is>
      </c>
      <c r="M47" s="21">
        <f>IF(K47&lt;&gt;"", IF(AND(C47=K47, D47=L47), "ACERTOU", IF(OR(C47=K47, D47=L47, C47=L47, D47=K47), "PARCIALMENTE", IF(OR(K47="Não há recomendação", L47="Não há recomendação", K47="SEM RECOMENDAÇÃO", L47="SEM RECOMENDAÇÃO"), "NÃO RECOMENDOU", "ERROU"))), "")</f>
        <v/>
      </c>
      <c r="N47" s="22" t="inlineStr">
        <is>
          <t>Gerenciamento de Incidentes</t>
        </is>
      </c>
      <c r="O47" s="22" t="inlineStr">
        <is>
          <t>Gerenciamento de Disponibilidade</t>
        </is>
      </c>
      <c r="P47" s="22">
        <f>IF(N47&lt;&gt;"", IF(AND(C47=N47, D47=O47), "ACERTOU", IF(OR(C47=N47, D47=O47, C47=O47, D47=N47), "PARCIALMENTE", IF(OR(N47="Não há recomendação", O47="Não há recomendação", N47="SEM RECOMENDAÇÃO", O47="SEM RECOMENDAÇÃO"), "NÃO RECOMENDOU", "ERROU"))), "")</f>
        <v/>
      </c>
      <c r="Q47" s="23" t="n"/>
      <c r="R47" s="23" t="n"/>
      <c r="S47" s="23" t="n"/>
    </row>
    <row r="48">
      <c r="A48" t="n">
        <v>403</v>
      </c>
      <c r="B48" s="3" t="inlineStr">
        <is>
          <t>Relatório de Problema: Dell XPS 13 Superaquecendo Durante o Uso</t>
        </is>
      </c>
      <c r="C48" s="3" t="inlineStr">
        <is>
          <t>Gerenciamento de Incidentes</t>
        </is>
      </c>
      <c r="D48" s="3" t="inlineStr">
        <is>
          <t>Gerenciamento de Problemas</t>
        </is>
      </c>
      <c r="E48" s="5" t="n"/>
      <c r="F48" s="5" t="n"/>
      <c r="G48" s="6">
        <f>IF(E48&lt;&gt;"", IF(AND(C48=E48, D48=F48), "ACERTOU", IF(OR(C48=E48, D48=F48, C48=F48, D48=E48), "PARCIALMENTE", IF(OR(E48="Não há recomendação", F48="Não há recomendação", E48="SEM RECOMENDAÇÃO", F48="SEM RECOMENDAÇÃO"), "NÃO RECOMENDOU", "ERROU"))), "")</f>
        <v/>
      </c>
      <c r="H48" s="20" t="inlineStr">
        <is>
          <t>Gerenciamento de Problemas</t>
        </is>
      </c>
      <c r="I48" s="20" t="inlineStr">
        <is>
          <t>Gerenciamento de Ativos de TI</t>
        </is>
      </c>
      <c r="J48" s="20">
        <f>IF(H48&lt;&gt;"", IF(AND(C48=H48, D48=I48), "ACERTOU", IF(OR(C48=H48, D48=I48, C48=I48, D48=H48), "PARCIALMENTE", IF(OR(H48="Não há recomendação", I48="Não há recomendação", H48="SEM RECOMENDAÇÃO", I48="SEM RECOMENDAÇÃO"), "NÃO RECOMENDOU", "ERROU"))), "")</f>
        <v/>
      </c>
      <c r="K48" s="21" t="inlineStr">
        <is>
          <t>Gerenciamento de Problemas</t>
        </is>
      </c>
      <c r="L48" s="21" t="inlineStr">
        <is>
          <t>Gerenciamento de Capacidade e Desempenho</t>
        </is>
      </c>
      <c r="M48" s="21">
        <f>IF(K48&lt;&gt;"", IF(AND(C48=K48, D48=L48), "ACERTOU", IF(OR(C48=K48, D48=L48, C48=L48, D48=K48), "PARCIALMENTE", IF(OR(K48="Não há recomendação", L48="Não há recomendação", K48="SEM RECOMENDAÇÃO", L48="SEM RECOMENDAÇÃO"), "NÃO RECOMENDOU", "ERROU"))), "")</f>
        <v/>
      </c>
      <c r="N48" s="22" t="inlineStr">
        <is>
          <t>Gerenciamento de Incidentes</t>
        </is>
      </c>
      <c r="O48" s="22" t="inlineStr">
        <is>
          <t>Gerenciamento de Problemas</t>
        </is>
      </c>
      <c r="P48" s="22">
        <f>IF(N48&lt;&gt;"", IF(AND(C48=N48, D48=O48), "ACERTOU", IF(OR(C48=N48, D48=O48, C48=O48, D48=N48), "PARCIALMENTE", IF(OR(N48="Não há recomendação", O48="Não há recomendação", N48="SEM RECOMENDAÇÃO", O48="SEM RECOMENDAÇÃO"), "NÃO RECOMENDOU", "ERROU"))), "")</f>
        <v/>
      </c>
      <c r="Q48" s="23" t="n"/>
      <c r="R48" s="23" t="n"/>
      <c r="S48" s="23" t="n"/>
    </row>
    <row r="49">
      <c r="A49" t="n">
        <v>405</v>
      </c>
      <c r="B49" s="3" t="inlineStr">
        <is>
          <t>Assistência Necessária para Configuração Inicial</t>
        </is>
      </c>
      <c r="C49" s="3" t="inlineStr">
        <is>
          <t>Solicitação de Serviço</t>
        </is>
      </c>
      <c r="D49" s="3" t="inlineStr">
        <is>
          <t>Gerenciamento de Configuração</t>
        </is>
      </c>
      <c r="E49" s="5" t="n"/>
      <c r="F49" s="5" t="n"/>
      <c r="G49" s="6">
        <f>IF(E49&lt;&gt;"", IF(AND(C49=E49, D49=F49), "ACERTOU", IF(OR(C49=E49, D49=F49, C49=F49, D49=E49), "PARCIALMENTE", IF(OR(E49="Não há recomendação", F49="Não há recomendação", E49="SEM RECOMENDAÇÃO", F49="SEM RECOMENDAÇÃO"), "NÃO RECOMENDOU", "ERROU"))), "")</f>
        <v/>
      </c>
      <c r="H49" s="20" t="inlineStr">
        <is>
          <t>Gerenciamento de Requisição de Serviço</t>
        </is>
      </c>
      <c r="I49" s="20" t="inlineStr">
        <is>
          <t>Central de Serviço</t>
        </is>
      </c>
      <c r="J49" s="20">
        <f>IF(H49&lt;&gt;"", IF(AND(C49=H49, D49=I49), "ACERTOU", IF(OR(C49=H49, D49=I49, C49=I49, D49=H49), "PARCIALMENTE", IF(OR(H49="Não há recomendação", I49="Não há recomendação", H49="SEM RECOMENDAÇÃO", I49="SEM RECOMENDAÇÃO"), "NÃO RECOMENDOU", "ERROU"))), "")</f>
        <v/>
      </c>
      <c r="K49" s="21" t="inlineStr">
        <is>
          <t>Gerenciamento de Requisição de Serviço</t>
        </is>
      </c>
      <c r="L49" s="21" t="inlineStr">
        <is>
          <t>Central de Serviço</t>
        </is>
      </c>
      <c r="M49" s="21">
        <f>IF(K49&lt;&gt;"", IF(AND(C49=K49, D49=L49), "ACERTOU", IF(OR(C49=K49, D49=L49, C49=L49, D49=K49), "PARCIALMENTE", IF(OR(K49="Não há recomendação", L49="Não há recomendação", K49="SEM RECOMENDAÇÃO", L49="SEM RECOMENDAÇÃO"), "NÃO RECOMENDOU", "ERROU"))), "")</f>
        <v/>
      </c>
      <c r="N49" s="22" t="inlineStr">
        <is>
          <t>Gerenciamento de Requisição de Serviço</t>
        </is>
      </c>
      <c r="O49" s="22" t="inlineStr">
        <is>
          <t>Não se aplica</t>
        </is>
      </c>
      <c r="P49" s="22">
        <f>IF(N49&lt;&gt;"", IF(AND(C49=N49, D49=O49), "ACERTOU", IF(OR(C49=N49, D49=O49, C49=O49, D49=N49), "PARCIALMENTE", IF(OR(N49="Não há recomendação", O49="Não há recomendação", N49="SEM RECOMENDAÇÃO", O49="SEM RECOMENDAÇÃO"), "NÃO RECOMENDOU", "ERROU"))), "")</f>
        <v/>
      </c>
      <c r="Q49" s="23" t="n"/>
      <c r="R49" s="23" t="n"/>
      <c r="S49" s="23" t="n"/>
    </row>
    <row r="50">
      <c r="A50" t="n">
        <v>424</v>
      </c>
      <c r="B50" s="3" t="inlineStr">
        <is>
          <t>Solicitando Alterações para Melhoria da Estratégia AWS</t>
        </is>
      </c>
      <c r="C50" s="3" t="inlineStr">
        <is>
          <t>Solicitação de Serviço</t>
        </is>
      </c>
      <c r="D50" s="3" t="inlineStr">
        <is>
          <t>Gerenciamento Financeiro</t>
        </is>
      </c>
      <c r="E50" s="5" t="n"/>
      <c r="F50" s="5" t="n"/>
      <c r="G50" s="6">
        <f>IF(E50&lt;&gt;"", IF(AND(C50=E50, D50=F50), "ACERTOU", IF(OR(C50=E50, D50=F50, C50=F50, D50=E50), "PARCIALMENTE", IF(OR(E50="Não há recomendação", F50="Não há recomendação", E50="SEM RECOMENDAÇÃO", F50="SEM RECOMENDAÇÃO"), "NÃO RECOMENDOU", "ERROU"))), "")</f>
        <v/>
      </c>
      <c r="H50" s="20" t="inlineStr">
        <is>
          <t>Análise de Negócio</t>
        </is>
      </c>
      <c r="I50" s="20" t="inlineStr">
        <is>
          <t>Habilitação de Mudança</t>
        </is>
      </c>
      <c r="J50" s="20">
        <f>IF(H50&lt;&gt;"", IF(AND(C50=H50, D50=I50), "ACERTOU", IF(OR(C50=H50, D50=I50, C50=I50, D50=H50), "PARCIALMENTE", IF(OR(H50="Não há recomendação", I50="Não há recomendação", H50="SEM RECOMENDAÇÃO", I50="SEM RECOMENDAÇÃO"), "NÃO RECOMENDOU", "ERROU"))), "")</f>
        <v/>
      </c>
      <c r="K50" s="21" t="inlineStr">
        <is>
          <t>Gerenciamento de Nível de Serviço</t>
        </is>
      </c>
      <c r="L50" s="21" t="inlineStr">
        <is>
          <t>Gerenciamento Financeiro de Serviços</t>
        </is>
      </c>
      <c r="M50" s="21">
        <f>IF(K50&lt;&gt;"", IF(AND(C50=K50, D50=L50), "ACERTOU", IF(OR(C50=K50, D50=L50, C50=L50, D50=K50), "PARCIALMENTE", IF(OR(K50="Não há recomendação", L50="Não há recomendação", K50="SEM RECOMENDAÇÃO", L50="SEM RECOMENDAÇÃO"), "NÃO RECOMENDOU", "ERROU"))), "")</f>
        <v/>
      </c>
      <c r="N50" s="22" t="inlineStr">
        <is>
          <t>Gerenciamento de Nível de Serviço</t>
        </is>
      </c>
      <c r="O50" s="22" t="inlineStr">
        <is>
          <t>Planejamento Estratégico</t>
        </is>
      </c>
      <c r="P50" s="22">
        <f>IF(N50&lt;&gt;"", IF(AND(C50=N50, D50=O50), "ACERTOU", IF(OR(C50=N50, D50=O50, C50=O50, D50=N50), "PARCIALMENTE", IF(OR(N50="Não há recomendação", O50="Não há recomendação", N50="SEM RECOMENDAÇÃO", O50="SEM RECOMENDAÇÃO"), "NÃO RECOMENDOU", "ERROU"))), "")</f>
        <v/>
      </c>
      <c r="Q50" s="23" t="n"/>
      <c r="R50" s="23" t="n"/>
      <c r="S50" s="23" t="n"/>
    </row>
    <row r="51">
      <c r="A51" t="n">
        <v>451</v>
      </c>
      <c r="B51" s="3" t="inlineStr">
        <is>
          <t>Solicitação de Troca de Impressora</t>
        </is>
      </c>
      <c r="C51" s="3" t="inlineStr">
        <is>
          <t>Solicitação de Serviço</t>
        </is>
      </c>
      <c r="D51" s="3" t="inlineStr">
        <is>
          <t>Gerenciamento de Ativos de TI</t>
        </is>
      </c>
      <c r="E51" s="5" t="n"/>
      <c r="F51" s="5" t="n"/>
      <c r="G51" s="6">
        <f>IF(E51&lt;&gt;"", IF(AND(C51=E51, D51=F51), "ACERTOU", IF(OR(C51=E51, D51=F51, C51=F51, D51=E51), "PARCIALMENTE", IF(OR(E51="Não há recomendação", F51="Não há recomendação", E51="SEM RECOMENDAÇÃO", F51="SEM RECOMENDAÇÃO"), "NÃO RECOMENDOU", "ERROU"))), "")</f>
        <v/>
      </c>
      <c r="H51" s="20" t="inlineStr">
        <is>
          <t>Gerenciamento de Requisição de Serviço</t>
        </is>
      </c>
      <c r="I51" s="20" t="inlineStr">
        <is>
          <t>Gerenciamento de Ativos de TI</t>
        </is>
      </c>
      <c r="J51" s="20">
        <f>IF(H51&lt;&gt;"", IF(AND(C51=H51, D51=I51), "ACERTOU", IF(OR(C51=H51, D51=I51, C51=I51, D51=H51), "PARCIALMENTE", IF(OR(H51="Não há recomendação", I51="Não há recomendação", H51="SEM RECOMENDAÇÃO", I51="SEM RECOMENDAÇÃO"), "NÃO RECOMENDOU", "ERROU"))), "")</f>
        <v/>
      </c>
      <c r="K51" s="21" t="inlineStr">
        <is>
          <t>Gerenciamento de Incidentes</t>
        </is>
      </c>
      <c r="L51" s="21" t="inlineStr">
        <is>
          <t>Gerenciamento de Fornecedor</t>
        </is>
      </c>
      <c r="M51" s="21">
        <f>IF(K51&lt;&gt;"", IF(AND(C51=K51, D51=L51), "ACERTOU", IF(OR(C51=K51, D51=L51, C51=L51, D51=K51), "PARCIALMENTE", IF(OR(K51="Não há recomendação", L51="Não há recomendação", K51="SEM RECOMENDAÇÃO", L51="SEM RECOMENDAÇÃO"), "NÃO RECOMENDOU", "ERROU"))), "")</f>
        <v/>
      </c>
      <c r="N51" s="22" t="inlineStr">
        <is>
          <t>Gerenciamento de Incidentes</t>
        </is>
      </c>
      <c r="O51" s="22" t="inlineStr">
        <is>
          <t>Gerenciamento de Problemas</t>
        </is>
      </c>
      <c r="P51" s="22">
        <f>IF(N51&lt;&gt;"", IF(AND(C51=N51, D51=O51), "ACERTOU", IF(OR(C51=N51, D51=O51, C51=O51, D51=N51), "PARCIALMENTE", IF(OR(N51="Não há recomendação", O51="Não há recomendação", N51="SEM RECOMENDAÇÃO", O51="SEM RECOMENDAÇÃO"), "NÃO RECOMENDOU", "ERROU"))), "")</f>
        <v/>
      </c>
      <c r="Q51" s="23" t="n"/>
      <c r="R51" s="23" t="n"/>
      <c r="S51" s="23" t="n"/>
    </row>
    <row r="52">
      <c r="A52" t="n">
        <v>452</v>
      </c>
      <c r="B52" s="3" t="inlineStr">
        <is>
          <t>Assistência imediata necessária para problemas de cobrança</t>
        </is>
      </c>
      <c r="C52" s="3" t="inlineStr">
        <is>
          <t>Gerenciamento Financeiro</t>
        </is>
      </c>
      <c r="D52" s="3" t="inlineStr">
        <is>
          <t>Gerenciamento de Incidentes</t>
        </is>
      </c>
      <c r="E52" s="5" t="n"/>
      <c r="F52" s="5" t="n"/>
      <c r="G52" s="6">
        <f>IF(E52&lt;&gt;"", IF(AND(C52=E52, D52=F52), "ACERTOU", IF(OR(C52=E52, D52=F52, C52=F52, D52=E52), "PARCIALMENTE", IF(OR(E52="Não há recomendação", F52="Não há recomendação", E52="SEM RECOMENDAÇÃO", F52="SEM RECOMENDAÇÃO"), "NÃO RECOMENDOU", "ERROU"))), "")</f>
        <v/>
      </c>
      <c r="H52" s="20" t="inlineStr">
        <is>
          <t>Gerenciamento Financeiro de Serviços</t>
        </is>
      </c>
      <c r="I52" s="20" t="inlineStr">
        <is>
          <t>Gerenciamento de Segurança da Informação</t>
        </is>
      </c>
      <c r="J52" s="20">
        <f>IF(H52&lt;&gt;"", IF(AND(C52=H52, D52=I52), "ACERTOU", IF(OR(C52=H52, D52=I52, C52=I52, D52=H52), "PARCIALMENTE", IF(OR(H52="Não há recomendação", I52="Não há recomendação", H52="SEM RECOMENDAÇÃO", I52="SEM RECOMENDAÇÃO"), "NÃO RECOMENDOU", "ERROU"))), "")</f>
        <v/>
      </c>
      <c r="K52" s="21" t="inlineStr">
        <is>
          <t>Gerenciamento Financeiro de Serviços</t>
        </is>
      </c>
      <c r="L52" s="21" t="inlineStr">
        <is>
          <t>Gerenciamento de Segurança da Informação</t>
        </is>
      </c>
      <c r="M52" s="21">
        <f>IF(K52&lt;&gt;"", IF(AND(C52=K52, D52=L52), "ACERTOU", IF(OR(C52=K52, D52=L52, C52=L52, D52=K52), "PARCIALMENTE", IF(OR(K52="Não há recomendação", L52="Não há recomendação", K52="SEM RECOMENDAÇÃO", L52="SEM RECOMENDAÇÃO"), "NÃO RECOMENDOU", "ERROU"))), "")</f>
        <v/>
      </c>
      <c r="N52" s="22" t="inlineStr">
        <is>
          <t>Gerenciamento de Requisição de Serviço</t>
        </is>
      </c>
      <c r="O52" s="22" t="inlineStr">
        <is>
          <t>Gerenciamento Financeiro de TI</t>
        </is>
      </c>
      <c r="P52" s="22">
        <f>IF(N52&lt;&gt;"", IF(AND(C52=N52, D52=O52), "ACERTOU", IF(OR(C52=N52, D52=O52, C52=O52, D52=N52), "PARCIALMENTE", IF(OR(N52="Não há recomendação", O52="Não há recomendação", N52="SEM RECOMENDAÇÃO", O52="SEM RECOMENDAÇÃO"), "NÃO RECOMENDOU", "ERROU"))), "")</f>
        <v/>
      </c>
      <c r="Q52" s="23" t="n"/>
      <c r="R52" s="23" t="n"/>
      <c r="S52" s="23" t="n"/>
    </row>
    <row r="53">
      <c r="A53" t="n">
        <v>459</v>
      </c>
      <c r="B53" s="3" t="inlineStr">
        <is>
          <t>Pedido de Alteração para o Plano de Assinatura do Office 365</t>
        </is>
      </c>
      <c r="C53" s="3" t="inlineStr">
        <is>
          <t>Solicitação de Serviço</t>
        </is>
      </c>
      <c r="D53" s="3" t="inlineStr">
        <is>
          <t>Gerenciamento Financeiro</t>
        </is>
      </c>
      <c r="E53" s="5" t="n"/>
      <c r="F53" s="5" t="n"/>
      <c r="G53" s="6">
        <f>IF(E53&lt;&gt;"", IF(AND(C53=E53, D53=F53), "ACERTOU", IF(OR(C53=E53, D53=F53, C53=F53, D53=E53), "PARCIALMENTE", IF(OR(E53="Não há recomendação", F53="Não há recomendação", E53="SEM RECOMENDAÇÃO", F53="SEM RECOMENDAÇÃO"), "NÃO RECOMENDOU", "ERROU"))), "")</f>
        <v/>
      </c>
      <c r="H53" s="20" t="inlineStr">
        <is>
          <t>Gerenciamento de Requisição de Serviço</t>
        </is>
      </c>
      <c r="I53" s="20" t="inlineStr">
        <is>
          <t>Gerenciamento Financeiro de Serviços</t>
        </is>
      </c>
      <c r="J53" s="20">
        <f>IF(H53&lt;&gt;"", IF(AND(C53=H53, D53=I53), "ACERTOU", IF(OR(C53=H53, D53=I53, C53=I53, D53=H53), "PARCIALMENTE", IF(OR(H53="Não há recomendação", I53="Não há recomendação", H53="SEM RECOMENDAÇÃO", I53="SEM RECOMENDAÇÃO"), "NÃO RECOMENDOU", "ERROU"))), "")</f>
        <v/>
      </c>
      <c r="K53" s="21" t="inlineStr">
        <is>
          <t>Gerenciamento de Requisição de Serviço</t>
        </is>
      </c>
      <c r="L53" s="21" t="inlineStr">
        <is>
          <t>Habilitação de Mudança</t>
        </is>
      </c>
      <c r="M53" s="21">
        <f>IF(K53&lt;&gt;"", IF(AND(C53=K53, D53=L53), "ACERTOU", IF(OR(C53=K53, D53=L53, C53=L53, D53=K53), "PARCIALMENTE", IF(OR(K53="Não há recomendação", L53="Não há recomendação", K53="SEM RECOMENDAÇÃO", L53="SEM RECOMENDAÇÃO"), "NÃO RECOMENDOU", "ERROU"))), "")</f>
        <v/>
      </c>
      <c r="N53" s="22" t="inlineStr">
        <is>
          <t>Gerenciamento de Requisição de Serviço</t>
        </is>
      </c>
      <c r="O53" s="22" t="inlineStr">
        <is>
          <t>Não se aplica</t>
        </is>
      </c>
      <c r="P53" s="22">
        <f>IF(N53&lt;&gt;"", IF(AND(C53=N53, D53=O53), "ACERTOU", IF(OR(C53=N53, D53=O53, C53=O53, D53=N53), "PARCIALMENTE", IF(OR(N53="Não há recomendação", O53="Não há recomendação", N53="SEM RECOMENDAÇÃO", O53="SEM RECOMENDAÇÃO"), "NÃO RECOMENDOU", "ERROU"))), "")</f>
        <v/>
      </c>
      <c r="Q53" s="23" t="n"/>
      <c r="R53" s="23" t="n"/>
      <c r="S53" s="23" t="n"/>
    </row>
    <row r="54">
      <c r="A54" t="n">
        <v>461</v>
      </c>
      <c r="B54" s="3" t="inlineStr">
        <is>
          <t>Solicitação de Otimização de Recursos e Estabilidade da Nuvem AWS</t>
        </is>
      </c>
      <c r="C54" s="3" t="inlineStr">
        <is>
          <t>Gerenciamento de Incidentes</t>
        </is>
      </c>
      <c r="D54" s="3" t="inlineStr">
        <is>
          <t>Gerenciamento Financeiro</t>
        </is>
      </c>
      <c r="E54" s="5" t="n"/>
      <c r="F54" s="5" t="n"/>
      <c r="G54" s="6">
        <f>IF(E54&lt;&gt;"", IF(AND(C54=E54, D54=F54), "ACERTOU", IF(OR(C54=E54, D54=F54, C54=F54, D54=E54), "PARCIALMENTE", IF(OR(E54="Não há recomendação", F54="Não há recomendação", E54="SEM RECOMENDAÇÃO", F54="SEM RECOMENDAÇÃO"), "NÃO RECOMENDOU", "ERROU"))), "")</f>
        <v/>
      </c>
      <c r="H54" s="20" t="inlineStr">
        <is>
          <t>Gerenciamento de Nível de Serviço</t>
        </is>
      </c>
      <c r="I54" s="20" t="inlineStr">
        <is>
          <t>Gerenciamento Financeiro de Serviços</t>
        </is>
      </c>
      <c r="J54" s="20">
        <f>IF(H54&lt;&gt;"", IF(AND(C54=H54, D54=I54), "ACERTOU", IF(OR(C54=H54, D54=I54, C54=I54, D54=H54), "PARCIALMENTE", IF(OR(H54="Não há recomendação", I54="Não há recomendação", H54="SEM RECOMENDAÇÃO", I54="SEM RECOMENDAÇÃO"), "NÃO RECOMENDOU", "ERROU"))), "")</f>
        <v/>
      </c>
      <c r="K54" s="21" t="inlineStr">
        <is>
          <t>Gerenciamento Financeiro de Serviços</t>
        </is>
      </c>
      <c r="L54" s="21" t="inlineStr">
        <is>
          <t>Gerenciamento de Capacidade e Desempenho</t>
        </is>
      </c>
      <c r="M54" s="21">
        <f>IF(K54&lt;&gt;"", IF(AND(C54=K54, D54=L54), "ACERTOU", IF(OR(C54=K54, D54=L54, C54=L54, D54=K54), "PARCIALMENTE", IF(OR(K54="Não há recomendação", L54="Não há recomendação", K54="SEM RECOMENDAÇÃO", L54="SEM RECOMENDAÇÃO"), "NÃO RECOMENDOU", "ERROU"))), "")</f>
        <v/>
      </c>
      <c r="N54" s="22" t="inlineStr">
        <is>
          <t>Gerenciamento de Problemas</t>
        </is>
      </c>
      <c r="O54" s="22" t="inlineStr">
        <is>
          <t>Gerenciamento Financeiro de TI</t>
        </is>
      </c>
      <c r="P54" s="22">
        <f>IF(N54&lt;&gt;"", IF(AND(C54=N54, D54=O54), "ACERTOU", IF(OR(C54=N54, D54=O54, C54=O54, D54=N54), "PARCIALMENTE", IF(OR(N54="Não há recomendação", O54="Não há recomendação", N54="SEM RECOMENDAÇÃO", O54="SEM RECOMENDAÇÃO"), "NÃO RECOMENDOU", "ERROU"))), "")</f>
        <v/>
      </c>
      <c r="Q54" s="23" t="n"/>
      <c r="R54" s="23" t="n"/>
      <c r="S54" s="23" t="n"/>
    </row>
    <row r="55">
      <c r="A55" t="n">
        <v>466</v>
      </c>
      <c r="B55" s="3" t="inlineStr">
        <is>
          <t>Solicitação de Devolução para HP DeskJet 3755</t>
        </is>
      </c>
      <c r="C55" s="3" t="inlineStr">
        <is>
          <t>Solicitação de Serviço</t>
        </is>
      </c>
      <c r="D55" s="3" t="inlineStr">
        <is>
          <t>Gerenciamento de Ativos de TI</t>
        </is>
      </c>
      <c r="E55" s="5" t="n"/>
      <c r="F55" s="5" t="n"/>
      <c r="G55" s="6">
        <f>IF(E55&lt;&gt;"", IF(AND(C55=E55, D55=F55), "ACERTOU", IF(OR(C55=E55, D55=F55, C55=F55, D55=E55), "PARCIALMENTE", IF(OR(E55="Não há recomendação", F55="Não há recomendação", E55="SEM RECOMENDAÇÃO", F55="SEM RECOMENDAÇÃO"), "NÃO RECOMENDOU", "ERROU"))), "")</f>
        <v/>
      </c>
      <c r="H55" s="20" t="inlineStr">
        <is>
          <t>Gerenciamento de Requisição de Serviço</t>
        </is>
      </c>
      <c r="I55" s="20" t="inlineStr">
        <is>
          <t>Gerenciamento de Relacionamento</t>
        </is>
      </c>
      <c r="J55" s="20">
        <f>IF(H55&lt;&gt;"", IF(AND(C55=H55, D55=I55), "ACERTOU", IF(OR(C55=H55, D55=I55, C55=I55, D55=H55), "PARCIALMENTE", IF(OR(H55="Não há recomendação", I55="Não há recomendação", H55="SEM RECOMENDAÇÃO", I55="SEM RECOMENDAÇÃO"), "NÃO RECOMENDOU", "ERROU"))), "")</f>
        <v/>
      </c>
      <c r="K55" s="21" t="inlineStr">
        <is>
          <t>Gerenciamento de Requisição de Serviço</t>
        </is>
      </c>
      <c r="L55" s="21" t="inlineStr">
        <is>
          <t>Gerenciamento de Relacionamento</t>
        </is>
      </c>
      <c r="M55" s="21">
        <f>IF(K55&lt;&gt;"", IF(AND(C55=K55, D55=L55), "ACERTOU", IF(OR(C55=K55, D55=L55, C55=L55, D55=K55), "PARCIALMENTE", IF(OR(K55="Não há recomendação", L55="Não há recomendação", K55="SEM RECOMENDAÇÃO", L55="SEM RECOMENDAÇÃO"), "NÃO RECOMENDOU", "ERROU"))), "")</f>
        <v/>
      </c>
      <c r="N55" s="22" t="inlineStr">
        <is>
          <t>Gerenciamento de Incidentes</t>
        </is>
      </c>
      <c r="O55" s="22" t="inlineStr">
        <is>
          <t>Gerenciamento de Nível de Serviço</t>
        </is>
      </c>
      <c r="P55" s="22">
        <f>IF(N55&lt;&gt;"", IF(AND(C55=N55, D55=O55), "ACERTOU", IF(OR(C55=N55, D55=O55, C55=O55, D55=N55), "PARCIALMENTE", IF(OR(N55="Não há recomendação", O55="Não há recomendação", N55="SEM RECOMENDAÇÃO", O55="SEM RECOMENDAÇÃO"), "NÃO RECOMENDOU", "ERROU"))), "")</f>
        <v/>
      </c>
      <c r="Q55" s="23" t="n"/>
      <c r="R55" s="23" t="n"/>
      <c r="S55" s="23" t="n"/>
    </row>
    <row r="56">
      <c r="A56" t="n">
        <v>468</v>
      </c>
      <c r="B56" s="3" t="inlineStr">
        <is>
          <t>Solicitação para Iniciar Devolução da Impressora Epson EcoTank ET-4760</t>
        </is>
      </c>
      <c r="C56" s="3" t="inlineStr">
        <is>
          <t>Solicitação de Serviço</t>
        </is>
      </c>
      <c r="D56" s="3" t="inlineStr">
        <is>
          <t>Gerenciamento de Ativos de TI</t>
        </is>
      </c>
      <c r="E56" s="5" t="n"/>
      <c r="F56" s="5" t="n"/>
      <c r="G56" s="6">
        <f>IF(E56&lt;&gt;"", IF(AND(C56=E56, D56=F56), "ACERTOU", IF(OR(C56=E56, D56=F56, C56=F56, D56=E56), "PARCIALMENTE", IF(OR(E56="Não há recomendação", F56="Não há recomendação", E56="SEM RECOMENDAÇÃO", F56="SEM RECOMENDAÇÃO"), "NÃO RECOMENDOU", "ERROU"))), "")</f>
        <v/>
      </c>
      <c r="H56" s="20" t="inlineStr">
        <is>
          <t>Gerenciamento de Requisição de Serviço</t>
        </is>
      </c>
      <c r="I56" s="20" t="inlineStr">
        <is>
          <t>Gerenciamento de Ativos de TI</t>
        </is>
      </c>
      <c r="J56" s="20">
        <f>IF(H56&lt;&gt;"", IF(AND(C56=H56, D56=I56), "ACERTOU", IF(OR(C56=H56, D56=I56, C56=I56, D56=H56), "PARCIALMENTE", IF(OR(H56="Não há recomendação", I56="Não há recomendação", H56="SEM RECOMENDAÇÃO", I56="SEM RECOMENDAÇÃO"), "NÃO RECOMENDOU", "ERROU"))), "")</f>
        <v/>
      </c>
      <c r="K56" s="21" t="inlineStr">
        <is>
          <t>Gerenciamento de Requisição de Serviço</t>
        </is>
      </c>
      <c r="L56" s="21" t="inlineStr">
        <is>
          <t>Gerenciamento de Fornecedor</t>
        </is>
      </c>
      <c r="M56" s="21">
        <f>IF(K56&lt;&gt;"", IF(AND(C56=K56, D56=L56), "ACERTOU", IF(OR(C56=K56, D56=L56, C56=L56, D56=K56), "PARCIALMENTE", IF(OR(K56="Não há recomendação", L56="Não há recomendação", K56="SEM RECOMENDAÇÃO", L56="SEM RECOMENDAÇÃO"), "NÃO RECOMENDOU", "ERROU"))), "")</f>
        <v/>
      </c>
      <c r="N56" s="22" t="inlineStr">
        <is>
          <t>Gerenciamento de Incidentes</t>
        </is>
      </c>
      <c r="O56" s="22" t="inlineStr">
        <is>
          <t>Não se aplica</t>
        </is>
      </c>
      <c r="P56" s="22">
        <f>IF(N56&lt;&gt;"", IF(AND(C56=N56, D56=O56), "ACERTOU", IF(OR(C56=N56, D56=O56, C56=O56, D56=N56), "PARCIALMENTE", IF(OR(N56="Não há recomendação", O56="Não há recomendação", N56="SEM RECOMENDAÇÃO", O56="SEM RECOMENDAÇÃO"), "NÃO RECOMENDOU", "ERROU"))), "")</f>
        <v/>
      </c>
      <c r="Q56" s="23" t="n"/>
      <c r="R56" s="23" t="n"/>
      <c r="S56" s="23" t="n"/>
    </row>
    <row r="57">
      <c r="A57" t="n">
        <v>470</v>
      </c>
      <c r="B57" s="3" t="inlineStr">
        <is>
          <t>Problema com erro de assinatura</t>
        </is>
      </c>
      <c r="C57" s="3" t="inlineStr">
        <is>
          <t>Gerenciamento de Incidentes</t>
        </is>
      </c>
      <c r="D57" s="3" t="inlineStr">
        <is>
          <t>Gerenciamento de Acesso</t>
        </is>
      </c>
      <c r="E57" s="5" t="n"/>
      <c r="F57" s="5" t="n"/>
      <c r="G57" s="6">
        <f>IF(E57&lt;&gt;"", IF(AND(C57=E57, D57=F57), "ACERTOU", IF(OR(C57=E57, D57=F57, C57=F57, D57=E57), "PARCIALMENTE", IF(OR(E57="Não há recomendação", F57="Não há recomendação", E57="SEM RECOMENDAÇÃO", F57="SEM RECOMENDAÇÃO"), "NÃO RECOMENDOU", "ERROU"))), "")</f>
        <v/>
      </c>
      <c r="H57" s="20" t="inlineStr">
        <is>
          <t>Gerenciamento de Incidentes</t>
        </is>
      </c>
      <c r="I57" s="20" t="inlineStr">
        <is>
          <t>Gerenciamento de Acesso</t>
        </is>
      </c>
      <c r="J57" s="20">
        <f>IF(H57&lt;&gt;"", IF(AND(C57=H57, D57=I57), "ACERTOU", IF(OR(C57=H57, D57=I57, C57=I57, D57=H57), "PARCIALMENTE", IF(OR(H57="Não há recomendação", I57="Não há recomendação", H57="SEM RECOMENDAÇÃO", I57="SEM RECOMENDAÇÃO"), "NÃO RECOMENDOU", "ERROU"))), "")</f>
        <v/>
      </c>
      <c r="K57" s="21" t="inlineStr">
        <is>
          <t>Gerenciamento de Incidentes</t>
        </is>
      </c>
      <c r="L57" s="21" t="inlineStr">
        <is>
          <t>Gerenciamento de Problemas</t>
        </is>
      </c>
      <c r="M57" s="21">
        <f>IF(K57&lt;&gt;"", IF(AND(C57=K57, D57=L57), "ACERTOU", IF(OR(C57=K57, D57=L57, C57=L57, D57=K57), "PARCIALMENTE", IF(OR(K57="Não há recomendação", L57="Não há recomendação", K57="SEM RECOMENDAÇÃO", L57="SEM RECOMENDAÇÃO"), "NÃO RECOMENDOU", "ERROU"))), "")</f>
        <v/>
      </c>
      <c r="N57" s="22" t="inlineStr">
        <is>
          <t>Gerenciamento de Incidentes</t>
        </is>
      </c>
      <c r="O57" s="22" t="inlineStr">
        <is>
          <t>Gerenciamento de Disponibilidade</t>
        </is>
      </c>
      <c r="P57" s="22">
        <f>IF(N57&lt;&gt;"", IF(AND(C57=N57, D57=O57), "ACERTOU", IF(OR(C57=N57, D57=O57, C57=O57, D57=N57), "PARCIALMENTE", IF(OR(N57="Não há recomendação", O57="Não há recomendação", N57="SEM RECOMENDAÇÃO", O57="SEM RECOMENDAÇÃO"), "NÃO RECOMENDOU", "ERROU"))), "")</f>
        <v/>
      </c>
      <c r="Q57" s="23" t="n"/>
      <c r="R57" s="23" t="n"/>
      <c r="S57" s="23" t="n"/>
    </row>
    <row r="58">
      <c r="A58" t="n">
        <v>479</v>
      </c>
      <c r="B58" s="3" t="inlineStr">
        <is>
          <t>Otimização Urgente da AWS</t>
        </is>
      </c>
      <c r="C58" s="3" t="inlineStr">
        <is>
          <t>Gerenciamento Financeiro</t>
        </is>
      </c>
      <c r="D58" s="3" t="inlineStr">
        <is>
          <t>Gerenciamento de Incidentes</t>
        </is>
      </c>
      <c r="E58" s="5" t="n"/>
      <c r="F58" s="5" t="n"/>
      <c r="G58" s="6">
        <f>IF(E58&lt;&gt;"", IF(AND(C58=E58, D58=F58), "ACERTOU", IF(OR(C58=E58, D58=F58, C58=F58, D58=E58), "PARCIALMENTE", IF(OR(E58="Não há recomendação", F58="Não há recomendação", E58="SEM RECOMENDAÇÃO", F58="SEM RECOMENDAÇÃO"), "NÃO RECOMENDOU", "ERROU"))), "")</f>
        <v/>
      </c>
      <c r="H58" s="20" t="inlineStr">
        <is>
          <t>Gerenciamento Financeiro de Serviços</t>
        </is>
      </c>
      <c r="I58" s="20" t="inlineStr">
        <is>
          <t>Gerenciamento de Requisição de Serviço</t>
        </is>
      </c>
      <c r="J58" s="20">
        <f>IF(H58&lt;&gt;"", IF(AND(C58=H58, D58=I58), "ACERTOU", IF(OR(C58=H58, D58=I58, C58=I58, D58=H58), "PARCIALMENTE", IF(OR(H58="Não há recomendação", I58="Não há recomendação", H58="SEM RECOMENDAÇÃO", I58="SEM RECOMENDAÇÃO"), "NÃO RECOMENDOU", "ERROU"))), "")</f>
        <v/>
      </c>
      <c r="K58" s="21" t="inlineStr">
        <is>
          <t>Gerenciamento Financeiro de Serviços</t>
        </is>
      </c>
      <c r="L58" s="21" t="inlineStr">
        <is>
          <t>Gerenciamento de Capacidade e Desempenho</t>
        </is>
      </c>
      <c r="M58" s="21">
        <f>IF(K58&lt;&gt;"", IF(AND(C58=K58, D58=L58), "ACERTOU", IF(OR(C58=K58, D58=L58, C58=L58, D58=K58), "PARCIALMENTE", IF(OR(K58="Não há recomendação", L58="Não há recomendação", K58="SEM RECOMENDAÇÃO", L58="SEM RECOMENDAÇÃO"), "NÃO RECOMENDOU", "ERROU"))), "")</f>
        <v/>
      </c>
      <c r="N58" s="22" t="inlineStr">
        <is>
          <t>Gerenciamento Financeiro de TI</t>
        </is>
      </c>
      <c r="O58" s="22" t="inlineStr">
        <is>
          <t>Gerenciamento de Requisição de Serviço</t>
        </is>
      </c>
      <c r="P58" s="22">
        <f>IF(N58&lt;&gt;"", IF(AND(C58=N58, D58=O58), "ACERTOU", IF(OR(C58=N58, D58=O58, C58=O58, D58=N58), "PARCIALMENTE", IF(OR(N58="Não há recomendação", O58="Não há recomendação", N58="SEM RECOMENDAÇÃO", O58="SEM RECOMENDAÇÃO"), "NÃO RECOMENDOU", "ERROU"))), "")</f>
        <v/>
      </c>
      <c r="Q58" s="23" t="n"/>
      <c r="R58" s="23" t="n"/>
      <c r="S58" s="23" t="n"/>
    </row>
    <row r="59">
      <c r="A59" t="n">
        <v>485</v>
      </c>
      <c r="B59" s="3" t="inlineStr">
        <is>
          <t>Urgente: Problema de Interrupção do Serviço AWS</t>
        </is>
      </c>
      <c r="C59" s="3" t="inlineStr">
        <is>
          <t>Gerenciamento de Incidentes</t>
        </is>
      </c>
      <c r="D59" s="3" t="inlineStr">
        <is>
          <t>Gerenciamento de Disponibilidade</t>
        </is>
      </c>
      <c r="E59" s="5" t="n"/>
      <c r="F59" s="5" t="n"/>
      <c r="G59" s="6">
        <f>IF(E59&lt;&gt;"", IF(AND(C59=E59, D59=F59), "ACERTOU", IF(OR(C59=E59, D59=F59, C59=F59, D59=E59), "PARCIALMENTE", IF(OR(E59="Não há recomendação", F59="Não há recomendação", E59="SEM RECOMENDAÇÃO", F59="SEM RECOMENDAÇÃO"), "NÃO RECOMENDOU", "ERROU"))), "")</f>
        <v/>
      </c>
      <c r="H59" s="20" t="inlineStr">
        <is>
          <t>Gerenciamento de Incidentes</t>
        </is>
      </c>
      <c r="I59" s="20" t="inlineStr">
        <is>
          <t>Gerenciamento de Disponibilidade</t>
        </is>
      </c>
      <c r="J59" s="20">
        <f>IF(H59&lt;&gt;"", IF(AND(C59=H59, D59=I59), "ACERTOU", IF(OR(C59=H59, D59=I59, C59=I59, D59=H59), "PARCIALMENTE", IF(OR(H59="Não há recomendação", I59="Não há recomendação", H59="SEM RECOMENDAÇÃO", I59="SEM RECOMENDAÇÃO"), "NÃO RECOMENDOU", "ERROU"))), "")</f>
        <v/>
      </c>
      <c r="K59" s="21" t="inlineStr">
        <is>
          <t>Gerenciamento de Incidentes</t>
        </is>
      </c>
      <c r="L59" s="21" t="inlineStr">
        <is>
          <t>Gerenciamento de Continuidade de Serviço</t>
        </is>
      </c>
      <c r="M59" s="21">
        <f>IF(K59&lt;&gt;"", IF(AND(C59=K59, D59=L59), "ACERTOU", IF(OR(C59=K59, D59=L59, C59=L59, D59=K59), "PARCIALMENTE", IF(OR(K59="Não há recomendação", L59="Não há recomendação", K59="SEM RECOMENDAÇÃO", L59="SEM RECOMENDAÇÃO"), "NÃO RECOMENDOU", "ERROU"))), "")</f>
        <v/>
      </c>
      <c r="N59" s="22" t="inlineStr">
        <is>
          <t>Gerenciamento de Incidentes</t>
        </is>
      </c>
      <c r="O59" s="22" t="inlineStr">
        <is>
          <t>Gerenciamento de Disponibilidade</t>
        </is>
      </c>
      <c r="P59" s="22">
        <f>IF(N59&lt;&gt;"", IF(AND(C59=N59, D59=O59), "ACERTOU", IF(OR(C59=N59, D59=O59, C59=O59, D59=N59), "PARCIALMENTE", IF(OR(N59="Não há recomendação", O59="Não há recomendação", N59="SEM RECOMENDAÇÃO", O59="SEM RECOMENDAÇÃO"), "NÃO RECOMENDOU", "ERROU"))), "")</f>
        <v/>
      </c>
      <c r="Q59" s="23" t="n"/>
      <c r="R59" s="23" t="n"/>
      <c r="S59" s="23" t="n"/>
    </row>
    <row r="60">
      <c r="A60" t="n">
        <v>492</v>
      </c>
      <c r="B60" s="3" t="inlineStr">
        <is>
          <t>Investigação Imediata Necessária: Problemas de Conectividade</t>
        </is>
      </c>
      <c r="C60" s="3" t="inlineStr">
        <is>
          <t>Gerenciamento de Incidentes</t>
        </is>
      </c>
      <c r="D60" s="3" t="inlineStr">
        <is>
          <t>Gerenciamento de Problemas</t>
        </is>
      </c>
      <c r="E60" s="5" t="n"/>
      <c r="F60" s="5" t="n"/>
      <c r="G60" s="6">
        <f>IF(E60&lt;&gt;"", IF(AND(C60=E60, D60=F60), "ACERTOU", IF(OR(C60=E60, D60=F60, C60=F60, D60=E60), "PARCIALMENTE", IF(OR(E60="Não há recomendação", F60="Não há recomendação", E60="SEM RECOMENDAÇÃO", F60="SEM RECOMENDAÇÃO"), "NÃO RECOMENDOU", "ERROU"))), "")</f>
        <v/>
      </c>
      <c r="H60" s="20" t="inlineStr">
        <is>
          <t>Gerenciamento de Problemas</t>
        </is>
      </c>
      <c r="I60" s="20" t="inlineStr">
        <is>
          <t>Gerenciamento de Incidentes</t>
        </is>
      </c>
      <c r="J60" s="20">
        <f>IF(H60&lt;&gt;"", IF(AND(C60=H60, D60=I60), "ACERTOU", IF(OR(C60=H60, D60=I60, C60=I60, D60=H60), "PARCIALMENTE", IF(OR(H60="Não há recomendação", I60="Não há recomendação", H60="SEM RECOMENDAÇÃO", I60="SEM RECOMENDAÇÃO"), "NÃO RECOMENDOU", "ERROU"))), "")</f>
        <v/>
      </c>
      <c r="K60" s="21" t="inlineStr">
        <is>
          <t>Gerenciamento de Problemas</t>
        </is>
      </c>
      <c r="L60" s="21" t="inlineStr">
        <is>
          <t>Gerenciamento de Infraestrutura e Plataforma</t>
        </is>
      </c>
      <c r="M60" s="21">
        <f>IF(K60&lt;&gt;"", IF(AND(C60=K60, D60=L60), "ACERTOU", IF(OR(C60=K60, D60=L60, C60=L60, D60=K60), "PARCIALMENTE", IF(OR(K60="Não há recomendação", L60="Não há recomendação", K60="SEM RECOMENDAÇÃO", L60="SEM RECOMENDAÇÃO"), "NÃO RECOMENDOU", "ERROU"))), "")</f>
        <v/>
      </c>
      <c r="N60" s="22" t="inlineStr">
        <is>
          <t>Gerenciamento de Problemas</t>
        </is>
      </c>
      <c r="O60" s="22" t="inlineStr">
        <is>
          <t>Gerenciamento de Disponibilidade</t>
        </is>
      </c>
      <c r="P60" s="22">
        <f>IF(N60&lt;&gt;"", IF(AND(C60=N60, D60=O60), "ACERTOU", IF(OR(C60=N60, D60=O60, C60=O60, D60=N60), "PARCIALMENTE", IF(OR(N60="Não há recomendação", O60="Não há recomendação", N60="SEM RECOMENDAÇÃO", O60="SEM RECOMENDAÇÃO"), "NÃO RECOMENDOU", "ERROU"))), "")</f>
        <v/>
      </c>
      <c r="Q60" s="23" t="n"/>
      <c r="R60" s="23" t="n"/>
      <c r="S60" s="23" t="n"/>
    </row>
    <row r="61">
      <c r="A61" t="n">
        <v>496</v>
      </c>
      <c r="B61" s="3" t="inlineStr">
        <is>
          <t>Assistência Necessária para Problemas Persistentes de Atolamento de Papel com Impressora Canon</t>
        </is>
      </c>
      <c r="C61" s="3" t="inlineStr">
        <is>
          <t>Gerenciamento de Incidentes</t>
        </is>
      </c>
      <c r="D61" s="3" t="inlineStr">
        <is>
          <t>Gerenciamento de Problemas</t>
        </is>
      </c>
      <c r="E61" s="5" t="n"/>
      <c r="F61" s="5" t="n"/>
      <c r="G61" s="6">
        <f>IF(E61&lt;&gt;"", IF(AND(C61=E61, D61=F61), "ACERTOU", IF(OR(C61=E61, D61=F61, C61=F61, D61=E61), "PARCIALMENTE", IF(OR(E61="Não há recomendação", F61="Não há recomendação", E61="SEM RECOMENDAÇÃO", F61="SEM RECOMENDAÇÃO"), "NÃO RECOMENDOU", "ERROU"))), "")</f>
        <v/>
      </c>
      <c r="H61" s="20" t="inlineStr">
        <is>
          <t>Gerenciamento de Incidentes</t>
        </is>
      </c>
      <c r="I61" s="20" t="inlineStr">
        <is>
          <t>Gerenciamento de Problemas</t>
        </is>
      </c>
      <c r="J61" s="20">
        <f>IF(H61&lt;&gt;"", IF(AND(C61=H61, D61=I61), "ACERTOU", IF(OR(C61=H61, D61=I61, C61=I61, D61=H61), "PARCIALMENTE", IF(OR(H61="Não há recomendação", I61="Não há recomendação", H61="SEM RECOMENDAÇÃO", I61="SEM RECOMENDAÇÃO"), "NÃO RECOMENDOU", "ERROU"))), "")</f>
        <v/>
      </c>
      <c r="K61" s="21" t="inlineStr">
        <is>
          <t>Gerenciamento de Problemas</t>
        </is>
      </c>
      <c r="L61" s="21" t="inlineStr">
        <is>
          <t>Gerenciamento de Incidentes</t>
        </is>
      </c>
      <c r="M61" s="21">
        <f>IF(K61&lt;&gt;"", IF(AND(C61=K61, D61=L61), "ACERTOU", IF(OR(C61=K61, D61=L61, C61=L61, D61=K61), "PARCIALMENTE", IF(OR(K61="Não há recomendação", L61="Não há recomendação", K61="SEM RECOMENDAÇÃO", L61="SEM RECOMENDAÇÃO"), "NÃO RECOMENDOU", "ERROU"))), "")</f>
        <v/>
      </c>
      <c r="N61" s="22" t="inlineStr">
        <is>
          <t>Gerenciamento de Incidentes</t>
        </is>
      </c>
      <c r="O61" s="22" t="inlineStr">
        <is>
          <t>Gerenciamento de Problemas</t>
        </is>
      </c>
      <c r="P61" s="22">
        <f>IF(N61&lt;&gt;"", IF(AND(C61=N61, D61=O61), "ACERTOU", IF(OR(C61=N61, D61=O61, C61=O61, D61=N61), "PARCIALMENTE", IF(OR(N61="Não há recomendação", O61="Não há recomendação", N61="SEM RECOMENDAÇÃO", O61="SEM RECOMENDAÇÃO"), "NÃO RECOMENDOU", "ERROU"))), "")</f>
        <v/>
      </c>
      <c r="Q61" s="23" t="n"/>
      <c r="R61" s="23" t="n"/>
      <c r="S61" s="23" t="n"/>
    </row>
    <row r="62">
      <c r="A62" t="n">
        <v>504</v>
      </c>
      <c r="B62" s="3" t="inlineStr">
        <is>
          <t>Problema de Acesso ao Outlook</t>
        </is>
      </c>
      <c r="C62" s="3" t="inlineStr">
        <is>
          <t>Gerenciamento de Incidentes</t>
        </is>
      </c>
      <c r="D62" s="3" t="inlineStr">
        <is>
          <t>Gerenciamento de Acesso</t>
        </is>
      </c>
      <c r="E62" s="5" t="n"/>
      <c r="F62" s="5" t="n"/>
      <c r="G62" s="6">
        <f>IF(E62&lt;&gt;"", IF(AND(C62=E62, D62=F62), "ACERTOU", IF(OR(C62=E62, D62=F62, C62=F62, D62=E62), "PARCIALMENTE", IF(OR(E62="Não há recomendação", F62="Não há recomendação", E62="SEM RECOMENDAÇÃO", F62="SEM RECOMENDAÇÃO"), "NÃO RECOMENDOU", "ERROU"))), "")</f>
        <v/>
      </c>
      <c r="H62" s="20" t="inlineStr">
        <is>
          <t>Gerenciamento de Incidentes</t>
        </is>
      </c>
      <c r="I62" s="20" t="inlineStr">
        <is>
          <t>Gerenciamento de Acesso</t>
        </is>
      </c>
      <c r="J62" s="20">
        <f>IF(H62&lt;&gt;"", IF(AND(C62=H62, D62=I62), "ACERTOU", IF(OR(C62=H62, D62=I62, C62=I62, D62=H62), "PARCIALMENTE", IF(OR(H62="Não há recomendação", I62="Não há recomendação", H62="SEM RECOMENDAÇÃO", I62="SEM RECOMENDAÇÃO"), "NÃO RECOMENDOU", "ERROU"))), "")</f>
        <v/>
      </c>
      <c r="K62" s="21" t="n"/>
      <c r="L62" s="21" t="n"/>
      <c r="M62" s="21">
        <f>IF(K62&lt;&gt;"", IF(AND(C62=K62, D62=L62), "ACERTOU", IF(OR(C62=K62, D62=L62, C62=L62, D62=K62), "PARCIALMENTE", IF(OR(K62="Não há recomendação", L62="Não há recomendação", K62="SEM RECOMENDAÇÃO", L62="SEM RECOMENDAÇÃO"), "NÃO RECOMENDOU", "ERROU"))), "")</f>
        <v/>
      </c>
      <c r="N62" s="22" t="inlineStr">
        <is>
          <t>Gerenciamento de Incidentes</t>
        </is>
      </c>
      <c r="O62" s="22" t="inlineStr">
        <is>
          <t>Gerenciamento de Problemas</t>
        </is>
      </c>
      <c r="P62" s="22">
        <f>IF(N62&lt;&gt;"", IF(AND(C62=N62, D62=O62), "ACERTOU", IF(OR(C62=N62, D62=O62, C62=O62, D62=N62), "PARCIALMENTE", IF(OR(N62="Não há recomendação", O62="Não há recomendação", N62="SEM RECOMENDAÇÃO", O62="SEM RECOMENDAÇÃO"), "NÃO RECOMENDOU", "ERROU"))), "")</f>
        <v/>
      </c>
      <c r="Q62" s="23" t="n"/>
      <c r="R62" s="23" t="n"/>
      <c r="S62" s="23" t="n"/>
    </row>
    <row r="63">
      <c r="A63" t="n">
        <v>516</v>
      </c>
      <c r="B63" s="3" t="inlineStr">
        <is>
          <t>Solicitação de Otimização das Configurações da AWS</t>
        </is>
      </c>
      <c r="C63" s="3" t="inlineStr">
        <is>
          <t>Solicitação de Serviço</t>
        </is>
      </c>
      <c r="D63" s="3" t="inlineStr">
        <is>
          <t>Gerenciamento Financeiro</t>
        </is>
      </c>
      <c r="E63" s="5" t="n"/>
      <c r="F63" s="5" t="n"/>
      <c r="G63" s="6">
        <f>IF(E63&lt;&gt;"", IF(AND(C63=E63, D63=F63), "ACERTOU", IF(OR(C63=E63, D63=F63, C63=F63, D63=E63), "PARCIALMENTE", IF(OR(E63="Não há recomendação", F63="Não há recomendação", E63="SEM RECOMENDAÇÃO", F63="SEM RECOMENDAÇÃO"), "NÃO RECOMENDOU", "ERROU"))), "")</f>
        <v/>
      </c>
      <c r="H63" s="20" t="inlineStr">
        <is>
          <t>Gerenciamento de Requisição de Serviço</t>
        </is>
      </c>
      <c r="I63" s="20" t="inlineStr">
        <is>
          <t>Gerenciamento Financeiro de Serviços</t>
        </is>
      </c>
      <c r="J63" s="20">
        <f>IF(H63&lt;&gt;"", IF(AND(C63=H63, D63=I63), "ACERTOU", IF(OR(C63=H63, D63=I63, C63=I63, D63=H63), "PARCIALMENTE", IF(OR(H63="Não há recomendação", I63="Não há recomendação", H63="SEM RECOMENDAÇÃO", I63="SEM RECOMENDAÇÃO"), "NÃO RECOMENDOU", "ERROU"))), "")</f>
        <v/>
      </c>
      <c r="K63" s="21" t="n"/>
      <c r="L63" s="21" t="n"/>
      <c r="M63" s="21">
        <f>IF(K63&lt;&gt;"", IF(AND(C63=K63, D63=L63), "ACERTOU", IF(OR(C63=K63, D63=L63, C63=L63, D63=K63), "PARCIALMENTE", IF(OR(K63="Não há recomendação", L63="Não há recomendação", K63="SEM RECOMENDAÇÃO", L63="SEM RECOMENDAÇÃO"), "NÃO RECOMENDOU", "ERROU"))), "")</f>
        <v/>
      </c>
      <c r="N63" s="22" t="inlineStr">
        <is>
          <t>Gerenciamento de Ativos de TI</t>
        </is>
      </c>
      <c r="O63" s="22" t="inlineStr">
        <is>
          <t>Gerenciamento de Nível de Serviço</t>
        </is>
      </c>
      <c r="P63" s="22">
        <f>IF(N63&lt;&gt;"", IF(AND(C63=N63, D63=O63), "ACERTOU", IF(OR(C63=N63, D63=O63, C63=O63, D63=N63), "PARCIALMENTE", IF(OR(N63="Não há recomendação", O63="Não há recomendação", N63="SEM RECOMENDAÇÃO", O63="SEM RECOMENDAÇÃO"), "NÃO RECOMENDOU", "ERROU"))), "")</f>
        <v/>
      </c>
      <c r="Q63" s="23" t="n"/>
      <c r="R63" s="23" t="n"/>
      <c r="S63" s="23" t="n"/>
    </row>
    <row r="64">
      <c r="A64" t="n">
        <v>537</v>
      </c>
      <c r="B64" s="3" t="inlineStr">
        <is>
          <t>Assistência de Desempenho do Servidor</t>
        </is>
      </c>
      <c r="C64" s="3" t="inlineStr">
        <is>
          <t>Solicitação de Serviço</t>
        </is>
      </c>
      <c r="D64" s="3" t="inlineStr">
        <is>
          <t>Gerenciamento de Capacidade</t>
        </is>
      </c>
      <c r="E64" s="5" t="n"/>
      <c r="F64" s="5" t="n"/>
      <c r="G64" s="6">
        <f>IF(E64&lt;&gt;"", IF(AND(C64=E64, D64=F64), "ACERTOU", IF(OR(C64=E64, D64=F64, C64=F64, D64=E64), "PARCIALMENTE", IF(OR(E64="Não há recomendação", F64="Não há recomendação", E64="SEM RECOMENDAÇÃO", F64="SEM RECOMENDAÇÃO"), "NÃO RECOMENDOU", "ERROU"))), "")</f>
        <v/>
      </c>
      <c r="H64" s="20" t="inlineStr">
        <is>
          <t>Gerenciamento de Capacidade e Desempenho</t>
        </is>
      </c>
      <c r="I64" s="20" t="inlineStr">
        <is>
          <t>Análise de Negócio</t>
        </is>
      </c>
      <c r="J64" s="20">
        <f>IF(H64&lt;&gt;"", IF(AND(C64=H64, D64=I64), "ACERTOU", IF(OR(C64=H64, D64=I64, C64=I64, D64=H64), "PARCIALMENTE", IF(OR(H64="Não há recomendação", I64="Não há recomendação", H64="SEM RECOMENDAÇÃO", I64="SEM RECOMENDAÇÃO"), "NÃO RECOMENDOU", "ERROU"))), "")</f>
        <v/>
      </c>
      <c r="K64" s="21" t="n"/>
      <c r="L64" s="21" t="n"/>
      <c r="M64" s="21">
        <f>IF(K64&lt;&gt;"", IF(AND(C64=K64, D64=L64), "ACERTOU", IF(OR(C64=K64, D64=L64, C64=L64, D64=K64), "PARCIALMENTE", IF(OR(K64="Não há recomendação", L64="Não há recomendação", K64="SEM RECOMENDAÇÃO", L64="SEM RECOMENDAÇÃO"), "NÃO RECOMENDOU", "ERROU"))), "")</f>
        <v/>
      </c>
      <c r="N64" s="22" t="inlineStr">
        <is>
          <t>Gerenciamento de Capacidade e Desempenho</t>
        </is>
      </c>
      <c r="O64" s="22" t="inlineStr">
        <is>
          <t>Gerenciamento de Problemas</t>
        </is>
      </c>
      <c r="P64" s="22">
        <f>IF(N64&lt;&gt;"", IF(AND(C64=N64, D64=O64), "ACERTOU", IF(OR(C64=N64, D64=O64, C64=O64, D64=N64), "PARCIALMENTE", IF(OR(N64="Não há recomendação", O64="Não há recomendação", N64="SEM RECOMENDAÇÃO", O64="SEM RECOMENDAÇÃO"), "NÃO RECOMENDOU", "ERROU"))), "")</f>
        <v/>
      </c>
      <c r="Q64" s="23" t="n"/>
      <c r="R64" s="23" t="n"/>
      <c r="S64" s="23" t="n"/>
    </row>
    <row r="65">
      <c r="A65" t="n">
        <v>546</v>
      </c>
      <c r="B65" s="3" t="inlineStr">
        <is>
          <t>Problemas com Instâncias de Implantação da AWS</t>
        </is>
      </c>
      <c r="C65" s="3" t="inlineStr">
        <is>
          <t>Gerenciamento de Incidentes</t>
        </is>
      </c>
      <c r="D65" s="3" t="inlineStr">
        <is>
          <t>Gerenciamento de Disponibilidade</t>
        </is>
      </c>
      <c r="E65" s="5" t="n"/>
      <c r="F65" s="5" t="n"/>
      <c r="G65" s="6">
        <f>IF(E65&lt;&gt;"", IF(AND(C65=E65, D65=F65), "ACERTOU", IF(OR(C65=E65, D65=F65, C65=F65, D65=E65), "PARCIALMENTE", IF(OR(E65="Não há recomendação", F65="Não há recomendação", E65="SEM RECOMENDAÇÃO", F65="SEM RECOMENDAÇÃO"), "NÃO RECOMENDOU", "ERROU"))), "")</f>
        <v/>
      </c>
      <c r="H65" s="20" t="n"/>
      <c r="I65" s="20" t="n"/>
      <c r="J65" s="20">
        <f>IF(H65&lt;&gt;"", IF(AND(C65=H65, D65=I65), "ACERTOU", IF(OR(C65=H65, D65=I65, C65=I65, D65=H65), "PARCIALMENTE", IF(OR(H65="Não há recomendação", I65="Não há recomendação", H65="SEM RECOMENDAÇÃO", I65="SEM RECOMENDAÇÃO"), "NÃO RECOMENDOU", "ERROU"))), "")</f>
        <v/>
      </c>
      <c r="K65" s="21" t="n"/>
      <c r="L65" s="21" t="n"/>
      <c r="M65" s="21">
        <f>IF(K65&lt;&gt;"", IF(AND(C65=K65, D65=L65), "ACERTOU", IF(OR(C65=K65, D65=L65, C65=L65, D65=K65), "PARCIALMENTE", IF(OR(K65="Não há recomendação", L65="Não há recomendação", K65="SEM RECOMENDAÇÃO", L65="SEM RECOMENDAÇÃO"), "NÃO RECOMENDOU", "ERROU"))), "")</f>
        <v/>
      </c>
      <c r="N65" s="22" t="inlineStr">
        <is>
          <t>Gerenciamento de Incidentes</t>
        </is>
      </c>
      <c r="O65" s="22" t="inlineStr">
        <is>
          <t>Gerenciamento de Disponibilidade</t>
        </is>
      </c>
      <c r="P65" s="22">
        <f>IF(N65&lt;&gt;"", IF(AND(C65=N65, D65=O65), "ACERTOU", IF(OR(C65=N65, D65=O65, C65=O65, D65=N65), "PARCIALMENTE", IF(OR(N65="Não há recomendação", O65="Não há recomendação", N65="SEM RECOMENDAÇÃO", O65="SEM RECOMENDAÇÃO"), "NÃO RECOMENDOU", "ERROU"))), "")</f>
        <v/>
      </c>
      <c r="Q65" s="23" t="n"/>
      <c r="R65" s="23" t="n"/>
      <c r="S65" s="23" t="n"/>
    </row>
    <row r="66">
      <c r="A66" t="n">
        <v>547</v>
      </c>
      <c r="B66" s="3" t="inlineStr">
        <is>
          <t>Problema de Rede Empresarial</t>
        </is>
      </c>
      <c r="C66" s="3" t="inlineStr">
        <is>
          <t>Gerenciamento de Incidentes</t>
        </is>
      </c>
      <c r="D66" s="3" t="inlineStr">
        <is>
          <t>Gerenciamento de Capacidade</t>
        </is>
      </c>
      <c r="E66" s="5" t="n"/>
      <c r="F66" s="5" t="n"/>
      <c r="G66" s="6">
        <f>IF(E66&lt;&gt;"", IF(AND(C66=E66, D66=F66), "ACERTOU", IF(OR(C66=E66, D66=F66, C66=F66, D66=E66), "PARCIALMENTE", IF(OR(E66="Não há recomendação", F66="Não há recomendação", E66="SEM RECOMENDAÇÃO", F66="SEM RECOMENDAÇÃO"), "NÃO RECOMENDOU", "ERROU"))), "")</f>
        <v/>
      </c>
      <c r="H66" s="20" t="n"/>
      <c r="I66" s="20" t="n"/>
      <c r="J66" s="20">
        <f>IF(H66&lt;&gt;"", IF(AND(C66=H66, D66=I66), "ACERTOU", IF(OR(C66=H66, D66=I66, C66=I66, D66=H66), "PARCIALMENTE", IF(OR(H66="Não há recomendação", I66="Não há recomendação", H66="SEM RECOMENDAÇÃO", I66="SEM RECOMENDAÇÃO"), "NÃO RECOMENDOU", "ERROU"))), "")</f>
        <v/>
      </c>
      <c r="K66" s="21" t="n"/>
      <c r="L66" s="21" t="n"/>
      <c r="M66" s="21">
        <f>IF(K66&lt;&gt;"", IF(AND(C66=K66, D66=L66), "ACERTOU", IF(OR(C66=K66, D66=L66, C66=L66, D66=K66), "PARCIALMENTE", IF(OR(K66="Não há recomendação", L66="Não há recomendação", K66="SEM RECOMENDAÇÃO", L66="SEM RECOMENDAÇÃO"), "NÃO RECOMENDOU", "ERROU"))), "")</f>
        <v/>
      </c>
      <c r="N66" s="22" t="inlineStr">
        <is>
          <t>Gerenciamento de Capacidade e Desempenho</t>
        </is>
      </c>
      <c r="O66" s="22" t="inlineStr">
        <is>
          <t>Gerenciamento de Mudanças</t>
        </is>
      </c>
      <c r="P66" s="22">
        <f>IF(N66&lt;&gt;"", IF(AND(C66=N66, D66=O66), "ACERTOU", IF(OR(C66=N66, D66=O66, C66=O66, D66=N66), "PARCIALMENTE", IF(OR(N66="Não há recomendação", O66="Não há recomendação", N66="SEM RECOMENDAÇÃO", O66="SEM RECOMENDAÇÃO"), "NÃO RECOMENDOU", "ERROU"))), "")</f>
        <v/>
      </c>
      <c r="Q66" s="23" t="n"/>
      <c r="R66" s="23" t="n"/>
      <c r="S66" s="23" t="n"/>
    </row>
    <row r="67">
      <c r="A67" t="n">
        <v>579</v>
      </c>
      <c r="B67" s="3" t="inlineStr">
        <is>
          <t>Solicitação de Serviço de Garantia</t>
        </is>
      </c>
      <c r="C67" s="3" t="inlineStr">
        <is>
          <t>Solicitação de Serviço</t>
        </is>
      </c>
      <c r="D67" s="3" t="inlineStr">
        <is>
          <t>Gerenciamento de Ativos de TI</t>
        </is>
      </c>
      <c r="E67" s="5" t="n"/>
      <c r="F67" s="5" t="n"/>
      <c r="G67" s="6">
        <f>IF(E67&lt;&gt;"", IF(AND(C67=E67, D67=F67), "ACERTOU", IF(OR(C67=E67, D67=F67, C67=F67, D67=E67), "PARCIALMENTE", IF(OR(E67="Não há recomendação", F67="Não há recomendação", E67="SEM RECOMENDAÇÃO", F67="SEM RECOMENDAÇÃO"), "NÃO RECOMENDOU", "ERROU"))), "")</f>
        <v/>
      </c>
      <c r="H67" s="20" t="n"/>
      <c r="I67" s="20" t="n"/>
      <c r="J67" s="20">
        <f>IF(H67&lt;&gt;"", IF(AND(C67=H67, D67=I67), "ACERTOU", IF(OR(C67=H67, D67=I67, C67=I67, D67=H67), "PARCIALMENTE", IF(OR(H67="Não há recomendação", I67="Não há recomendação", H67="SEM RECOMENDAÇÃO", I67="SEM RECOMENDAÇÃO"), "NÃO RECOMENDOU", "ERROU"))), "")</f>
        <v/>
      </c>
      <c r="K67" s="21" t="n"/>
      <c r="L67" s="21" t="n"/>
      <c r="M67" s="21">
        <f>IF(K67&lt;&gt;"", IF(AND(C67=K67, D67=L67), "ACERTOU", IF(OR(C67=K67, D67=L67, C67=L67, D67=K67), "PARCIALMENTE", IF(OR(K67="Não há recomendação", L67="Não há recomendação", K67="SEM RECOMENDAÇÃO", L67="SEM RECOMENDAÇÃO"), "NÃO RECOMENDOU", "ERROU"))), "")</f>
        <v/>
      </c>
      <c r="N67" s="22" t="inlineStr">
        <is>
          <t>Gerenciamento de Solicitação de Serviço</t>
        </is>
      </c>
      <c r="O67" s="22" t="inlineStr">
        <is>
          <t>Gerenciamento de Ativos de TI</t>
        </is>
      </c>
      <c r="P67" s="22">
        <f>IF(N67&lt;&gt;"", IF(AND(C67=N67, D67=O67), "ACERTOU", IF(OR(C67=N67, D67=O67, C67=O67, D67=N67), "PARCIALMENTE", IF(OR(N67="Não há recomendação", O67="Não há recomendação", N67="SEM RECOMENDAÇÃO", O67="SEM RECOMENDAÇÃO"), "NÃO RECOMENDOU", "ERROU"))), "")</f>
        <v/>
      </c>
      <c r="Q67" s="23" t="n"/>
      <c r="R67" s="23" t="n"/>
      <c r="S67" s="23" t="n"/>
    </row>
    <row r="68">
      <c r="A68" t="n">
        <v>580</v>
      </c>
      <c r="B68" s="3" t="inlineStr">
        <is>
          <t>Problema na Rede da Empresa</t>
        </is>
      </c>
      <c r="C68" s="3" t="inlineStr">
        <is>
          <t>Gerenciamento de Incidentes</t>
        </is>
      </c>
      <c r="D68" s="3" t="inlineStr">
        <is>
          <t>Gerenciamento de Problemas</t>
        </is>
      </c>
      <c r="E68" s="5" t="n"/>
      <c r="F68" s="5" t="n"/>
      <c r="G68" s="6">
        <f>IF(E68&lt;&gt;"", IF(AND(C68=E68, D68=F68), "ACERTOU", IF(OR(C68=E68, D68=F68, C68=F68, D68=E68), "PARCIALMENTE", IF(OR(E68="Não há recomendação", F68="Não há recomendação", E68="SEM RECOMENDAÇÃO", F68="SEM RECOMENDAÇÃO"), "NÃO RECOMENDOU", "ERROU"))), "")</f>
        <v/>
      </c>
      <c r="H68" s="20" t="n"/>
      <c r="I68" s="20" t="n"/>
      <c r="J68" s="20">
        <f>IF(H68&lt;&gt;"", IF(AND(C68=H68, D68=I68), "ACERTOU", IF(OR(C68=H68, D68=I68, C68=I68, D68=H68), "PARCIALMENTE", IF(OR(H68="Não há recomendação", I68="Não há recomendação", H68="SEM RECOMENDAÇÃO", I68="SEM RECOMENDAÇÃO"), "NÃO RECOMENDOU", "ERROU"))), "")</f>
        <v/>
      </c>
      <c r="K68" s="21" t="n"/>
      <c r="L68" s="21" t="n"/>
      <c r="M68" s="21">
        <f>IF(K68&lt;&gt;"", IF(AND(C68=K68, D68=L68), "ACERTOU", IF(OR(C68=K68, D68=L68, C68=L68, D68=K68), "PARCIALMENTE", IF(OR(K68="Não há recomendação", L68="Não há recomendação", K68="SEM RECOMENDAÇÃO", L68="SEM RECOMENDAÇÃO"), "NÃO RECOMENDOU", "ERROU"))), "")</f>
        <v/>
      </c>
      <c r="N68" s="22" t="inlineStr">
        <is>
          <t>Gerenciamento de Problemas</t>
        </is>
      </c>
      <c r="O68" s="22" t="inlineStr">
        <is>
          <t>Gerenciamento de Incidentes</t>
        </is>
      </c>
      <c r="P68" s="22">
        <f>IF(N68&lt;&gt;"", IF(AND(C68=N68, D68=O68), "ACERTOU", IF(OR(C68=N68, D68=O68, C68=O68, D68=N68), "PARCIALMENTE", IF(OR(N68="Não há recomendação", O68="Não há recomendação", N68="SEM RECOMENDAÇÃO", O68="SEM RECOMENDAÇÃO"), "NÃO RECOMENDOU", "ERROU"))), "")</f>
        <v/>
      </c>
      <c r="Q68" s="23" t="n"/>
      <c r="R68" s="23" t="n"/>
      <c r="S68" s="23" t="n"/>
    </row>
    <row r="69">
      <c r="A69" t="n">
        <v>585</v>
      </c>
      <c r="B69" s="3" t="inlineStr">
        <is>
          <t>Experienciando problemas de qualidade de vídeo em reuniões com o cliente Zoom</t>
        </is>
      </c>
      <c r="C69" s="3" t="inlineStr">
        <is>
          <t>Gerenciamento de Incidentes</t>
        </is>
      </c>
      <c r="D69" s="3" t="inlineStr">
        <is>
          <t>Gerenciamento de Problemas</t>
        </is>
      </c>
      <c r="E69" s="5" t="n"/>
      <c r="F69" s="5" t="n"/>
      <c r="G69" s="6">
        <f>IF(E69&lt;&gt;"", IF(AND(C69=E69, D69=F69), "ACERTOU", IF(OR(C69=E69, D69=F69, C69=F69, D69=E69), "PARCIALMENTE", IF(OR(E69="Não há recomendação", F69="Não há recomendação", E69="SEM RECOMENDAÇÃO", F69="SEM RECOMENDAÇÃO"), "NÃO RECOMENDOU", "ERROU"))), "")</f>
        <v/>
      </c>
      <c r="H69" s="20" t="n"/>
      <c r="I69" s="20" t="n"/>
      <c r="J69" s="20">
        <f>IF(H69&lt;&gt;"", IF(AND(C69=H69, D69=I69), "ACERTOU", IF(OR(C69=H69, D69=I69, C69=I69, D69=H69), "PARCIALMENTE", IF(OR(H69="Não há recomendação", I69="Não há recomendação", H69="SEM RECOMENDAÇÃO", I69="SEM RECOMENDAÇÃO"), "NÃO RECOMENDOU", "ERROU"))), "")</f>
        <v/>
      </c>
      <c r="K69" s="21" t="n"/>
      <c r="L69" s="21" t="n"/>
      <c r="M69" s="21">
        <f>IF(K69&lt;&gt;"", IF(AND(C69=K69, D69=L69), "ACERTOU", IF(OR(C69=K69, D69=L69, C69=L69, D69=K69), "PARCIALMENTE", IF(OR(K69="Não há recomendação", L69="Não há recomendação", K69="SEM RECOMENDAÇÃO", L69="SEM RECOMENDAÇÃO"), "NÃO RECOMENDOU", "ERROU"))), "")</f>
        <v/>
      </c>
      <c r="N69" s="22" t="inlineStr">
        <is>
          <t>Gerenciamento de Solicitação de Serviço</t>
        </is>
      </c>
      <c r="O69" s="22" t="inlineStr">
        <is>
          <t>Não se aplica</t>
        </is>
      </c>
      <c r="P69" s="22">
        <f>IF(N69&lt;&gt;"", IF(AND(C69=N69, D69=O69), "ACERTOU", IF(OR(C69=N69, D69=O69, C69=O69, D69=N69), "PARCIALMENTE", IF(OR(N69="Não há recomendação", O69="Não há recomendação", N69="SEM RECOMENDAÇÃO", O69="SEM RECOMENDAÇÃO"), "NÃO RECOMENDOU", "ERROU"))), "")</f>
        <v/>
      </c>
      <c r="Q69" s="23" t="n"/>
      <c r="R69" s="23" t="n"/>
      <c r="S69" s="23" t="n"/>
    </row>
    <row r="70">
      <c r="A70" t="n">
        <v>620</v>
      </c>
      <c r="B70" s="3" t="inlineStr">
        <is>
          <t>Solicitação para Abordar Discrepâncias na Fatura</t>
        </is>
      </c>
      <c r="C70" s="3" t="inlineStr">
        <is>
          <t>Gerenciamento Financeiro</t>
        </is>
      </c>
      <c r="D70" s="3" t="inlineStr">
        <is>
          <t>Gerenciamento de Incidentes</t>
        </is>
      </c>
      <c r="E70" s="5" t="n"/>
      <c r="F70" s="5" t="n"/>
      <c r="G70" s="6">
        <f>IF(E70&lt;&gt;"", IF(AND(C70=E70, D70=F70), "ACERTOU", IF(OR(C70=E70, D70=F70, C70=F70, D70=E70), "PARCIALMENTE", IF(OR(E70="Não há recomendação", F70="Não há recomendação", E70="SEM RECOMENDAÇÃO", F70="SEM RECOMENDAÇÃO"), "NÃO RECOMENDOU", "ERROU"))), "")</f>
        <v/>
      </c>
      <c r="H70" s="20" t="n"/>
      <c r="I70" s="20" t="n"/>
      <c r="J70" s="20">
        <f>IF(H70&lt;&gt;"", IF(AND(C70=H70, D70=I70), "ACERTOU", IF(OR(C70=H70, D70=I70, C70=I70, D70=H70), "PARCIALMENTE", IF(OR(H70="Não há recomendação", I70="Não há recomendação", H70="SEM RECOMENDAÇÃO", I70="SEM RECOMENDAÇÃO"), "NÃO RECOMENDOU", "ERROU"))), "")</f>
        <v/>
      </c>
      <c r="K70" s="21" t="n"/>
      <c r="L70" s="21" t="n"/>
      <c r="M70" s="21">
        <f>IF(K70&lt;&gt;"", IF(AND(C70=K70, D70=L70), "ACERTOU", IF(OR(C70=K70, D70=L70, C70=L70, D70=K70), "PARCIALMENTE", IF(OR(K70="Não há recomendação", L70="Não há recomendação", K70="SEM RECOMENDAÇÃO", L70="SEM RECOMENDAÇÃO"), "NÃO RECOMENDOU", "ERROU"))), "")</f>
        <v/>
      </c>
      <c r="N70" s="22" t="inlineStr">
        <is>
          <t>Gerenciamento de Solicitação de Serviço</t>
        </is>
      </c>
      <c r="O70" s="22" t="inlineStr">
        <is>
          <t>Gerenciamento Financeiro de TI</t>
        </is>
      </c>
      <c r="P70" s="22">
        <f>IF(N70&lt;&gt;"", IF(AND(C70=N70, D70=O70), "ACERTOU", IF(OR(C70=N70, D70=O70, C70=O70, D70=N70), "PARCIALMENTE", IF(OR(N70="Não há recomendação", O70="Não há recomendação", N70="SEM RECOMENDAÇÃO", O70="SEM RECOMENDAÇÃO"), "NÃO RECOMENDOU", "ERROU"))), "")</f>
        <v/>
      </c>
      <c r="Q70" s="23" t="n"/>
      <c r="R70" s="23" t="n"/>
      <c r="S70" s="23" t="n"/>
    </row>
    <row r="71">
      <c r="A71" t="n">
        <v>634</v>
      </c>
      <c r="B71" s="3" t="inlineStr">
        <is>
          <t>Consulta de Serviço</t>
        </is>
      </c>
      <c r="C71" s="3" t="inlineStr">
        <is>
          <t>Solicitação de Serviço</t>
        </is>
      </c>
      <c r="D71" s="3" t="inlineStr">
        <is>
          <t>Gerenciamento de Nível de Serviço</t>
        </is>
      </c>
      <c r="E71" s="5" t="n"/>
      <c r="F71" s="5" t="n"/>
      <c r="G71" s="6">
        <f>IF(E71&lt;&gt;"", IF(AND(C71=E71, D71=F71), "ACERTOU", IF(OR(C71=E71, D71=F71, C71=F71, D71=E71), "PARCIALMENTE", IF(OR(E71="Não há recomendação", F71="Não há recomendação", E71="SEM RECOMENDAÇÃO", F71="SEM RECOMENDAÇÃO"), "NÃO RECOMENDOU", "ERROU"))), "")</f>
        <v/>
      </c>
      <c r="H71" s="20" t="n"/>
      <c r="I71" s="20" t="n"/>
      <c r="J71" s="20">
        <f>IF(H71&lt;&gt;"", IF(AND(C71=H71, D71=I71), "ACERTOU", IF(OR(C71=H71, D71=I71, C71=I71, D71=H71), "PARCIALMENTE", IF(OR(H71="Não há recomendação", I71="Não há recomendação", H71="SEM RECOMENDAÇÃO", I71="SEM RECOMENDAÇÃO"), "NÃO RECOMENDOU", "ERROU"))), "")</f>
        <v/>
      </c>
      <c r="K71" s="21" t="n"/>
      <c r="L71" s="21" t="n"/>
      <c r="M71" s="21">
        <f>IF(K71&lt;&gt;"", IF(AND(C71=K71, D71=L71), "ACERTOU", IF(OR(C71=K71, D71=L71, C71=L71, D71=K71), "PARCIALMENTE", IF(OR(K71="Não há recomendação", L71="Não há recomendação", K71="SEM RECOMENDAÇÃO", L71="SEM RECOMENDAÇÃO"), "NÃO RECOMENDOU", "ERROU"))), "")</f>
        <v/>
      </c>
      <c r="N71" s="22" t="inlineStr">
        <is>
          <t>Gerenciamento de Relacionamento</t>
        </is>
      </c>
      <c r="O71" s="22" t="inlineStr">
        <is>
          <t>Não se aplica</t>
        </is>
      </c>
      <c r="P71" s="22">
        <f>IF(N71&lt;&gt;"", IF(AND(C71=N71, D71=O71), "ACERTOU", IF(OR(C71=N71, D71=O71, C71=O71, D71=N71), "PARCIALMENTE", IF(OR(N71="Não há recomendação", O71="Não há recomendação", N71="SEM RECOMENDAÇÃO", O71="SEM RECOMENDAÇÃO"), "NÃO RECOMENDOU", "ERROU"))), "")</f>
        <v/>
      </c>
      <c r="Q71" s="23" t="n"/>
      <c r="R71" s="23" t="n"/>
      <c r="S71" s="23" t="n"/>
    </row>
    <row r="72">
      <c r="A72" t="n">
        <v>650</v>
      </c>
      <c r="B72" s="3" t="inlineStr">
        <is>
          <t>Solicitação de Devolução de Produto - Canon PIXMA MG3620</t>
        </is>
      </c>
      <c r="C72" s="3" t="inlineStr">
        <is>
          <t>Solicitação de Serviço</t>
        </is>
      </c>
      <c r="D72" s="3" t="inlineStr">
        <is>
          <t>Gerenciamento de Ativos de TI</t>
        </is>
      </c>
      <c r="E72" s="5" t="n"/>
      <c r="F72" s="5" t="n"/>
      <c r="G72" s="6">
        <f>IF(E72&lt;&gt;"", IF(AND(C72=E72, D72=F72), "ACERTOU", IF(OR(C72=E72, D72=F72, C72=F72, D72=E72), "PARCIALMENTE", IF(OR(E72="Não há recomendação", F72="Não há recomendação", E72="SEM RECOMENDAÇÃO", F72="SEM RECOMENDAÇÃO"), "NÃO RECOMENDOU", "ERROU"))), "")</f>
        <v/>
      </c>
      <c r="H72" s="20" t="n"/>
      <c r="I72" s="20" t="n"/>
      <c r="J72" s="20">
        <f>IF(H72&lt;&gt;"", IF(AND(C72=H72, D72=I72), "ACERTOU", IF(OR(C72=H72, D72=I72, C72=I72, D72=H72), "PARCIALMENTE", IF(OR(H72="Não há recomendação", I72="Não há recomendação", H72="SEM RECOMENDAÇÃO", I72="SEM RECOMENDAÇÃO"), "NÃO RECOMENDOU", "ERROU"))), "")</f>
        <v/>
      </c>
      <c r="K72" s="21" t="n"/>
      <c r="L72" s="21" t="n"/>
      <c r="M72" s="21">
        <f>IF(K72&lt;&gt;"", IF(AND(C72=K72, D72=L72), "ACERTOU", IF(OR(C72=K72, D72=L72, C72=L72, D72=K72), "PARCIALMENTE", IF(OR(K72="Não há recomendação", L72="Não há recomendação", K72="SEM RECOMENDAÇÃO", L72="SEM RECOMENDAÇÃO"), "NÃO RECOMENDOU", "ERROU"))), "")</f>
        <v/>
      </c>
      <c r="N72" s="22" t="inlineStr">
        <is>
          <t>Gerenciamento de Incidentes</t>
        </is>
      </c>
      <c r="O72" s="22" t="inlineStr">
        <is>
          <t>Gerenciamento de Solicitação de Serviço</t>
        </is>
      </c>
      <c r="P72" s="22">
        <f>IF(N72&lt;&gt;"", IF(AND(C72=N72, D72=O72), "ACERTOU", IF(OR(C72=N72, D72=O72, C72=O72, D72=N72), "PARCIALMENTE", IF(OR(N72="Não há recomendação", O72="Não há recomendação", N72="SEM RECOMENDAÇÃO", O72="SEM RECOMENDAÇÃO"), "NÃO RECOMENDOU", "ERROU"))), "")</f>
        <v/>
      </c>
      <c r="Q72" s="23" t="n"/>
      <c r="R72" s="23" t="n"/>
      <c r="S72" s="23" t="n"/>
    </row>
    <row r="73">
      <c r="A73" t="n">
        <v>656</v>
      </c>
      <c r="B73" s="3" t="inlineStr">
        <is>
          <t>Ajuda solicitada para problemas de inicialização do Dell XPS 13</t>
        </is>
      </c>
      <c r="C73" s="3" t="inlineStr">
        <is>
          <t>Gerenciamento de Incidentes</t>
        </is>
      </c>
      <c r="D73" s="3" t="inlineStr">
        <is>
          <t>Gerenciamento de Problemas</t>
        </is>
      </c>
      <c r="E73" s="5" t="n"/>
      <c r="F73" s="5" t="n"/>
      <c r="G73" s="6">
        <f>IF(E73&lt;&gt;"", IF(AND(C73=E73, D73=F73), "ACERTOU", IF(OR(C73=E73, D73=F73, C73=F73, D73=E73), "PARCIALMENTE", IF(OR(E73="Não há recomendação", F73="Não há recomendação", E73="SEM RECOMENDAÇÃO", F73="SEM RECOMENDAÇÃO"), "NÃO RECOMENDOU", "ERROU"))), "")</f>
        <v/>
      </c>
      <c r="H73" s="20" t="n"/>
      <c r="I73" s="20" t="n"/>
      <c r="J73" s="20">
        <f>IF(H73&lt;&gt;"", IF(AND(C73=H73, D73=I73), "ACERTOU", IF(OR(C73=H73, D73=I73, C73=I73, D73=H73), "PARCIALMENTE", IF(OR(H73="Não há recomendação", I73="Não há recomendação", H73="SEM RECOMENDAÇÃO", I73="SEM RECOMENDAÇÃO"), "NÃO RECOMENDOU", "ERROU"))), "")</f>
        <v/>
      </c>
      <c r="K73" s="21" t="n"/>
      <c r="L73" s="21" t="n"/>
      <c r="M73" s="21">
        <f>IF(K73&lt;&gt;"", IF(AND(C73=K73, D73=L73), "ACERTOU", IF(OR(C73=K73, D73=L73, C73=L73, D73=K73), "PARCIALMENTE", IF(OR(K73="Não há recomendação", L73="Não há recomendação", K73="SEM RECOMENDAÇÃO", L73="SEM RECOMENDAÇÃO"), "NÃO RECOMENDOU", "ERROU"))), "")</f>
        <v/>
      </c>
      <c r="N73" s="22" t="inlineStr">
        <is>
          <t>Gerenciamento de Mudanças</t>
        </is>
      </c>
      <c r="O73" s="22" t="inlineStr">
        <is>
          <t>Gerenciamento de Incidentes</t>
        </is>
      </c>
      <c r="P73" s="22">
        <f>IF(N73&lt;&gt;"", IF(AND(C73=N73, D73=O73), "ACERTOU", IF(OR(C73=N73, D73=O73, C73=O73, D73=N73), "PARCIALMENTE", IF(OR(N73="Não há recomendação", O73="Não há recomendação", N73="SEM RECOMENDAÇÃO", O73="SEM RECOMENDAÇÃO"), "NÃO RECOMENDOU", "ERROU"))), "")</f>
        <v/>
      </c>
      <c r="Q73" s="23" t="n"/>
      <c r="R73" s="23" t="n"/>
      <c r="S73" s="23" t="n"/>
    </row>
    <row r="74">
      <c r="A74" t="n">
        <v>658</v>
      </c>
      <c r="B74" s="3" t="inlineStr">
        <is>
          <t>Urgente: Assistência Imediata Necessária para Problema com AWS</t>
        </is>
      </c>
      <c r="C74" s="3" t="inlineStr">
        <is>
          <t>Gerenciamento de Incidentes</t>
        </is>
      </c>
      <c r="D74" s="3" t="inlineStr">
        <is>
          <t>Gerenciamento de Disponibilidade</t>
        </is>
      </c>
      <c r="E74" s="5" t="n"/>
      <c r="F74" s="5" t="n"/>
      <c r="G74" s="6">
        <f>IF(E74&lt;&gt;"", IF(AND(C74=E74, D74=F74), "ACERTOU", IF(OR(C74=E74, D74=F74, C74=F74, D74=E74), "PARCIALMENTE", IF(OR(E74="Não há recomendação", F74="Não há recomendação", E74="SEM RECOMENDAÇÃO", F74="SEM RECOMENDAÇÃO"), "NÃO RECOMENDOU", "ERROU"))), "")</f>
        <v/>
      </c>
      <c r="H74" s="20" t="n"/>
      <c r="I74" s="20" t="n"/>
      <c r="J74" s="20">
        <f>IF(H74&lt;&gt;"", IF(AND(C74=H74, D74=I74), "ACERTOU", IF(OR(C74=H74, D74=I74, C74=I74, D74=H74), "PARCIALMENTE", IF(OR(H74="Não há recomendação", I74="Não há recomendação", H74="SEM RECOMENDAÇÃO", I74="SEM RECOMENDAÇÃO"), "NÃO RECOMENDOU", "ERROU"))), "")</f>
        <v/>
      </c>
      <c r="K74" s="21" t="n"/>
      <c r="L74" s="21" t="n"/>
      <c r="M74" s="21">
        <f>IF(K74&lt;&gt;"", IF(AND(C74=K74, D74=L74), "ACERTOU", IF(OR(C74=K74, D74=L74, C74=L74, D74=K74), "PARCIALMENTE", IF(OR(K74="Não há recomendação", L74="Não há recomendação", K74="SEM RECOMENDAÇÃO", L74="SEM RECOMENDAÇÃO"), "NÃO RECOMENDOU", "ERROU"))), "")</f>
        <v/>
      </c>
      <c r="N74" s="22" t="inlineStr">
        <is>
          <t>Gerenciamento de Incidentes</t>
        </is>
      </c>
      <c r="O74" s="22" t="inlineStr">
        <is>
          <t>Gerenciamento de Disponibilidade</t>
        </is>
      </c>
      <c r="P74" s="22">
        <f>IF(N74&lt;&gt;"", IF(AND(C74=N74, D74=O74), "ACERTOU", IF(OR(C74=N74, D74=O74, C74=O74, D74=N74), "PARCIALMENTE", IF(OR(N74="Não há recomendação", O74="Não há recomendação", N74="SEM RECOMENDAÇÃO", O74="SEM RECOMENDAÇÃO"), "NÃO RECOMENDOU", "ERROU"))), "")</f>
        <v/>
      </c>
      <c r="Q74" s="23" t="n"/>
      <c r="R74" s="23" t="n"/>
      <c r="S74" s="23" t="n"/>
    </row>
    <row r="75">
      <c r="A75" t="n">
        <v>663</v>
      </c>
      <c r="B75" s="3" t="inlineStr">
        <is>
          <t>Solicitação de assistência urgente sobre falhas frequentes no sistema</t>
        </is>
      </c>
      <c r="C75" s="3" t="inlineStr">
        <is>
          <t>Gerenciamento de Problemas</t>
        </is>
      </c>
      <c r="D75" s="3" t="inlineStr">
        <is>
          <t>Gerenciamento de Mudanças</t>
        </is>
      </c>
      <c r="E75" s="5" t="n"/>
      <c r="F75" s="5" t="n"/>
      <c r="G75" s="6">
        <f>IF(E75&lt;&gt;"", IF(AND(C75=E75, D75=F75), "ACERTOU", IF(OR(C75=E75, D75=F75, C75=F75, D75=E75), "PARCIALMENTE", IF(OR(E75="Não há recomendação", F75="Não há recomendação", E75="SEM RECOMENDAÇÃO", F75="SEM RECOMENDAÇÃO"), "NÃO RECOMENDOU", "ERROU"))), "")</f>
        <v/>
      </c>
      <c r="H75" s="20" t="n"/>
      <c r="I75" s="20" t="n"/>
      <c r="J75" s="20">
        <f>IF(H75&lt;&gt;"", IF(AND(C75=H75, D75=I75), "ACERTOU", IF(OR(C75=H75, D75=I75, C75=I75, D75=H75), "PARCIALMENTE", IF(OR(H75="Não há recomendação", I75="Não há recomendação", H75="SEM RECOMENDAÇÃO", I75="SEM RECOMENDAÇÃO"), "NÃO RECOMENDOU", "ERROU"))), "")</f>
        <v/>
      </c>
      <c r="K75" s="21" t="n"/>
      <c r="L75" s="21" t="n"/>
      <c r="M75" s="21">
        <f>IF(K75&lt;&gt;"", IF(AND(C75=K75, D75=L75), "ACERTOU", IF(OR(C75=K75, D75=L75, C75=L75, D75=K75), "PARCIALMENTE", IF(OR(K75="Não há recomendação", L75="Não há recomendação", K75="SEM RECOMENDAÇÃO", L75="SEM RECOMENDAÇÃO"), "NÃO RECOMENDOU", "ERROU"))), "")</f>
        <v/>
      </c>
      <c r="N75" s="22" t="inlineStr">
        <is>
          <t>Gerenciamento de Mudanças</t>
        </is>
      </c>
      <c r="O75" s="22" t="inlineStr">
        <is>
          <t>Gerenciamento de Problemas</t>
        </is>
      </c>
      <c r="P75" s="22">
        <f>IF(N75&lt;&gt;"", IF(AND(C75=N75, D75=O75), "ACERTOU", IF(OR(C75=N75, D75=O75, C75=O75, D75=N75), "PARCIALMENTE", IF(OR(N75="Não há recomendação", O75="Não há recomendação", N75="SEM RECOMENDAÇÃO", O75="SEM RECOMENDAÇÃO"), "NÃO RECOMENDOU", "ERROU"))), "")</f>
        <v/>
      </c>
      <c r="Q75" s="23" t="n"/>
      <c r="R75" s="23" t="n"/>
      <c r="S75" s="23" t="n"/>
    </row>
    <row r="76">
      <c r="A76" t="n">
        <v>664</v>
      </c>
      <c r="B76" s="3" t="inlineStr">
        <is>
          <t>Problema Urgente de Implantação da AWS</t>
        </is>
      </c>
      <c r="C76" s="3" t="inlineStr">
        <is>
          <t>Gerenciamento de Incidentes</t>
        </is>
      </c>
      <c r="D76" s="3" t="inlineStr">
        <is>
          <t>Gerenciamento de Disponibilidade</t>
        </is>
      </c>
      <c r="E76" s="5" t="n"/>
      <c r="F76" s="5" t="n"/>
      <c r="G76" s="6">
        <f>IF(E76&lt;&gt;"", IF(AND(C76=E76, D76=F76), "ACERTOU", IF(OR(C76=E76, D76=F76, C76=F76, D76=E76), "PARCIALMENTE", IF(OR(E76="Não há recomendação", F76="Não há recomendação", E76="SEM RECOMENDAÇÃO", F76="SEM RECOMENDAÇÃO"), "NÃO RECOMENDOU", "ERROU"))), "")</f>
        <v/>
      </c>
      <c r="H76" s="20" t="n"/>
      <c r="I76" s="20" t="n"/>
      <c r="J76" s="20">
        <f>IF(H76&lt;&gt;"", IF(AND(C76=H76, D76=I76), "ACERTOU", IF(OR(C76=H76, D76=I76, C76=I76, D76=H76), "PARCIALMENTE", IF(OR(H76="Não há recomendação", I76="Não há recomendação", H76="SEM RECOMENDAÇÃO", I76="SEM RECOMENDAÇÃO"), "NÃO RECOMENDOU", "ERROU"))), "")</f>
        <v/>
      </c>
      <c r="K76" s="21" t="n"/>
      <c r="L76" s="21" t="n"/>
      <c r="M76" s="21">
        <f>IF(K76&lt;&gt;"", IF(AND(C76=K76, D76=L76), "ACERTOU", IF(OR(C76=K76, D76=L76, C76=L76, D76=K76), "PARCIALMENTE", IF(OR(K76="Não há recomendação", L76="Não há recomendação", K76="SEM RECOMENDAÇÃO", L76="SEM RECOMENDAÇÃO"), "NÃO RECOMENDOU", "ERROU"))), "")</f>
        <v/>
      </c>
      <c r="N76" s="22" t="inlineStr">
        <is>
          <t>Gerenciamento de Incidentes</t>
        </is>
      </c>
      <c r="O76" s="22" t="inlineStr">
        <is>
          <t>Gerenciamento de Disponibilidade</t>
        </is>
      </c>
      <c r="P76" s="22">
        <f>IF(N76&lt;&gt;"", IF(AND(C76=N76, D76=O76), "ACERTOU", IF(OR(C76=N76, D76=O76, C76=O76, D76=N76), "PARCIALMENTE", IF(OR(N76="Não há recomendação", O76="Não há recomendação", N76="SEM RECOMENDAÇÃO", O76="SEM RECOMENDAÇÃO"), "NÃO RECOMENDOU", "ERROU"))), "")</f>
        <v/>
      </c>
      <c r="Q76" s="23" t="n"/>
      <c r="R76" s="23" t="n"/>
      <c r="S76" s="23" t="n"/>
    </row>
    <row r="77">
      <c r="A77" t="n">
        <v>670</v>
      </c>
      <c r="B77" s="3" t="inlineStr">
        <is>
          <t>Solicitação de Processamento de Troca de Laptop Dell</t>
        </is>
      </c>
      <c r="C77" s="3" t="inlineStr">
        <is>
          <t>Solicitação de Serviço</t>
        </is>
      </c>
      <c r="D77" s="3" t="inlineStr">
        <is>
          <t>Gerenciamento de Ativos de TI</t>
        </is>
      </c>
      <c r="E77" s="5" t="n"/>
      <c r="F77" s="5" t="n"/>
      <c r="G77" s="6">
        <f>IF(E77&lt;&gt;"", IF(AND(C77=E77, D77=F77), "ACERTOU", IF(OR(C77=E77, D77=F77, C77=F77, D77=E77), "PARCIALMENTE", IF(OR(E77="Não há recomendação", F77="Não há recomendação", E77="SEM RECOMENDAÇÃO", F77="SEM RECOMENDAÇÃO"), "NÃO RECOMENDOU", "ERROU"))), "")</f>
        <v/>
      </c>
      <c r="H77" s="20" t="n"/>
      <c r="I77" s="20" t="n"/>
      <c r="J77" s="20">
        <f>IF(H77&lt;&gt;"", IF(AND(C77=H77, D77=I77), "ACERTOU", IF(OR(C77=H77, D77=I77, C77=I77, D77=H77), "PARCIALMENTE", IF(OR(H77="Não há recomendação", I77="Não há recomendação", H77="SEM RECOMENDAÇÃO", I77="SEM RECOMENDAÇÃO"), "NÃO RECOMENDOU", "ERROU"))), "")</f>
        <v/>
      </c>
      <c r="K77" s="21" t="n"/>
      <c r="L77" s="21" t="n"/>
      <c r="M77" s="21">
        <f>IF(K77&lt;&gt;"", IF(AND(C77=K77, D77=L77), "ACERTOU", IF(OR(C77=K77, D77=L77, C77=L77, D77=K77), "PARCIALMENTE", IF(OR(K77="Não há recomendação", L77="Não há recomendação", K77="SEM RECOMENDAÇÃO", L77="SEM RECOMENDAÇÃO"), "NÃO RECOMENDOU", "ERROU"))), "")</f>
        <v/>
      </c>
      <c r="N77" s="22" t="inlineStr">
        <is>
          <t>Gerenciamento de Solicitação de Serviço</t>
        </is>
      </c>
      <c r="O77" s="22" t="inlineStr">
        <is>
          <t>Gerenciamento de Ativos de TI</t>
        </is>
      </c>
      <c r="P77" s="22">
        <f>IF(N77&lt;&gt;"", IF(AND(C77=N77, D77=O77), "ACERTOU", IF(OR(C77=N77, D77=O77, C77=O77, D77=N77), "PARCIALMENTE", IF(OR(N77="Não há recomendação", O77="Não há recomendação", N77="SEM RECOMENDAÇÃO", O77="SEM RECOMENDAÇÃO"), "NÃO RECOMENDOU", "ERROU"))), "")</f>
        <v/>
      </c>
      <c r="Q77" s="23" t="n"/>
      <c r="R77" s="23" t="n"/>
      <c r="S77" s="23" t="n"/>
    </row>
    <row r="78">
      <c r="A78" t="n">
        <v>674</v>
      </c>
      <c r="B78" s="3" t="inlineStr">
        <is>
          <t>Problema urgente de conectividade com a AWS</t>
        </is>
      </c>
      <c r="C78" s="3" t="inlineStr">
        <is>
          <t>Gerenciamento de Incidentes</t>
        </is>
      </c>
      <c r="D78" s="3" t="inlineStr">
        <is>
          <t>Gerenciamento de Disponibilidade</t>
        </is>
      </c>
      <c r="E78" s="5" t="n"/>
      <c r="F78" s="5" t="n"/>
      <c r="G78" s="6">
        <f>IF(E78&lt;&gt;"", IF(AND(C78=E78, D78=F78), "ACERTOU", IF(OR(C78=E78, D78=F78, C78=F78, D78=E78), "PARCIALMENTE", IF(OR(E78="Não há recomendação", F78="Não há recomendação", E78="SEM RECOMENDAÇÃO", F78="SEM RECOMENDAÇÃO"), "NÃO RECOMENDOU", "ERROU"))), "")</f>
        <v/>
      </c>
      <c r="H78" s="20" t="n"/>
      <c r="I78" s="20" t="n"/>
      <c r="J78" s="20">
        <f>IF(H78&lt;&gt;"", IF(AND(C78=H78, D78=I78), "ACERTOU", IF(OR(C78=H78, D78=I78, C78=I78, D78=H78), "PARCIALMENTE", IF(OR(H78="Não há recomendação", I78="Não há recomendação", H78="SEM RECOMENDAÇÃO", I78="SEM RECOMENDAÇÃO"), "NÃO RECOMENDOU", "ERROU"))), "")</f>
        <v/>
      </c>
      <c r="K78" s="21" t="n"/>
      <c r="L78" s="21" t="n"/>
      <c r="M78" s="21">
        <f>IF(K78&lt;&gt;"", IF(AND(C78=K78, D78=L78), "ACERTOU", IF(OR(C78=K78, D78=L78, C78=L78, D78=K78), "PARCIALMENTE", IF(OR(K78="Não há recomendação", L78="Não há recomendação", K78="SEM RECOMENDAÇÃO", L78="SEM RECOMENDAÇÃO"), "NÃO RECOMENDOU", "ERROU"))), "")</f>
        <v/>
      </c>
      <c r="N78" s="22" t="inlineStr">
        <is>
          <t>Gerenciamento de Incidentes</t>
        </is>
      </c>
      <c r="O78" s="22" t="inlineStr">
        <is>
          <t>Gerenciamento de Disponibilidade</t>
        </is>
      </c>
      <c r="P78" s="22">
        <f>IF(N78&lt;&gt;"", IF(AND(C78=N78, D78=O78), "ACERTOU", IF(OR(C78=N78, D78=O78, C78=O78, D78=N78), "PARCIALMENTE", IF(OR(N78="Não há recomendação", O78="Não há recomendação", N78="SEM RECOMENDAÇÃO", O78="SEM RECOMENDAÇÃO"), "NÃO RECOMENDOU", "ERROU"))), "")</f>
        <v/>
      </c>
      <c r="Q78" s="23" t="n"/>
      <c r="R78" s="23" t="n"/>
      <c r="S78" s="23" t="n"/>
    </row>
    <row r="79">
      <c r="A79" t="n">
        <v>683</v>
      </c>
      <c r="B79" s="3" t="inlineStr">
        <is>
          <t>Solicitação de Alterações no Painel de Gerenciamento da AWS</t>
        </is>
      </c>
      <c r="C79" s="3" t="inlineStr">
        <is>
          <t>Solicitação de Serviço</t>
        </is>
      </c>
      <c r="D79" s="3" t="inlineStr">
        <is>
          <t>Gerenciamento Financeiro</t>
        </is>
      </c>
      <c r="E79" s="5" t="n"/>
      <c r="F79" s="5" t="n"/>
      <c r="G79" s="6">
        <f>IF(E79&lt;&gt;"", IF(AND(C79=E79, D79=F79), "ACERTOU", IF(OR(C79=E79, D79=F79, C79=F79, D79=E79), "PARCIALMENTE", IF(OR(E79="Não há recomendação", F79="Não há recomendação", E79="SEM RECOMENDAÇÃO", F79="SEM RECOMENDAÇÃO"), "NÃO RECOMENDOU", "ERROU"))), "")</f>
        <v/>
      </c>
      <c r="H79" s="20" t="n"/>
      <c r="I79" s="20" t="n"/>
      <c r="J79" s="20">
        <f>IF(H79&lt;&gt;"", IF(AND(C79=H79, D79=I79), "ACERTOU", IF(OR(C79=H79, D79=I79, C79=I79, D79=H79), "PARCIALMENTE", IF(OR(H79="Não há recomendação", I79="Não há recomendação", H79="SEM RECOMENDAÇÃO", I79="SEM RECOMENDAÇÃO"), "NÃO RECOMENDOU", "ERROU"))), "")</f>
        <v/>
      </c>
      <c r="K79" s="21" t="n"/>
      <c r="L79" s="21" t="n"/>
      <c r="M79" s="21">
        <f>IF(K79&lt;&gt;"", IF(AND(C79=K79, D79=L79), "ACERTOU", IF(OR(C79=K79, D79=L79, C79=L79, D79=K79), "PARCIALMENTE", IF(OR(K79="Não há recomendação", L79="Não há recomendação", K79="SEM RECOMENDAÇÃO", L79="SEM RECOMENDAÇÃO"), "NÃO RECOMENDOU", "ERROU"))), "")</f>
        <v/>
      </c>
      <c r="N79" s="22" t="inlineStr">
        <is>
          <t>Gerenciamento de Mudanças</t>
        </is>
      </c>
      <c r="O79" s="22" t="inlineStr">
        <is>
          <t>Gerenciamento de Capacidade e Desempenho</t>
        </is>
      </c>
      <c r="P79" s="22">
        <f>IF(N79&lt;&gt;"", IF(AND(C79=N79, D79=O79), "ACERTOU", IF(OR(C79=N79, D79=O79, C79=O79, D79=N79), "PARCIALMENTE", IF(OR(N79="Não há recomendação", O79="Não há recomendação", N79="SEM RECOMENDAÇÃO", O79="SEM RECOMENDAÇÃO"), "NÃO RECOMENDOU", "ERROU"))), "")</f>
        <v/>
      </c>
      <c r="Q79" s="23" t="n"/>
      <c r="R79" s="23" t="n"/>
      <c r="S79" s="23" t="n"/>
    </row>
    <row r="80">
      <c r="A80" t="n">
        <v>698</v>
      </c>
      <c r="B80" s="3" t="inlineStr">
        <is>
          <t>Urgente: Interrupção de Rede - Roteador Cisco ISR4331</t>
        </is>
      </c>
      <c r="C80" s="3" t="inlineStr">
        <is>
          <t>Gerenciamento de Incidentes</t>
        </is>
      </c>
      <c r="D80" s="3" t="inlineStr">
        <is>
          <t>Gerenciamento de Disponibilidade</t>
        </is>
      </c>
      <c r="E80" s="5" t="n"/>
      <c r="F80" s="5" t="n"/>
      <c r="G80" s="6">
        <f>IF(E80&lt;&gt;"", IF(AND(C80=E80, D80=F80), "ACERTOU", IF(OR(C80=E80, D80=F80, C80=F80, D80=E80), "PARCIALMENTE", IF(OR(E80="Não há recomendação", F80="Não há recomendação", E80="SEM RECOMENDAÇÃO", F80="SEM RECOMENDAÇÃO"), "NÃO RECOMENDOU", "ERROU"))), "")</f>
        <v/>
      </c>
      <c r="H80" s="20" t="n"/>
      <c r="I80" s="20" t="n"/>
      <c r="J80" s="20">
        <f>IF(H80&lt;&gt;"", IF(AND(C80=H80, D80=I80), "ACERTOU", IF(OR(C80=H80, D80=I80, C80=I80, D80=H80), "PARCIALMENTE", IF(OR(H80="Não há recomendação", I80="Não há recomendação", H80="SEM RECOMENDAÇÃO", I80="SEM RECOMENDAÇÃO"), "NÃO RECOMENDOU", "ERROU"))), "")</f>
        <v/>
      </c>
      <c r="K80" s="21" t="n"/>
      <c r="L80" s="21" t="n"/>
      <c r="M80" s="21">
        <f>IF(K80&lt;&gt;"", IF(AND(C80=K80, D80=L80), "ACERTOU", IF(OR(C80=K80, D80=L80, C80=L80, D80=K80), "PARCIALMENTE", IF(OR(K80="Não há recomendação", L80="Não há recomendação", K80="SEM RECOMENDAÇÃO", L80="SEM RECOMENDAÇÃO"), "NÃO RECOMENDOU", "ERROU"))), "")</f>
        <v/>
      </c>
      <c r="N80" s="22" t="inlineStr">
        <is>
          <t>Gerenciamento de Incidentes</t>
        </is>
      </c>
      <c r="O80" s="22" t="inlineStr">
        <is>
          <t>Gerenciamento de Disponibilidade</t>
        </is>
      </c>
      <c r="P80" s="22">
        <f>IF(N80&lt;&gt;"", IF(AND(C80=N80, D80=O80), "ACERTOU", IF(OR(C80=N80, D80=O80, C80=O80, D80=N80), "PARCIALMENTE", IF(OR(N80="Não há recomendação", O80="Não há recomendação", N80="SEM RECOMENDAÇÃO", O80="SEM RECOMENDAÇÃO"), "NÃO RECOMENDOU", "ERROU"))), "")</f>
        <v/>
      </c>
      <c r="Q80" s="23" t="n"/>
      <c r="R80" s="23" t="n"/>
      <c r="S80" s="23" t="n"/>
    </row>
    <row r="81">
      <c r="A81" t="n">
        <v>706</v>
      </c>
      <c r="B81" s="3" t="inlineStr">
        <is>
          <t>Problemas de rede com o roteador Cisco</t>
        </is>
      </c>
      <c r="C81" s="3" t="inlineStr">
        <is>
          <t>Gerenciamento de Incidentes</t>
        </is>
      </c>
      <c r="D81" s="3" t="inlineStr">
        <is>
          <t>Gerenciamento de Problemas</t>
        </is>
      </c>
      <c r="E81" s="5" t="n"/>
      <c r="F81" s="5" t="n"/>
      <c r="G81" s="6">
        <f>IF(E81&lt;&gt;"", IF(AND(C81=E81, D81=F81), "ACERTOU", IF(OR(C81=E81, D81=F81, C81=F81, D81=E81), "PARCIALMENTE", IF(OR(E81="Não há recomendação", F81="Não há recomendação", E81="SEM RECOMENDAÇÃO", F81="SEM RECOMENDAÇÃO"), "NÃO RECOMENDOU", "ERROU"))), "")</f>
        <v/>
      </c>
      <c r="H81" s="20" t="n"/>
      <c r="I81" s="20" t="n"/>
      <c r="J81" s="20">
        <f>IF(H81&lt;&gt;"", IF(AND(C81=H81, D81=I81), "ACERTOU", IF(OR(C81=H81, D81=I81, C81=I81, D81=H81), "PARCIALMENTE", IF(OR(H81="Não há recomendação", I81="Não há recomendação", H81="SEM RECOMENDAÇÃO", I81="SEM RECOMENDAÇÃO"), "NÃO RECOMENDOU", "ERROU"))), "")</f>
        <v/>
      </c>
      <c r="K81" s="21" t="n"/>
      <c r="L81" s="21" t="n"/>
      <c r="M81" s="21">
        <f>IF(K81&lt;&gt;"", IF(AND(C81=K81, D81=L81), "ACERTOU", IF(OR(C81=K81, D81=L81, C81=L81, D81=K81), "PARCIALMENTE", IF(OR(K81="Não há recomendação", L81="Não há recomendação", K81="SEM RECOMENDAÇÃO", L81="SEM RECOMENDAÇÃO"), "NÃO RECOMENDOU", "ERROU"))), "")</f>
        <v/>
      </c>
      <c r="N81" s="22" t="inlineStr">
        <is>
          <t>Gerenciamento de Problemas</t>
        </is>
      </c>
      <c r="O81" s="22" t="inlineStr">
        <is>
          <t>Gerenciamento de Incidentes</t>
        </is>
      </c>
      <c r="P81" s="22">
        <f>IF(N81&lt;&gt;"", IF(AND(C81=N81, D81=O81), "ACERTOU", IF(OR(C81=N81, D81=O81, C81=O81, D81=N81), "PARCIALMENTE", IF(OR(N81="Não há recomendação", O81="Não há recomendação", N81="SEM RECOMENDAÇÃO", O81="SEM RECOMENDAÇÃO"), "NÃO RECOMENDOU", "ERROU"))), "")</f>
        <v/>
      </c>
      <c r="Q81" s="23" t="n"/>
      <c r="R81" s="23" t="n"/>
      <c r="S81" s="23" t="n"/>
    </row>
    <row r="82">
      <c r="A82" t="n">
        <v>707</v>
      </c>
      <c r="B82" s="3" t="inlineStr">
        <is>
          <t>Solicitação para Alterar o Processo de Administração do Servidor</t>
        </is>
      </c>
      <c r="C82" s="3" t="inlineStr">
        <is>
          <t>Solicitação de Serviço</t>
        </is>
      </c>
      <c r="D82" s="3" t="inlineStr">
        <is>
          <t>Gerenciamento de Mudanças</t>
        </is>
      </c>
      <c r="E82" s="5" t="n"/>
      <c r="F82" s="5" t="n"/>
      <c r="G82" s="6">
        <f>IF(E82&lt;&gt;"", IF(AND(C82=E82, D82=F82), "ACERTOU", IF(OR(C82=E82, D82=F82, C82=F82, D82=E82), "PARCIALMENTE", IF(OR(E82="Não há recomendação", F82="Não há recomendação", E82="SEM RECOMENDAÇÃO", F82="SEM RECOMENDAÇÃO"), "NÃO RECOMENDOU", "ERROU"))), "")</f>
        <v/>
      </c>
      <c r="H82" s="20" t="n"/>
      <c r="I82" s="20" t="n"/>
      <c r="J82" s="20">
        <f>IF(H82&lt;&gt;"", IF(AND(C82=H82, D82=I82), "ACERTOU", IF(OR(C82=H82, D82=I82, C82=I82, D82=H82), "PARCIALMENTE", IF(OR(H82="Não há recomendação", I82="Não há recomendação", H82="SEM RECOMENDAÇÃO", I82="SEM RECOMENDAÇÃO"), "NÃO RECOMENDOU", "ERROU"))), "")</f>
        <v/>
      </c>
      <c r="K82" s="21" t="n"/>
      <c r="L82" s="21" t="n"/>
      <c r="M82" s="21">
        <f>IF(K82&lt;&gt;"", IF(AND(C82=K82, D82=L82), "ACERTOU", IF(OR(C82=K82, D82=L82, C82=L82, D82=K82), "PARCIALMENTE", IF(OR(K82="Não há recomendação", L82="Não há recomendação", K82="SEM RECOMENDAÇÃO", L82="SEM RECOMENDAÇÃO"), "NÃO RECOMENDOU", "ERROU"))), "")</f>
        <v/>
      </c>
      <c r="N82" s="22" t="inlineStr">
        <is>
          <t>Melhoria Contínua</t>
        </is>
      </c>
      <c r="O82" s="22" t="inlineStr">
        <is>
          <t>Gerenciamento de Relacionamento</t>
        </is>
      </c>
      <c r="P82" s="22">
        <f>IF(N82&lt;&gt;"", IF(AND(C82=N82, D82=O82), "ACERTOU", IF(OR(C82=N82, D82=O82, C82=O82, D82=N82), "PARCIALMENTE", IF(OR(N82="Não há recomendação", O82="Não há recomendação", N82="SEM RECOMENDAÇÃO", O82="SEM RECOMENDAÇÃO"), "NÃO RECOMENDOU", "ERROU"))), "")</f>
        <v/>
      </c>
      <c r="Q82" s="23" t="n"/>
      <c r="R82" s="23" t="n"/>
      <c r="S82" s="23" t="n"/>
    </row>
    <row r="83">
      <c r="A83" t="n">
        <v>709</v>
      </c>
      <c r="B83" s="3" t="inlineStr">
        <is>
          <t>Consulta sobre Integrações Adicionais</t>
        </is>
      </c>
      <c r="C83" s="3" t="inlineStr">
        <is>
          <t>Solicitação de Serviço</t>
        </is>
      </c>
      <c r="D83" s="3" t="inlineStr">
        <is>
          <t>Gerenciamento de Problemas</t>
        </is>
      </c>
      <c r="E83" s="5" t="n"/>
      <c r="F83" s="5" t="n"/>
      <c r="G83" s="6">
        <f>IF(E83&lt;&gt;"", IF(AND(C83=E83, D83=F83), "ACERTOU", IF(OR(C83=E83, D83=F83, C83=F83, D83=E83), "PARCIALMENTE", IF(OR(E83="Não há recomendação", F83="Não há recomendação", E83="SEM RECOMENDAÇÃO", F83="SEM RECOMENDAÇÃO"), "NÃO RECOMENDOU", "ERROU"))), "")</f>
        <v/>
      </c>
      <c r="H83" s="20" t="n"/>
      <c r="I83" s="20" t="n"/>
      <c r="J83" s="20">
        <f>IF(H83&lt;&gt;"", IF(AND(C83=H83, D83=I83), "ACERTOU", IF(OR(C83=H83, D83=I83, C83=I83, D83=H83), "PARCIALMENTE", IF(OR(H83="Não há recomendação", I83="Não há recomendação", H83="SEM RECOMENDAÇÃO", I83="SEM RECOMENDAÇÃO"), "NÃO RECOMENDOU", "ERROU"))), "")</f>
        <v/>
      </c>
      <c r="K83" s="21" t="n"/>
      <c r="L83" s="21" t="n"/>
      <c r="M83" s="21">
        <f>IF(K83&lt;&gt;"", IF(AND(C83=K83, D83=L83), "ACERTOU", IF(OR(C83=K83, D83=L83, C83=L83, D83=K83), "PARCIALMENTE", IF(OR(K83="Não há recomendação", L83="Não há recomendação", K83="SEM RECOMENDAÇÃO", L83="SEM RECOMENDAÇÃO"), "NÃO RECOMENDOU", "ERROU"))), "")</f>
        <v/>
      </c>
      <c r="N83" s="22" t="inlineStr">
        <is>
          <t>Gerenciamento de Solicitação de Serviço</t>
        </is>
      </c>
      <c r="O83" s="22" t="inlineStr">
        <is>
          <t>Não se aplica</t>
        </is>
      </c>
      <c r="P83" s="22">
        <f>IF(N83&lt;&gt;"", IF(AND(C83=N83, D83=O83), "ACERTOU", IF(OR(C83=N83, D83=O83, C83=O83, D83=N83), "PARCIALMENTE", IF(OR(N83="Não há recomendação", O83="Não há recomendação", N83="SEM RECOMENDAÇÃO", O83="SEM RECOMENDAÇÃO"), "NÃO RECOMENDOU", "ERROU"))), "")</f>
        <v/>
      </c>
      <c r="Q83" s="23" t="n"/>
      <c r="R83" s="23" t="n"/>
      <c r="S83" s="23" t="n"/>
    </row>
    <row r="84">
      <c r="A84" t="n">
        <v>710</v>
      </c>
      <c r="B84" s="3" t="inlineStr">
        <is>
          <t>Solicitação de Retorno: Recurso HDR Defeituoso do Samsung QN90A</t>
        </is>
      </c>
      <c r="C84" s="3" t="inlineStr">
        <is>
          <t>Solicitação de Serviço</t>
        </is>
      </c>
      <c r="D84" s="3" t="inlineStr">
        <is>
          <t>Gerenciamento de Ativos de TI</t>
        </is>
      </c>
      <c r="E84" s="5" t="n"/>
      <c r="F84" s="5" t="n"/>
      <c r="G84" s="6">
        <f>IF(E84&lt;&gt;"", IF(AND(C84=E84, D84=F84), "ACERTOU", IF(OR(C84=E84, D84=F84, C84=F84, D84=E84), "PARCIALMENTE", IF(OR(E84="Não há recomendação", F84="Não há recomendação", E84="SEM RECOMENDAÇÃO", F84="SEM RECOMENDAÇÃO"), "NÃO RECOMENDOU", "ERROU"))), "")</f>
        <v/>
      </c>
      <c r="H84" s="20" t="n"/>
      <c r="I84" s="20" t="n"/>
      <c r="J84" s="20">
        <f>IF(H84&lt;&gt;"", IF(AND(C84=H84, D84=I84), "ACERTOU", IF(OR(C84=H84, D84=I84, C84=I84, D84=H84), "PARCIALMENTE", IF(OR(H84="Não há recomendação", I84="Não há recomendação", H84="SEM RECOMENDAÇÃO", I84="SEM RECOMENDAÇÃO"), "NÃO RECOMENDOU", "ERROU"))), "")</f>
        <v/>
      </c>
      <c r="K84" s="21" t="n"/>
      <c r="L84" s="21" t="n"/>
      <c r="M84" s="21">
        <f>IF(K84&lt;&gt;"", IF(AND(C84=K84, D84=L84), "ACERTOU", IF(OR(C84=K84, D84=L84, C84=L84, D84=K84), "PARCIALMENTE", IF(OR(K84="Não há recomendação", L84="Não há recomendação", K84="SEM RECOMENDAÇÃO", L84="SEM RECOMENDAÇÃO"), "NÃO RECOMENDOU", "ERROU"))), "")</f>
        <v/>
      </c>
      <c r="N84" s="22" t="inlineStr">
        <is>
          <t>Gerenciamento de Solicitação de Serviço</t>
        </is>
      </c>
      <c r="O84" s="22" t="inlineStr">
        <is>
          <t>Não se aplica</t>
        </is>
      </c>
      <c r="P84" s="22">
        <f>IF(N84&lt;&gt;"", IF(AND(C84=N84, D84=O84), "ACERTOU", IF(OR(C84=N84, D84=O84, C84=O84, D84=N84), "PARCIALMENTE", IF(OR(N84="Não há recomendação", O84="Não há recomendação", N84="SEM RECOMENDAÇÃO", O84="SEM RECOMENDAÇÃO"), "NÃO RECOMENDOU", "ERROU"))), "")</f>
        <v/>
      </c>
      <c r="Q84" s="23" t="n"/>
      <c r="R84" s="23" t="n"/>
      <c r="S84" s="23" t="n"/>
    </row>
    <row r="85">
      <c r="A85" t="n">
        <v>720</v>
      </c>
      <c r="B85" s="3" t="inlineStr">
        <is>
          <t>Solicitação de detalhes sobre o plano de transição dos sistemas de TI e suporte</t>
        </is>
      </c>
      <c r="C85" s="3" t="inlineStr">
        <is>
          <t>Solicitação de Serviço</t>
        </is>
      </c>
      <c r="D85" s="3" t="inlineStr">
        <is>
          <t>Gerenciamento de Nível de Serviço</t>
        </is>
      </c>
      <c r="E85" s="5" t="n"/>
      <c r="F85" s="5" t="n"/>
      <c r="G85" s="6">
        <f>IF(E85&lt;&gt;"", IF(AND(C85=E85, D85=F85), "ACERTOU", IF(OR(C85=E85, D85=F85, C85=F85, D85=E85), "PARCIALMENTE", IF(OR(E85="Não há recomendação", F85="Não há recomendação", E85="SEM RECOMENDAÇÃO", F85="SEM RECOMENDAÇÃO"), "NÃO RECOMENDOU", "ERROU"))), "")</f>
        <v/>
      </c>
      <c r="H85" s="20" t="n"/>
      <c r="I85" s="20" t="n"/>
      <c r="J85" s="20">
        <f>IF(H85&lt;&gt;"", IF(AND(C85=H85, D85=I85), "ACERTOU", IF(OR(C85=H85, D85=I85, C85=I85, D85=H85), "PARCIALMENTE", IF(OR(H85="Não há recomendação", I85="Não há recomendação", H85="SEM RECOMENDAÇÃO", I85="SEM RECOMENDAÇÃO"), "NÃO RECOMENDOU", "ERROU"))), "")</f>
        <v/>
      </c>
      <c r="K85" s="21" t="n"/>
      <c r="L85" s="21" t="n"/>
      <c r="M85" s="21">
        <f>IF(K85&lt;&gt;"", IF(AND(C85=K85, D85=L85), "ACERTOU", IF(OR(C85=K85, D85=L85, C85=L85, D85=K85), "PARCIALMENTE", IF(OR(K85="Não há recomendação", L85="Não há recomendação", K85="SEM RECOMENDAÇÃO", L85="SEM RECOMENDAÇÃO"), "NÃO RECOMENDOU", "ERROU"))), "")</f>
        <v/>
      </c>
      <c r="N85" s="22" t="inlineStr">
        <is>
          <t>Gerenciamento de Mudanças</t>
        </is>
      </c>
      <c r="O85" s="22" t="inlineStr">
        <is>
          <t>Gerenciamento de Relacionamento</t>
        </is>
      </c>
      <c r="P85" s="22">
        <f>IF(N85&lt;&gt;"", IF(AND(C85=N85, D85=O85), "ACERTOU", IF(OR(C85=N85, D85=O85, C85=O85, D85=N85), "PARCIALMENTE", IF(OR(N85="Não há recomendação", O85="Não há recomendação", N85="SEM RECOMENDAÇÃO", O85="SEM RECOMENDAÇÃO"), "NÃO RECOMENDOU", "ERROU"))), "")</f>
        <v/>
      </c>
      <c r="Q85" s="23" t="n"/>
      <c r="R85" s="23" t="n"/>
      <c r="S85" s="23" t="n"/>
    </row>
    <row r="86">
      <c r="A86" t="n">
        <v>752</v>
      </c>
      <c r="B86" s="3" t="inlineStr">
        <is>
          <t>Solicitação de Alteração de Permissões de Acesso</t>
        </is>
      </c>
      <c r="C86" s="3" t="inlineStr">
        <is>
          <t>Solicitação de Serviço</t>
        </is>
      </c>
      <c r="D86" s="3" t="inlineStr">
        <is>
          <t>Gerenciamento de Acesso</t>
        </is>
      </c>
      <c r="E86" s="5" t="n"/>
      <c r="F86" s="5" t="n"/>
      <c r="G86" s="6">
        <f>IF(E86&lt;&gt;"", IF(AND(C86=E86, D86=F86), "ACERTOU", IF(OR(C86=E86, D86=F86, C86=F86, D86=E86), "PARCIALMENTE", IF(OR(E86="Não há recomendação", F86="Não há recomendação", E86="SEM RECOMENDAÇÃO", F86="SEM RECOMENDAÇÃO"), "NÃO RECOMENDOU", "ERROU"))), "")</f>
        <v/>
      </c>
      <c r="H86" s="20" t="n"/>
      <c r="I86" s="20" t="n"/>
      <c r="J86" s="20">
        <f>IF(H86&lt;&gt;"", IF(AND(C86=H86, D86=I86), "ACERTOU", IF(OR(C86=H86, D86=I86, C86=I86, D86=H86), "PARCIALMENTE", IF(OR(H86="Não há recomendação", I86="Não há recomendação", H86="SEM RECOMENDAÇÃO", I86="SEM RECOMENDAÇÃO"), "NÃO RECOMENDOU", "ERROU"))), "")</f>
        <v/>
      </c>
      <c r="K86" s="21" t="n"/>
      <c r="L86" s="21" t="n"/>
      <c r="M86" s="21">
        <f>IF(K86&lt;&gt;"", IF(AND(C86=K86, D86=L86), "ACERTOU", IF(OR(C86=K86, D86=L86, C86=L86, D86=K86), "PARCIALMENTE", IF(OR(K86="Não há recomendação", L86="Não há recomendação", K86="SEM RECOMENDAÇÃO", L86="SEM RECOMENDAÇÃO"), "NÃO RECOMENDOU", "ERROU"))), "")</f>
        <v/>
      </c>
      <c r="N86" s="22" t="inlineStr">
        <is>
          <t>Gerenciamento de Solicitação de Serviço</t>
        </is>
      </c>
      <c r="O86" s="22" t="inlineStr">
        <is>
          <t>Não se aplica</t>
        </is>
      </c>
      <c r="P86" s="22">
        <f>IF(N86&lt;&gt;"", IF(AND(C86=N86, D86=O86), "ACERTOU", IF(OR(C86=N86, D86=O86, C86=O86, D86=N86), "PARCIALMENTE", IF(OR(N86="Não há recomendação", O86="Não há recomendação", N86="SEM RECOMENDAÇÃO", O86="SEM RECOMENDAÇÃO"), "NÃO RECOMENDOU", "ERROU"))), "")</f>
        <v/>
      </c>
      <c r="Q86" s="23" t="n"/>
      <c r="R86" s="23" t="n"/>
      <c r="S86" s="23" t="n"/>
    </row>
    <row r="87">
      <c r="A87" t="n">
        <v>756</v>
      </c>
      <c r="B87" s="3" t="inlineStr">
        <is>
          <t>Solicitação de Devolução: Problema de Vazamento no Tanque de Tinta</t>
        </is>
      </c>
      <c r="C87" s="3" t="inlineStr">
        <is>
          <t>Solicitação de Serviço</t>
        </is>
      </c>
      <c r="D87" s="3" t="inlineStr">
        <is>
          <t>Gerenciamento de Ativos de TI</t>
        </is>
      </c>
      <c r="E87" s="5" t="n"/>
      <c r="F87" s="5" t="n"/>
      <c r="G87" s="6">
        <f>IF(E87&lt;&gt;"", IF(AND(C87=E87, D87=F87), "ACERTOU", IF(OR(C87=E87, D87=F87, C87=F87, D87=E87), "PARCIALMENTE", IF(OR(E87="Não há recomendação", F87="Não há recomendação", E87="SEM RECOMENDAÇÃO", F87="SEM RECOMENDAÇÃO"), "NÃO RECOMENDOU", "ERROU"))), "")</f>
        <v/>
      </c>
      <c r="H87" s="20" t="n"/>
      <c r="I87" s="20" t="n"/>
      <c r="J87" s="20">
        <f>IF(H87&lt;&gt;"", IF(AND(C87=H87, D87=I87), "ACERTOU", IF(OR(C87=H87, D87=I87, C87=I87, D87=H87), "PARCIALMENTE", IF(OR(H87="Não há recomendação", I87="Não há recomendação", H87="SEM RECOMENDAÇÃO", I87="SEM RECOMENDAÇÃO"), "NÃO RECOMENDOU", "ERROU"))), "")</f>
        <v/>
      </c>
      <c r="K87" s="21" t="n"/>
      <c r="L87" s="21" t="n"/>
      <c r="M87" s="21">
        <f>IF(K87&lt;&gt;"", IF(AND(C87=K87, D87=L87), "ACERTOU", IF(OR(C87=K87, D87=L87, C87=L87, D87=K87), "PARCIALMENTE", IF(OR(K87="Não há recomendação", L87="Não há recomendação", K87="SEM RECOMENDAÇÃO", L87="SEM RECOMENDAÇÃO"), "NÃO RECOMENDOU", "ERROU"))), "")</f>
        <v/>
      </c>
      <c r="N87" s="22" t="inlineStr">
        <is>
          <t>Gerenciamento de Solicitação de Serviço</t>
        </is>
      </c>
      <c r="O87" s="22" t="inlineStr">
        <is>
          <t>Não se aplica</t>
        </is>
      </c>
      <c r="P87" s="22">
        <f>IF(N87&lt;&gt;"", IF(AND(C87=N87, D87=O87), "ACERTOU", IF(OR(C87=N87, D87=O87, C87=O87, D87=N87), "PARCIALMENTE", IF(OR(N87="Não há recomendação", O87="Não há recomendação", N87="SEM RECOMENDAÇÃO", O87="SEM RECOMENDAÇÃO"), "NÃO RECOMENDOU", "ERROU"))), "")</f>
        <v/>
      </c>
      <c r="Q87" s="23" t="n"/>
      <c r="R87" s="23" t="n"/>
      <c r="S87" s="23" t="n"/>
    </row>
    <row r="88">
      <c r="A88" t="n">
        <v>757</v>
      </c>
      <c r="B88" s="3" t="inlineStr">
        <is>
          <t>Urgente: Problema com Dell XPS 13 9310</t>
        </is>
      </c>
      <c r="C88" s="3" t="inlineStr">
        <is>
          <t>Gerenciamento de Incidentes</t>
        </is>
      </c>
      <c r="D88" s="3" t="inlineStr">
        <is>
          <t>Gerenciamento de Problemas</t>
        </is>
      </c>
      <c r="E88" s="5" t="n"/>
      <c r="F88" s="5" t="n"/>
      <c r="G88" s="6">
        <f>IF(E88&lt;&gt;"", IF(AND(C88=E88, D88=F88), "ACERTOU", IF(OR(C88=E88, D88=F88, C88=F88, D88=E88), "PARCIALMENTE", IF(OR(E88="Não há recomendação", F88="Não há recomendação", E88="SEM RECOMENDAÇÃO", F88="SEM RECOMENDAÇÃO"), "NÃO RECOMENDOU", "ERROU"))), "")</f>
        <v/>
      </c>
      <c r="H88" s="20" t="n"/>
      <c r="I88" s="20" t="n"/>
      <c r="J88" s="20">
        <f>IF(H88&lt;&gt;"", IF(AND(C88=H88, D88=I88), "ACERTOU", IF(OR(C88=H88, D88=I88, C88=I88, D88=H88), "PARCIALMENTE", IF(OR(H88="Não há recomendação", I88="Não há recomendação", H88="SEM RECOMENDAÇÃO", I88="SEM RECOMENDAÇÃO"), "NÃO RECOMENDOU", "ERROU"))), "")</f>
        <v/>
      </c>
      <c r="K88" s="21" t="n"/>
      <c r="L88" s="21" t="n"/>
      <c r="M88" s="21">
        <f>IF(K88&lt;&gt;"", IF(AND(C88=K88, D88=L88), "ACERTOU", IF(OR(C88=K88, D88=L88, C88=L88, D88=K88), "PARCIALMENTE", IF(OR(K88="Não há recomendação", L88="Não há recomendação", K88="SEM RECOMENDAÇÃO", L88="SEM RECOMENDAÇÃO"), "NÃO RECOMENDOU", "ERROU"))), "")</f>
        <v/>
      </c>
      <c r="N88" s="22" t="inlineStr">
        <is>
          <t>Gerenciamento de Incidentes</t>
        </is>
      </c>
      <c r="O88" s="22" t="inlineStr">
        <is>
          <t>Gerenciamento de Problemas</t>
        </is>
      </c>
      <c r="P88" s="22">
        <f>IF(N88&lt;&gt;"", IF(AND(C88=N88, D88=O88), "ACERTOU", IF(OR(C88=N88, D88=O88, C88=O88, D88=N88), "PARCIALMENTE", IF(OR(N88="Não há recomendação", O88="Não há recomendação", N88="SEM RECOMENDAÇÃO", O88="SEM RECOMENDAÇÃO"), "NÃO RECOMENDOU", "ERROU"))), "")</f>
        <v/>
      </c>
      <c r="Q88" s="23" t="n"/>
      <c r="R88" s="23" t="n"/>
      <c r="S88" s="23" t="n"/>
    </row>
    <row r="89">
      <c r="A89" t="n">
        <v>764</v>
      </c>
      <c r="B89" s="3" t="inlineStr">
        <is>
          <t>Pedido de Devolução para Compra do MacBook Air M1</t>
        </is>
      </c>
      <c r="C89" s="3" t="inlineStr">
        <is>
          <t>Solicitação de Serviço</t>
        </is>
      </c>
      <c r="D89" s="3" t="inlineStr">
        <is>
          <t>Gerenciamento de Ativos de TI</t>
        </is>
      </c>
      <c r="E89" s="5" t="n"/>
      <c r="F89" s="5" t="n"/>
      <c r="G89" s="6">
        <f>IF(E89&lt;&gt;"", IF(AND(C89=E89, D89=F89), "ACERTOU", IF(OR(C89=E89, D89=F89, C89=F89, D89=E89), "PARCIALMENTE", IF(OR(E89="Não há recomendação", F89="Não há recomendação", E89="SEM RECOMENDAÇÃO", F89="SEM RECOMENDAÇÃO"), "NÃO RECOMENDOU", "ERROU"))), "")</f>
        <v/>
      </c>
      <c r="H89" s="20" t="n"/>
      <c r="I89" s="20" t="n"/>
      <c r="J89" s="20">
        <f>IF(H89&lt;&gt;"", IF(AND(C89=H89, D89=I89), "ACERTOU", IF(OR(C89=H89, D89=I89, C89=I89, D89=H89), "PARCIALMENTE", IF(OR(H89="Não há recomendação", I89="Não há recomendação", H89="SEM RECOMENDAÇÃO", I89="SEM RECOMENDAÇÃO"), "NÃO RECOMENDOU", "ERROU"))), "")</f>
        <v/>
      </c>
      <c r="K89" s="21" t="n"/>
      <c r="L89" s="21" t="n"/>
      <c r="M89" s="21">
        <f>IF(K89&lt;&gt;"", IF(AND(C89=K89, D89=L89), "ACERTOU", IF(OR(C89=K89, D89=L89, C89=L89, D89=K89), "PARCIALMENTE", IF(OR(K89="Não há recomendação", L89="Não há recomendação", K89="SEM RECOMENDAÇÃO", L89="SEM RECOMENDAÇÃO"), "NÃO RECOMENDOU", "ERROU"))), "")</f>
        <v/>
      </c>
      <c r="N89" s="22" t="inlineStr">
        <is>
          <t>Gerenciamento de Solicitação de Serviço</t>
        </is>
      </c>
      <c r="O89" s="22" t="inlineStr">
        <is>
          <t>Não se aplica</t>
        </is>
      </c>
      <c r="P89" s="22">
        <f>IF(N89&lt;&gt;"", IF(AND(C89=N89, D89=O89), "ACERTOU", IF(OR(C89=N89, D89=O89, C89=O89, D89=N89), "PARCIALMENTE", IF(OR(N89="Não há recomendação", O89="Não há recomendação", N89="SEM RECOMENDAÇÃO", O89="SEM RECOMENDAÇÃO"), "NÃO RECOMENDOU", "ERROU"))), "")</f>
        <v/>
      </c>
      <c r="Q89" s="23" t="n"/>
      <c r="R89" s="23" t="n"/>
      <c r="S89" s="23" t="n"/>
    </row>
    <row r="90">
      <c r="A90" t="n">
        <v>768</v>
      </c>
      <c r="B90" s="3" t="inlineStr">
        <is>
          <t>Urgente: Bug Grave no Sistema de Tickets</t>
        </is>
      </c>
      <c r="C90" s="3" t="inlineStr">
        <is>
          <t>Gerenciamento de Incidentes</t>
        </is>
      </c>
      <c r="D90" s="3" t="inlineStr">
        <is>
          <t>Gerenciamento de Problemas</t>
        </is>
      </c>
      <c r="E90" s="5" t="n"/>
      <c r="F90" s="5" t="n"/>
      <c r="G90" s="6">
        <f>IF(E90&lt;&gt;"", IF(AND(C90=E90, D90=F90), "ACERTOU", IF(OR(C90=E90, D90=F90, C90=F90, D90=E90), "PARCIALMENTE", IF(OR(E90="Não há recomendação", F90="Não há recomendação", E90="SEM RECOMENDAÇÃO", F90="SEM RECOMENDAÇÃO"), "NÃO RECOMENDOU", "ERROU"))), "")</f>
        <v/>
      </c>
      <c r="H90" s="20" t="n"/>
      <c r="I90" s="20" t="n"/>
      <c r="J90" s="20">
        <f>IF(H90&lt;&gt;"", IF(AND(C90=H90, D90=I90), "ACERTOU", IF(OR(C90=H90, D90=I90, C90=I90, D90=H90), "PARCIALMENTE", IF(OR(H90="Não há recomendação", I90="Não há recomendação", H90="SEM RECOMENDAÇÃO", I90="SEM RECOMENDAÇÃO"), "NÃO RECOMENDOU", "ERROU"))), "")</f>
        <v/>
      </c>
      <c r="K90" s="21" t="n"/>
      <c r="L90" s="21" t="n"/>
      <c r="M90" s="21">
        <f>IF(K90&lt;&gt;"", IF(AND(C90=K90, D90=L90), "ACERTOU", IF(OR(C90=K90, D90=L90, C90=L90, D90=K90), "PARCIALMENTE", IF(OR(K90="Não há recomendação", L90="Não há recomendação", K90="SEM RECOMENDAÇÃO", L90="SEM RECOMENDAÇÃO"), "NÃO RECOMENDOU", "ERROU"))), "")</f>
        <v/>
      </c>
      <c r="N90" s="22" t="inlineStr">
        <is>
          <t>Gerenciamento de Problemas</t>
        </is>
      </c>
      <c r="O90" s="22" t="inlineStr">
        <is>
          <t>Gerenciamento de Incidentes</t>
        </is>
      </c>
      <c r="P90" s="22">
        <f>IF(N90&lt;&gt;"", IF(AND(C90=N90, D90=O90), "ACERTOU", IF(OR(C90=N90, D90=O90, C90=O90, D90=N90), "PARCIALMENTE", IF(OR(N90="Não há recomendação", O90="Não há recomendação", N90="SEM RECOMENDAÇÃO", O90="SEM RECOMENDAÇÃO"), "NÃO RECOMENDOU", "ERROU"))), "")</f>
        <v/>
      </c>
      <c r="Q90" s="23" t="n"/>
      <c r="R90" s="23" t="n"/>
      <c r="S90" s="23" t="n"/>
    </row>
    <row r="91">
      <c r="A91" t="n">
        <v>783</v>
      </c>
      <c r="B91" s="3" t="inlineStr">
        <is>
          <t>Problemas de Conectividade</t>
        </is>
      </c>
      <c r="C91" s="3" t="inlineStr">
        <is>
          <t>Solicitação de Serviço</t>
        </is>
      </c>
      <c r="D91" s="3" t="inlineStr">
        <is>
          <t>Gerenciamento de Incidentes</t>
        </is>
      </c>
      <c r="E91" s="5" t="n"/>
      <c r="F91" s="5" t="n"/>
      <c r="G91" s="6">
        <f>IF(E91&lt;&gt;"", IF(AND(C91=E91, D91=F91), "ACERTOU", IF(OR(C91=E91, D91=F91, C91=F91, D91=E91), "PARCIALMENTE", IF(OR(E91="Não há recomendação", F91="Não há recomendação", E91="SEM RECOMENDAÇÃO", F91="SEM RECOMENDAÇÃO"), "NÃO RECOMENDOU", "ERROU"))), "")</f>
        <v/>
      </c>
      <c r="H91" s="20" t="n"/>
      <c r="I91" s="20" t="n"/>
      <c r="J91" s="20">
        <f>IF(H91&lt;&gt;"", IF(AND(C91=H91, D91=I91), "ACERTOU", IF(OR(C91=H91, D91=I91, C91=I91, D91=H91), "PARCIALMENTE", IF(OR(H91="Não há recomendação", I91="Não há recomendação", H91="SEM RECOMENDAÇÃO", I91="SEM RECOMENDAÇÃO"), "NÃO RECOMENDOU", "ERROU"))), "")</f>
        <v/>
      </c>
      <c r="K91" s="21" t="n"/>
      <c r="L91" s="21" t="n"/>
      <c r="M91" s="21">
        <f>IF(K91&lt;&gt;"", IF(AND(C91=K91, D91=L91), "ACERTOU", IF(OR(C91=K91, D91=L91, C91=L91, D91=K91), "PARCIALMENTE", IF(OR(K91="Não há recomendação", L91="Não há recomendação", K91="SEM RECOMENDAÇÃO", L91="SEM RECOMENDAÇÃO"), "NÃO RECOMENDOU", "ERROU"))), "")</f>
        <v/>
      </c>
      <c r="N91" s="22" t="inlineStr">
        <is>
          <t>Gerenciamento de Solicitação de Serviço</t>
        </is>
      </c>
      <c r="O91" s="22" t="inlineStr">
        <is>
          <t>Não se aplica</t>
        </is>
      </c>
      <c r="P91" s="22">
        <f>IF(N91&lt;&gt;"", IF(AND(C91=N91, D91=O91), "ACERTOU", IF(OR(C91=N91, D91=O91, C91=O91, D91=N91), "PARCIALMENTE", IF(OR(N91="Não há recomendação", O91="Não há recomendação", N91="SEM RECOMENDAÇÃO", O91="SEM RECOMENDAÇÃO"), "NÃO RECOMENDOU", "ERROU"))), "")</f>
        <v/>
      </c>
      <c r="Q91" s="23" t="n"/>
      <c r="R91" s="23" t="n"/>
      <c r="S91" s="23" t="n"/>
    </row>
    <row r="92">
      <c r="A92" t="n">
        <v>787</v>
      </c>
      <c r="B92" s="3" t="inlineStr">
        <is>
          <t>Quedas frequentes de áudio durante videochamadas</t>
        </is>
      </c>
      <c r="C92" s="3" t="inlineStr">
        <is>
          <t>Gerenciamento de Incidentes</t>
        </is>
      </c>
      <c r="D92" s="3" t="inlineStr">
        <is>
          <t>Gerenciamento de Problemas</t>
        </is>
      </c>
      <c r="E92" s="5" t="n"/>
      <c r="F92" s="5" t="n"/>
      <c r="G92" s="6">
        <f>IF(E92&lt;&gt;"", IF(AND(C92=E92, D92=F92), "ACERTOU", IF(OR(C92=E92, D92=F92, C92=F92, D92=E92), "PARCIALMENTE", IF(OR(E92="Não há recomendação", F92="Não há recomendação", E92="SEM RECOMENDAÇÃO", F92="SEM RECOMENDAÇÃO"), "NÃO RECOMENDOU", "ERROU"))), "")</f>
        <v/>
      </c>
      <c r="H92" s="20" t="n"/>
      <c r="I92" s="20" t="n"/>
      <c r="J92" s="20">
        <f>IF(H92&lt;&gt;"", IF(AND(C92=H92, D92=I92), "ACERTOU", IF(OR(C92=H92, D92=I92, C92=I92, D92=H92), "PARCIALMENTE", IF(OR(H92="Não há recomendação", I92="Não há recomendação", H92="SEM RECOMENDAÇÃO", I92="SEM RECOMENDAÇÃO"), "NÃO RECOMENDOU", "ERROU"))), "")</f>
        <v/>
      </c>
      <c r="K92" s="21" t="n"/>
      <c r="L92" s="21" t="n"/>
      <c r="M92" s="21">
        <f>IF(K92&lt;&gt;"", IF(AND(C92=K92, D92=L92), "ACERTOU", IF(OR(C92=K92, D92=L92, C92=L92, D92=K92), "PARCIALMENTE", IF(OR(K92="Não há recomendação", L92="Não há recomendação", K92="SEM RECOMENDAÇÃO", L92="SEM RECOMENDAÇÃO"), "NÃO RECOMENDOU", "ERROU"))), "")</f>
        <v/>
      </c>
      <c r="N92" s="22" t="n"/>
      <c r="O92" s="22" t="n"/>
      <c r="P92" s="22">
        <f>IF(N92&lt;&gt;"", IF(AND(C92=N92, D92=O92), "ACERTOU", IF(OR(C92=N92, D92=O92, C92=O92, D92=N92), "PARCIALMENTE", IF(OR(N92="Não há recomendação", O92="Não há recomendação", N92="SEM RECOMENDAÇÃO", O92="SEM RECOMENDAÇÃO"), "NÃO RECOMENDOU", "ERROU"))), "")</f>
        <v/>
      </c>
      <c r="Q92" s="23" t="n"/>
      <c r="R92" s="23" t="n"/>
      <c r="S92" s="23" t="n"/>
    </row>
    <row r="93">
      <c r="A93" t="n">
        <v>788</v>
      </c>
      <c r="B93" s="3" t="inlineStr">
        <is>
          <t>Problema com o Microsoft Surface Pro 7</t>
        </is>
      </c>
      <c r="C93" s="3" t="inlineStr">
        <is>
          <t>Gerenciamento de Incidentes</t>
        </is>
      </c>
      <c r="D93" s="3" t="inlineStr">
        <is>
          <t>Gerenciamento de Problemas</t>
        </is>
      </c>
      <c r="E93" s="5" t="n"/>
      <c r="F93" s="5" t="n"/>
      <c r="G93" s="6">
        <f>IF(E93&lt;&gt;"", IF(AND(C93=E93, D93=F93), "ACERTOU", IF(OR(C93=E93, D93=F93, C93=F93, D93=E93), "PARCIALMENTE", IF(OR(E93="Não há recomendação", F93="Não há recomendação", E93="SEM RECOMENDAÇÃO", F93="SEM RECOMENDAÇÃO"), "NÃO RECOMENDOU", "ERROU"))), "")</f>
        <v/>
      </c>
      <c r="H93" s="20" t="n"/>
      <c r="I93" s="20" t="n"/>
      <c r="J93" s="20">
        <f>IF(H93&lt;&gt;"", IF(AND(C93=H93, D93=I93), "ACERTOU", IF(OR(C93=H93, D93=I93, C93=I93, D93=H93), "PARCIALMENTE", IF(OR(H93="Não há recomendação", I93="Não há recomendação", H93="SEM RECOMENDAÇÃO", I93="SEM RECOMENDAÇÃO"), "NÃO RECOMENDOU", "ERROU"))), "")</f>
        <v/>
      </c>
      <c r="K93" s="21" t="n"/>
      <c r="L93" s="21" t="n"/>
      <c r="M93" s="21">
        <f>IF(K93&lt;&gt;"", IF(AND(C93=K93, D93=L93), "ACERTOU", IF(OR(C93=K93, D93=L93, C93=L93, D93=K93), "PARCIALMENTE", IF(OR(K93="Não há recomendação", L93="Não há recomendação", K93="SEM RECOMENDAÇÃO", L93="SEM RECOMENDAÇÃO"), "NÃO RECOMENDOU", "ERROU"))), "")</f>
        <v/>
      </c>
      <c r="N93" s="22" t="inlineStr">
        <is>
          <t>Gerenciamento de Incidentes</t>
        </is>
      </c>
      <c r="O93" s="22" t="inlineStr">
        <is>
          <t>Gerenciamento de Ativos de TI</t>
        </is>
      </c>
      <c r="P93" s="22">
        <f>IF(N93&lt;&gt;"", IF(AND(C93=N93, D93=O93), "ACERTOU", IF(OR(C93=N93, D93=O93, C93=O93, D93=N93), "PARCIALMENTE", IF(OR(N93="Não há recomendação", O93="Não há recomendação", N93="SEM RECOMENDAÇÃO", O93="SEM RECOMENDAÇÃO"), "NÃO RECOMENDOU", "ERROU"))), "")</f>
        <v/>
      </c>
      <c r="Q93" s="23" t="n"/>
      <c r="R93" s="23" t="n"/>
      <c r="S93" s="23" t="n"/>
    </row>
    <row r="94">
      <c r="A94" t="n">
        <v>794</v>
      </c>
      <c r="B94" s="3" t="inlineStr">
        <is>
          <t>Problema de Desempenho do Navegador</t>
        </is>
      </c>
      <c r="C94" s="3" t="inlineStr">
        <is>
          <t>Gerenciamento de Incidentes</t>
        </is>
      </c>
      <c r="D94" s="3" t="inlineStr">
        <is>
          <t>Gerenciamento de Problemas</t>
        </is>
      </c>
      <c r="E94" s="5" t="n"/>
      <c r="F94" s="5" t="n"/>
      <c r="G94" s="6">
        <f>IF(E94&lt;&gt;"", IF(AND(C94=E94, D94=F94), "ACERTOU", IF(OR(C94=E94, D94=F94, C94=F94, D94=E94), "PARCIALMENTE", IF(OR(E94="Não há recomendação", F94="Não há recomendação", E94="SEM RECOMENDAÇÃO", F94="SEM RECOMENDAÇÃO"), "NÃO RECOMENDOU", "ERROU"))), "")</f>
        <v/>
      </c>
      <c r="H94" s="20" t="n"/>
      <c r="I94" s="20" t="n"/>
      <c r="J94" s="20">
        <f>IF(H94&lt;&gt;"", IF(AND(C94=H94, D94=I94), "ACERTOU", IF(OR(C94=H94, D94=I94, C94=I94, D94=H94), "PARCIALMENTE", IF(OR(H94="Não há recomendação", I94="Não há recomendação", H94="SEM RECOMENDAÇÃO", I94="SEM RECOMENDAÇÃO"), "NÃO RECOMENDOU", "ERROU"))), "")</f>
        <v/>
      </c>
      <c r="K94" s="21" t="n"/>
      <c r="L94" s="21" t="n"/>
      <c r="M94" s="21">
        <f>IF(K94&lt;&gt;"", IF(AND(C94=K94, D94=L94), "ACERTOU", IF(OR(C94=K94, D94=L94, C94=L94, D94=K94), "PARCIALMENTE", IF(OR(K94="Não há recomendação", L94="Não há recomendação", K94="SEM RECOMENDAÇÃO", L94="SEM RECOMENDAÇÃO"), "NÃO RECOMENDOU", "ERROU"))), "")</f>
        <v/>
      </c>
      <c r="N94" s="22" t="inlineStr">
        <is>
          <t>Gerenciamento de Problemas</t>
        </is>
      </c>
      <c r="O94" s="22" t="inlineStr">
        <is>
          <t>Gerenciamento de Incidentes</t>
        </is>
      </c>
      <c r="P94" s="22">
        <f>IF(N94&lt;&gt;"", IF(AND(C94=N94, D94=O94), "ACERTOU", IF(OR(C94=N94, D94=O94, C94=O94, D94=N94), "PARCIALMENTE", IF(OR(N94="Não há recomendação", O94="Não há recomendação", N94="SEM RECOMENDAÇÃO", O94="SEM RECOMENDAÇÃO"), "NÃO RECOMENDOU", "ERROU"))), "")</f>
        <v/>
      </c>
      <c r="Q94" s="23" t="n"/>
      <c r="R94" s="23" t="n"/>
      <c r="S94" s="23" t="n"/>
    </row>
    <row r="95">
      <c r="A95" t="n">
        <v>800</v>
      </c>
      <c r="B95" s="3" t="inlineStr">
        <is>
          <t>Assistência Necessária para Configuração da Impressora Canon</t>
        </is>
      </c>
      <c r="C95" s="3" t="inlineStr">
        <is>
          <t>Solicitação de Serviço</t>
        </is>
      </c>
      <c r="D95" s="3" t="inlineStr">
        <is>
          <t>Gerenciamento de Incidentes</t>
        </is>
      </c>
      <c r="E95" s="5" t="n"/>
      <c r="F95" s="5" t="n"/>
      <c r="G95" s="6">
        <f>IF(E95&lt;&gt;"", IF(AND(C95=E95, D95=F95), "ACERTOU", IF(OR(C95=E95, D95=F95, C95=F95, D95=E95), "PARCIALMENTE", IF(OR(E95="Não há recomendação", F95="Não há recomendação", E95="SEM RECOMENDAÇÃO", F95="SEM RECOMENDAÇÃO"), "NÃO RECOMENDOU", "ERROU"))), "")</f>
        <v/>
      </c>
      <c r="H95" s="20" t="n"/>
      <c r="I95" s="20" t="n"/>
      <c r="J95" s="20">
        <f>IF(H95&lt;&gt;"", IF(AND(C95=H95, D95=I95), "ACERTOU", IF(OR(C95=H95, D95=I95, C95=I95, D95=H95), "PARCIALMENTE", IF(OR(H95="Não há recomendação", I95="Não há recomendação", H95="SEM RECOMENDAÇÃO", I95="SEM RECOMENDAÇÃO"), "NÃO RECOMENDOU", "ERROU"))), "")</f>
        <v/>
      </c>
      <c r="K95" s="21" t="n"/>
      <c r="L95" s="21" t="n"/>
      <c r="M95" s="21">
        <f>IF(K95&lt;&gt;"", IF(AND(C95=K95, D95=L95), "ACERTOU", IF(OR(C95=K95, D95=L95, C95=L95, D95=K95), "PARCIALMENTE", IF(OR(K95="Não há recomendação", L95="Não há recomendação", K95="SEM RECOMENDAÇÃO", L95="SEM RECOMENDAÇÃO"), "NÃO RECOMENDOU", "ERROU"))), "")</f>
        <v/>
      </c>
      <c r="N95" s="22" t="inlineStr">
        <is>
          <t>Gerenciamento de Incidentes</t>
        </is>
      </c>
      <c r="O95" s="22" t="inlineStr">
        <is>
          <t>Gerenciamento de Nível de Serviço</t>
        </is>
      </c>
      <c r="P95" s="22">
        <f>IF(N95&lt;&gt;"", IF(AND(C95=N95, D95=O95), "ACERTOU", IF(OR(C95=N95, D95=O95, C95=O95, D95=N95), "PARCIALMENTE", IF(OR(N95="Não há recomendação", O95="Não há recomendação", N95="SEM RECOMENDAÇÃO", O95="SEM RECOMENDAÇÃO"), "NÃO RECOMENDOU", "ERROU"))), "")</f>
        <v/>
      </c>
      <c r="Q95" s="23" t="n"/>
      <c r="R95" s="23" t="n"/>
      <c r="S95" s="23" t="n"/>
    </row>
    <row r="96">
      <c r="A96" t="n">
        <v>801</v>
      </c>
      <c r="B96" s="3" t="inlineStr">
        <is>
          <t>Problema de Tela Preta com LG OLED C1</t>
        </is>
      </c>
      <c r="C96" s="3" t="inlineStr">
        <is>
          <t>Gerenciamento de Incidentes</t>
        </is>
      </c>
      <c r="D96" s="3" t="inlineStr">
        <is>
          <t>Gerenciamento de Ativos de TI</t>
        </is>
      </c>
      <c r="E96" s="5" t="n"/>
      <c r="F96" s="5" t="n"/>
      <c r="G96" s="6">
        <f>IF(E96&lt;&gt;"", IF(AND(C96=E96, D96=F96), "ACERTOU", IF(OR(C96=E96, D96=F96, C96=F96, D96=E96), "PARCIALMENTE", IF(OR(E96="Não há recomendação", F96="Não há recomendação", E96="SEM RECOMENDAÇÃO", F96="SEM RECOMENDAÇÃO"), "NÃO RECOMENDOU", "ERROU"))), "")</f>
        <v/>
      </c>
      <c r="H96" s="20" t="n"/>
      <c r="I96" s="20" t="n"/>
      <c r="J96" s="20">
        <f>IF(H96&lt;&gt;"", IF(AND(C96=H96, D96=I96), "ACERTOU", IF(OR(C96=H96, D96=I96, C96=I96, D96=H96), "PARCIALMENTE", IF(OR(H96="Não há recomendação", I96="Não há recomendação", H96="SEM RECOMENDAÇÃO", I96="SEM RECOMENDAÇÃO"), "NÃO RECOMENDOU", "ERROU"))), "")</f>
        <v/>
      </c>
      <c r="K96" s="21" t="n"/>
      <c r="L96" s="21" t="n"/>
      <c r="M96" s="21">
        <f>IF(K96&lt;&gt;"", IF(AND(C96=K96, D96=L96), "ACERTOU", IF(OR(C96=K96, D96=L96, C96=L96, D96=K96), "PARCIALMENTE", IF(OR(K96="Não há recomendação", L96="Não há recomendação", K96="SEM RECOMENDAÇÃO", L96="SEM RECOMENDAÇÃO"), "NÃO RECOMENDOU", "ERROU"))), "")</f>
        <v/>
      </c>
      <c r="N96" s="22" t="inlineStr">
        <is>
          <t>Gerenciamento de Incidentes</t>
        </is>
      </c>
      <c r="O96" s="22" t="inlineStr">
        <is>
          <t>Gerenciamento de Ativos de TI</t>
        </is>
      </c>
      <c r="P96" s="22">
        <f>IF(N96&lt;&gt;"", IF(AND(C96=N96, D96=O96), "ACERTOU", IF(OR(C96=N96, D96=O96, C96=O96, D96=N96), "PARCIALMENTE", IF(OR(N96="Não há recomendação", O96="Não há recomendação", N96="SEM RECOMENDAÇÃO", O96="SEM RECOMENDAÇÃO"), "NÃO RECOMENDOU", "ERROU"))), "")</f>
        <v/>
      </c>
      <c r="Q96" s="23" t="n"/>
      <c r="R96" s="23" t="n"/>
      <c r="S96" s="23" t="n"/>
    </row>
    <row r="97">
      <c r="A97" t="n">
        <v>807</v>
      </c>
      <c r="B97" s="3" t="inlineStr">
        <is>
          <t>Assistência Técnica Necessária para Surface Pro 7 Touchscreen</t>
        </is>
      </c>
      <c r="C97" s="3" t="inlineStr">
        <is>
          <t>Gerenciamento de Incidentes</t>
        </is>
      </c>
      <c r="D97" s="3" t="inlineStr">
        <is>
          <t>Gerenciamento de Ativos de TI</t>
        </is>
      </c>
      <c r="E97" s="5" t="n"/>
      <c r="F97" s="5" t="n"/>
      <c r="G97" s="6">
        <f>IF(E97&lt;&gt;"", IF(AND(C97=E97, D97=F97), "ACERTOU", IF(OR(C97=E97, D97=F97, C97=F97, D97=E97), "PARCIALMENTE", IF(OR(E97="Não há recomendação", F97="Não há recomendação", E97="SEM RECOMENDAÇÃO", F97="SEM RECOMENDAÇÃO"), "NÃO RECOMENDOU", "ERROU"))), "")</f>
        <v/>
      </c>
      <c r="H97" s="20" t="n"/>
      <c r="I97" s="20" t="n"/>
      <c r="J97" s="20">
        <f>IF(H97&lt;&gt;"", IF(AND(C97=H97, D97=I97), "ACERTOU", IF(OR(C97=H97, D97=I97, C97=I97, D97=H97), "PARCIALMENTE", IF(OR(H97="Não há recomendação", I97="Não há recomendação", H97="SEM RECOMENDAÇÃO", I97="SEM RECOMENDAÇÃO"), "NÃO RECOMENDOU", "ERROU"))), "")</f>
        <v/>
      </c>
      <c r="K97" s="21" t="n"/>
      <c r="L97" s="21" t="n"/>
      <c r="M97" s="21">
        <f>IF(K97&lt;&gt;"", IF(AND(C97=K97, D97=L97), "ACERTOU", IF(OR(C97=K97, D97=L97, C97=L97, D97=K97), "PARCIALMENTE", IF(OR(K97="Não há recomendação", L97="Não há recomendação", K97="SEM RECOMENDAÇÃO", L97="SEM RECOMENDAÇÃO"), "NÃO RECOMENDOU", "ERROU"))), "")</f>
        <v/>
      </c>
      <c r="N97" s="22" t="n"/>
      <c r="O97" s="22" t="n"/>
      <c r="P97" s="22">
        <f>IF(N97&lt;&gt;"", IF(AND(C97=N97, D97=O97), "ACERTOU", IF(OR(C97=N97, D97=O97, C97=O97, D97=N97), "PARCIALMENTE", IF(OR(N97="Não há recomendação", O97="Não há recomendação", N97="SEM RECOMENDAÇÃO", O97="SEM RECOMENDAÇÃO"), "NÃO RECOMENDOU", "ERROU"))), "")</f>
        <v/>
      </c>
      <c r="Q97" s="23" t="n"/>
      <c r="R97" s="23" t="n"/>
      <c r="S97" s="23" t="n"/>
    </row>
    <row r="98">
      <c r="A98" t="n">
        <v>824</v>
      </c>
      <c r="B98" s="3" t="inlineStr">
        <is>
          <t>Resolução Urgente Necessária: Cobrança Incorreta para o Plano Google Workspace</t>
        </is>
      </c>
      <c r="C98" s="3" t="inlineStr">
        <is>
          <t>Gerenciamento Financeiro</t>
        </is>
      </c>
      <c r="D98" s="3" t="inlineStr">
        <is>
          <t>Gerenciamento de Incidentes</t>
        </is>
      </c>
      <c r="E98" s="5" t="n"/>
      <c r="F98" s="5" t="n"/>
      <c r="G98" s="6">
        <f>IF(E98&lt;&gt;"", IF(AND(C98=E98, D98=F98), "ACERTOU", IF(OR(C98=E98, D98=F98, C98=F98, D98=E98), "PARCIALMENTE", IF(OR(E98="Não há recomendação", F98="Não há recomendação", E98="SEM RECOMENDAÇÃO", F98="SEM RECOMENDAÇÃO"), "NÃO RECOMENDOU", "ERROU"))), "")</f>
        <v/>
      </c>
      <c r="H98" s="20" t="n"/>
      <c r="I98" s="20" t="n"/>
      <c r="J98" s="20">
        <f>IF(H98&lt;&gt;"", IF(AND(C98=H98, D98=I98), "ACERTOU", IF(OR(C98=H98, D98=I98, C98=I98, D98=H98), "PARCIALMENTE", IF(OR(H98="Não há recomendação", I98="Não há recomendação", H98="SEM RECOMENDAÇÃO", I98="SEM RECOMENDAÇÃO"), "NÃO RECOMENDOU", "ERROU"))), "")</f>
        <v/>
      </c>
      <c r="K98" s="21" t="n"/>
      <c r="L98" s="21" t="n"/>
      <c r="M98" s="21">
        <f>IF(K98&lt;&gt;"", IF(AND(C98=K98, D98=L98), "ACERTOU", IF(OR(C98=K98, D98=L98, C98=L98, D98=K98), "PARCIALMENTE", IF(OR(K98="Não há recomendação", L98="Não há recomendação", K98="SEM RECOMENDAÇÃO", L98="SEM RECOMENDAÇÃO"), "NÃO RECOMENDOU", "ERROU"))), "")</f>
        <v/>
      </c>
      <c r="N98" s="22" t="inlineStr">
        <is>
          <t>Gerenciamento de Requisições de Serviço</t>
        </is>
      </c>
      <c r="O98" s="22" t="inlineStr">
        <is>
          <t>Gerenciamento Financeiro de TI</t>
        </is>
      </c>
      <c r="P98" s="22">
        <f>IF(N98&lt;&gt;"", IF(AND(C98=N98, D98=O98), "ACERTOU", IF(OR(C98=N98, D98=O98, C98=O98, D98=N98), "PARCIALMENTE", IF(OR(N98="Não há recomendação", O98="Não há recomendação", N98="SEM RECOMENDAÇÃO", O98="SEM RECOMENDAÇÃO"), "NÃO RECOMENDOU", "ERROU"))), "")</f>
        <v/>
      </c>
      <c r="Q98" s="23" t="n"/>
      <c r="R98" s="23" t="n"/>
      <c r="S98" s="23" t="n"/>
    </row>
    <row r="99">
      <c r="A99" t="n">
        <v>825</v>
      </c>
      <c r="B99" s="3" t="inlineStr">
        <is>
          <t>Consulta Sobre Consultoria de TI</t>
        </is>
      </c>
      <c r="C99" s="3" t="inlineStr">
        <is>
          <t>Solicitação de Serviço</t>
        </is>
      </c>
      <c r="D99" s="3" t="inlineStr">
        <is>
          <t>Gerenciamento de Nível de Serviço</t>
        </is>
      </c>
      <c r="E99" s="5" t="n"/>
      <c r="F99" s="5" t="n"/>
      <c r="G99" s="6">
        <f>IF(E99&lt;&gt;"", IF(AND(C99=E99, D99=F99), "ACERTOU", IF(OR(C99=E99, D99=F99, C99=F99, D99=E99), "PARCIALMENTE", IF(OR(E99="Não há recomendação", F99="Não há recomendação", E99="SEM RECOMENDAÇÃO", F99="SEM RECOMENDAÇÃO"), "NÃO RECOMENDOU", "ERROU"))), "")</f>
        <v/>
      </c>
      <c r="H99" s="20" t="n"/>
      <c r="I99" s="20" t="n"/>
      <c r="J99" s="20">
        <f>IF(H99&lt;&gt;"", IF(AND(C99=H99, D99=I99), "ACERTOU", IF(OR(C99=H99, D99=I99, C99=I99, D99=H99), "PARCIALMENTE", IF(OR(H99="Não há recomendação", I99="Não há recomendação", H99="SEM RECOMENDAÇÃO", I99="SEM RECOMENDAÇÃO"), "NÃO RECOMENDOU", "ERROU"))), "")</f>
        <v/>
      </c>
      <c r="K99" s="21" t="n"/>
      <c r="L99" s="21" t="n"/>
      <c r="M99" s="21">
        <f>IF(K99&lt;&gt;"", IF(AND(C99=K99, D99=L99), "ACERTOU", IF(OR(C99=K99, D99=L99, C99=L99, D99=K99), "PARCIALMENTE", IF(OR(K99="Não há recomendação", L99="Não há recomendação", K99="SEM RECOMENDAÇÃO", L99="SEM RECOMENDAÇÃO"), "NÃO RECOMENDOU", "ERROU"))), "")</f>
        <v/>
      </c>
      <c r="N99" s="22" t="inlineStr">
        <is>
          <t>Gerenciamento de Requisições de Serviço</t>
        </is>
      </c>
      <c r="O99" s="22" t="inlineStr">
        <is>
          <t>Não se aplica</t>
        </is>
      </c>
      <c r="P99" s="22">
        <f>IF(N99&lt;&gt;"", IF(AND(C99=N99, D99=O99), "ACERTOU", IF(OR(C99=N99, D99=O99, C99=O99, D99=N99), "PARCIALMENTE", IF(OR(N99="Não há recomendação", O99="Não há recomendação", N99="SEM RECOMENDAÇÃO", O99="SEM RECOMENDAÇÃO"), "NÃO RECOMENDOU", "ERROU"))), "")</f>
        <v/>
      </c>
      <c r="Q99" s="23" t="n"/>
      <c r="R99" s="23" t="n"/>
      <c r="S99" s="23" t="n"/>
    </row>
    <row r="100">
      <c r="A100" t="n">
        <v>830</v>
      </c>
      <c r="B100" s="3" t="inlineStr">
        <is>
          <t>Urgente: Atrasos na Resposta no Serviço de Consultoria em TI</t>
        </is>
      </c>
      <c r="C100" s="3" t="inlineStr">
        <is>
          <t>Gerenciamento de Nível de Serviço</t>
        </is>
      </c>
      <c r="D100" s="3" t="inlineStr">
        <is>
          <t>Gerenciamento de Incidentes</t>
        </is>
      </c>
      <c r="E100" s="5" t="n"/>
      <c r="F100" s="5" t="n"/>
      <c r="G100" s="6">
        <f>IF(E100&lt;&gt;"", IF(AND(C100=E100, D100=F100), "ACERTOU", IF(OR(C100=E100, D100=F100, C100=F100, D100=E100), "PARCIALMENTE", IF(OR(E100="Não há recomendação", F100="Não há recomendação", E100="SEM RECOMENDAÇÃO", F100="SEM RECOMENDAÇÃO"), "NÃO RECOMENDOU", "ERROU"))), "")</f>
        <v/>
      </c>
      <c r="H100" s="20" t="n"/>
      <c r="I100" s="20" t="n"/>
      <c r="J100" s="20">
        <f>IF(H100&lt;&gt;"", IF(AND(C100=H100, D100=I100), "ACERTOU", IF(OR(C100=H100, D100=I100, C100=I100, D100=H100), "PARCIALMENTE", IF(OR(H100="Não há recomendação", I100="Não há recomendação", H100="SEM RECOMENDAÇÃO", I100="SEM RECOMENDAÇÃO"), "NÃO RECOMENDOU", "ERROU"))), "")</f>
        <v/>
      </c>
      <c r="K100" s="21" t="n"/>
      <c r="L100" s="21" t="n"/>
      <c r="M100" s="21">
        <f>IF(K100&lt;&gt;"", IF(AND(C100=K100, D100=L100), "ACERTOU", IF(OR(C100=K100, D100=L100, C100=L100, D100=K100), "PARCIALMENTE", IF(OR(K100="Não há recomendação", L100="Não há recomendação", K100="SEM RECOMENDAÇÃO", L100="SEM RECOMENDAÇÃO"), "NÃO RECOMENDOU", "ERROU"))), "")</f>
        <v/>
      </c>
      <c r="N100" s="22" t="inlineStr">
        <is>
          <t>Gerenciamento de Nível de Serviço</t>
        </is>
      </c>
      <c r="O100" s="22" t="inlineStr">
        <is>
          <t>Gerenciamento de Incidentes</t>
        </is>
      </c>
      <c r="P100" s="22">
        <f>IF(N100&lt;&gt;"", IF(AND(C100=N100, D100=O100), "ACERTOU", IF(OR(C100=N100, D100=O100, C100=O100, D100=N100), "PARCIALMENTE", IF(OR(N100="Não há recomendação", O100="Não há recomendação", N100="SEM RECOMENDAÇÃO", O100="SEM RECOMENDAÇÃO"), "NÃO RECOMENDOU", "ERROU"))), "")</f>
        <v/>
      </c>
      <c r="Q100" s="23" t="n"/>
      <c r="R100" s="23" t="n"/>
      <c r="S100" s="23" t="n"/>
    </row>
    <row r="101">
      <c r="A101" t="n">
        <v>837</v>
      </c>
      <c r="B101" s="3" t="inlineStr">
        <is>
          <t>Assistência para Solicitação de Migração</t>
        </is>
      </c>
      <c r="C101" s="3" t="inlineStr">
        <is>
          <t>Solicitação de Serviço</t>
        </is>
      </c>
      <c r="D101" s="3" t="inlineStr">
        <is>
          <t>Gerenciamento de Mudanças</t>
        </is>
      </c>
      <c r="E101" s="5" t="n"/>
      <c r="F101" s="5" t="n"/>
      <c r="G101" s="6">
        <f>IF(E101&lt;&gt;"", IF(AND(C101=E101, D101=F101), "ACERTOU", IF(OR(C101=E101, D101=F101, C101=F101, D101=E101), "PARCIALMENTE", IF(OR(E101="Não há recomendação", F101="Não há recomendação", E101="SEM RECOMENDAÇÃO", F101="SEM RECOMENDAÇÃO"), "NÃO RECOMENDOU", "ERROU"))), "")</f>
        <v/>
      </c>
      <c r="H101" s="20" t="n"/>
      <c r="I101" s="20" t="n"/>
      <c r="J101" s="20">
        <f>IF(H101&lt;&gt;"", IF(AND(C101=H101, D101=I101), "ACERTOU", IF(OR(C101=H101, D101=I101, C101=I101, D101=H101), "PARCIALMENTE", IF(OR(H101="Não há recomendação", I101="Não há recomendação", H101="SEM RECOMENDAÇÃO", I101="SEM RECOMENDAÇÃO"), "NÃO RECOMENDOU", "ERROU"))), "")</f>
        <v/>
      </c>
      <c r="K101" s="21" t="n"/>
      <c r="L101" s="21" t="n"/>
      <c r="M101" s="21">
        <f>IF(K101&lt;&gt;"", IF(AND(C101=K101, D101=L101), "ACERTOU", IF(OR(C101=K101, D101=L101, C101=L101, D101=K101), "PARCIALMENTE", IF(OR(K101="Não há recomendação", L101="Não há recomendação", K101="SEM RECOMENDAÇÃO", L101="SEM RECOMENDAÇÃO"), "NÃO RECOMENDOU", "ERROU"))), "")</f>
        <v/>
      </c>
      <c r="N101" s="22" t="inlineStr">
        <is>
          <t>Gerenciamento de Requisições de Serviço</t>
        </is>
      </c>
      <c r="O101" s="22" t="inlineStr">
        <is>
          <t>Gerenciamento de Mudanças</t>
        </is>
      </c>
      <c r="P101" s="22">
        <f>IF(N101&lt;&gt;"", IF(AND(C101=N101, D101=O101), "ACERTOU", IF(OR(C101=N101, D101=O101, C101=O101, D101=N101), "PARCIALMENTE", IF(OR(N101="Não há recomendação", O101="Não há recomendação", N101="SEM RECOMENDAÇÃO", O101="SEM RECOMENDAÇÃO"), "NÃO RECOMENDOU", "ERROU"))), "")</f>
        <v/>
      </c>
      <c r="Q101" s="23" t="n"/>
      <c r="R101" s="23" t="n"/>
      <c r="S101" s="23" t="n"/>
    </row>
    <row r="102">
      <c r="A102" t="n">
        <v>852</v>
      </c>
      <c r="B102" s="3" t="inlineStr">
        <is>
          <t>Assistência Necessária para Problema de Atualização do macOS</t>
        </is>
      </c>
      <c r="C102" s="3" t="inlineStr">
        <is>
          <t>Solicitação de Serviço</t>
        </is>
      </c>
      <c r="D102" s="3" t="inlineStr">
        <is>
          <t>Gerenciamento de Incidentes</t>
        </is>
      </c>
      <c r="E102" s="5" t="n"/>
      <c r="F102" s="5" t="n"/>
      <c r="G102" s="6">
        <f>IF(E102&lt;&gt;"", IF(AND(C102=E102, D102=F102), "ACERTOU", IF(OR(C102=E102, D102=F102, C102=F102, D102=E102), "PARCIALMENTE", IF(OR(E102="Não há recomendação", F102="Não há recomendação", E102="SEM RECOMENDAÇÃO", F102="SEM RECOMENDAÇÃO"), "NÃO RECOMENDOU", "ERROU"))), "")</f>
        <v/>
      </c>
      <c r="H102" s="20" t="n"/>
      <c r="I102" s="20" t="n"/>
      <c r="J102" s="20">
        <f>IF(H102&lt;&gt;"", IF(AND(C102=H102, D102=I102), "ACERTOU", IF(OR(C102=H102, D102=I102, C102=I102, D102=H102), "PARCIALMENTE", IF(OR(H102="Não há recomendação", I102="Não há recomendação", H102="SEM RECOMENDAÇÃO", I102="SEM RECOMENDAÇÃO"), "NÃO RECOMENDOU", "ERROU"))), "")</f>
        <v/>
      </c>
      <c r="K102" s="21" t="n"/>
      <c r="L102" s="21" t="n"/>
      <c r="M102" s="21">
        <f>IF(K102&lt;&gt;"", IF(AND(C102=K102, D102=L102), "ACERTOU", IF(OR(C102=K102, D102=L102, C102=L102, D102=K102), "PARCIALMENTE", IF(OR(K102="Não há recomendação", L102="Não há recomendação", K102="SEM RECOMENDAÇÃO", L102="SEM RECOMENDAÇÃO"), "NÃO RECOMENDOU", "ERROU"))), "")</f>
        <v/>
      </c>
      <c r="N102" s="22" t="inlineStr">
        <is>
          <t>Gerenciamento de Mudanças</t>
        </is>
      </c>
      <c r="O102" s="22" t="inlineStr">
        <is>
          <t>Gerenciamento de Incidentes</t>
        </is>
      </c>
      <c r="P102" s="22">
        <f>IF(N102&lt;&gt;"", IF(AND(C102=N102, D102=O102), "ACERTOU", IF(OR(C102=N102, D102=O102, C102=O102, D102=N102), "PARCIALMENTE", IF(OR(N102="Não há recomendação", O102="Não há recomendação", N102="SEM RECOMENDAÇÃO", O102="SEM RECOMENDAÇÃO"), "NÃO RECOMENDOU", "ERROU"))), "")</f>
        <v/>
      </c>
      <c r="Q102" s="23" t="n"/>
      <c r="R102" s="23" t="n"/>
      <c r="S102" s="23" t="n"/>
    </row>
    <row r="103">
      <c r="A103" t="n">
        <v>863</v>
      </c>
      <c r="B103" s="3" t="inlineStr">
        <is>
          <t>Erro Código 502 Frequente no Acesso à Plataforma Jira</t>
        </is>
      </c>
      <c r="C103" s="3" t="inlineStr">
        <is>
          <t>Gerenciamento de Incidentes</t>
        </is>
      </c>
      <c r="D103" s="3" t="inlineStr">
        <is>
          <t>Gerenciamento de Disponibilidade</t>
        </is>
      </c>
      <c r="E103" s="5" t="n"/>
      <c r="F103" s="5" t="n"/>
      <c r="G103" s="6">
        <f>IF(E103&lt;&gt;"", IF(AND(C103=E103, D103=F103), "ACERTOU", IF(OR(C103=E103, D103=F103, C103=F103, D103=E103), "PARCIALMENTE", IF(OR(E103="Não há recomendação", F103="Não há recomendação", E103="SEM RECOMENDAÇÃO", F103="SEM RECOMENDAÇÃO"), "NÃO RECOMENDOU", "ERROU"))), "")</f>
        <v/>
      </c>
      <c r="H103" s="20" t="n"/>
      <c r="I103" s="20" t="n"/>
      <c r="J103" s="20">
        <f>IF(H103&lt;&gt;"", IF(AND(C103=H103, D103=I103), "ACERTOU", IF(OR(C103=H103, D103=I103, C103=I103, D103=H103), "PARCIALMENTE", IF(OR(H103="Não há recomendação", I103="Não há recomendação", H103="SEM RECOMENDAÇÃO", I103="SEM RECOMENDAÇÃO"), "NÃO RECOMENDOU", "ERROU"))), "")</f>
        <v/>
      </c>
      <c r="K103" s="21" t="n"/>
      <c r="L103" s="21" t="n"/>
      <c r="M103" s="21">
        <f>IF(K103&lt;&gt;"", IF(AND(C103=K103, D103=L103), "ACERTOU", IF(OR(C103=K103, D103=L103, C103=L103, D103=K103), "PARCIALMENTE", IF(OR(K103="Não há recomendação", L103="Não há recomendação", K103="SEM RECOMENDAÇÃO", L103="SEM RECOMENDAÇÃO"), "NÃO RECOMENDOU", "ERROU"))), "")</f>
        <v/>
      </c>
      <c r="N103" s="22" t="n"/>
      <c r="O103" s="22" t="n"/>
      <c r="P103" s="22">
        <f>IF(N103&lt;&gt;"", IF(AND(C103=N103, D103=O103), "ACERTOU", IF(OR(C103=N103, D103=O103, C103=O103, D103=N103), "PARCIALMENTE", IF(OR(N103="Não há recomendação", O103="Não há recomendação", N103="SEM RECOMENDAÇÃO", O103="SEM RECOMENDAÇÃO"), "NÃO RECOMENDOU", "ERROU"))), "")</f>
        <v/>
      </c>
      <c r="Q103" s="23" t="n"/>
      <c r="R103" s="23" t="n"/>
      <c r="S103" s="23" t="n"/>
    </row>
    <row r="104">
      <c r="A104" t="n">
        <v>866</v>
      </c>
      <c r="B104" s="3" t="inlineStr">
        <is>
          <t>Consulta sobre a disponibilidade do MacBook Air M1</t>
        </is>
      </c>
      <c r="C104" s="3" t="inlineStr">
        <is>
          <t>Solicitação de Serviço</t>
        </is>
      </c>
      <c r="D104" s="3" t="inlineStr">
        <is>
          <t>Gerenciamento de Ativos de TI</t>
        </is>
      </c>
      <c r="E104" s="5" t="n"/>
      <c r="F104" s="5" t="n"/>
      <c r="G104" s="6">
        <f>IF(E104&lt;&gt;"", IF(AND(C104=E104, D104=F104), "ACERTOU", IF(OR(C104=E104, D104=F104, C104=F104, D104=E104), "PARCIALMENTE", IF(OR(E104="Não há recomendação", F104="Não há recomendação", E104="SEM RECOMENDAÇÃO", F104="SEM RECOMENDAÇÃO"), "NÃO RECOMENDOU", "ERROU"))), "")</f>
        <v/>
      </c>
      <c r="H104" s="20" t="n"/>
      <c r="I104" s="20" t="n"/>
      <c r="J104" s="20">
        <f>IF(H104&lt;&gt;"", IF(AND(C104=H104, D104=I104), "ACERTOU", IF(OR(C104=H104, D104=I104, C104=I104, D104=H104), "PARCIALMENTE", IF(OR(H104="Não há recomendação", I104="Não há recomendação", H104="SEM RECOMENDAÇÃO", I104="SEM RECOMENDAÇÃO"), "NÃO RECOMENDOU", "ERROU"))), "")</f>
        <v/>
      </c>
      <c r="K104" s="21" t="n"/>
      <c r="L104" s="21" t="n"/>
      <c r="M104" s="21">
        <f>IF(K104&lt;&gt;"", IF(AND(C104=K104, D104=L104), "ACERTOU", IF(OR(C104=K104, D104=L104, C104=L104, D104=K104), "PARCIALMENTE", IF(OR(K104="Não há recomendação", L104="Não há recomendação", K104="SEM RECOMENDAÇÃO", L104="SEM RECOMENDAÇÃO"), "NÃO RECOMENDOU", "ERROU"))), "")</f>
        <v/>
      </c>
      <c r="N104" s="22" t="inlineStr">
        <is>
          <t>Gerenciamento de Requisições de Serviço</t>
        </is>
      </c>
      <c r="O104" s="22" t="inlineStr">
        <is>
          <t>Não se aplica</t>
        </is>
      </c>
      <c r="P104" s="22">
        <f>IF(N104&lt;&gt;"", IF(AND(C104=N104, D104=O104), "ACERTOU", IF(OR(C104=N104, D104=O104, C104=O104, D104=N104), "PARCIALMENTE", IF(OR(N104="Não há recomendação", O104="Não há recomendação", N104="SEM RECOMENDAÇÃO", O104="SEM RECOMENDAÇÃO"), "NÃO RECOMENDOU", "ERROU"))), "")</f>
        <v/>
      </c>
      <c r="Q104" s="23" t="n"/>
      <c r="R104" s="23" t="n"/>
      <c r="S104" s="23" t="n"/>
    </row>
    <row r="105">
      <c r="A105" t="n">
        <v>872</v>
      </c>
      <c r="B105" s="3" t="inlineStr">
        <is>
          <t>Problema com a Cobrança do Office 365</t>
        </is>
      </c>
      <c r="C105" s="3" t="inlineStr">
        <is>
          <t>Gerenciamento Financeiro</t>
        </is>
      </c>
      <c r="D105" s="3" t="inlineStr">
        <is>
          <t>Gerenciamento de Incidentes</t>
        </is>
      </c>
      <c r="E105" s="5" t="n"/>
      <c r="F105" s="5" t="n"/>
      <c r="G105" s="6">
        <f>IF(E105&lt;&gt;"", IF(AND(C105=E105, D105=F105), "ACERTOU", IF(OR(C105=E105, D105=F105, C105=F105, D105=E105), "PARCIALMENTE", IF(OR(E105="Não há recomendação", F105="Não há recomendação", E105="SEM RECOMENDAÇÃO", F105="SEM RECOMENDAÇÃO"), "NÃO RECOMENDOU", "ERROU"))), "")</f>
        <v/>
      </c>
      <c r="H105" s="20" t="n"/>
      <c r="I105" s="20" t="n"/>
      <c r="J105" s="20">
        <f>IF(H105&lt;&gt;"", IF(AND(C105=H105, D105=I105), "ACERTOU", IF(OR(C105=H105, D105=I105, C105=I105, D105=H105), "PARCIALMENTE", IF(OR(H105="Não há recomendação", I105="Não há recomendação", H105="SEM RECOMENDAÇÃO", I105="SEM RECOMENDAÇÃO"), "NÃO RECOMENDOU", "ERROU"))), "")</f>
        <v/>
      </c>
      <c r="K105" s="21" t="n"/>
      <c r="L105" s="21" t="n"/>
      <c r="M105" s="21">
        <f>IF(K105&lt;&gt;"", IF(AND(C105=K105, D105=L105), "ACERTOU", IF(OR(C105=K105, D105=L105, C105=L105, D105=K105), "PARCIALMENTE", IF(OR(K105="Não há recomendação", L105="Não há recomendação", K105="SEM RECOMENDAÇÃO", L105="SEM RECOMENDAÇÃO"), "NÃO RECOMENDOU", "ERROU"))), "")</f>
        <v/>
      </c>
      <c r="N105" s="22" t="n"/>
      <c r="O105" s="22" t="n"/>
      <c r="P105" s="22">
        <f>IF(N105&lt;&gt;"", IF(AND(C105=N105, D105=O105), "ACERTOU", IF(OR(C105=N105, D105=O105, C105=O105, D105=N105), "PARCIALMENTE", IF(OR(N105="Não há recomendação", O105="Não há recomendação", N105="SEM RECOMENDAÇÃO", O105="SEM RECOMENDAÇÃO"), "NÃO RECOMENDOU", "ERROU"))), "")</f>
        <v/>
      </c>
      <c r="Q105" s="23" t="n"/>
      <c r="R105" s="23" t="n"/>
      <c r="S105" s="23" t="n"/>
    </row>
    <row r="106">
      <c r="A106" t="n">
        <v>873</v>
      </c>
      <c r="B106" s="3" t="inlineStr">
        <is>
          <t>Problemas Frequentes de Encravamento de Papel: HP DeskJet 3755</t>
        </is>
      </c>
      <c r="C106" s="3" t="inlineStr">
        <is>
          <t>Gerenciamento de Incidentes</t>
        </is>
      </c>
      <c r="D106" s="3" t="inlineStr">
        <is>
          <t>Gerenciamento de Problemas</t>
        </is>
      </c>
      <c r="E106" s="5" t="n"/>
      <c r="F106" s="5" t="n"/>
      <c r="G106" s="6">
        <f>IF(E106&lt;&gt;"", IF(AND(C106=E106, D106=F106), "ACERTOU", IF(OR(C106=E106, D106=F106, C106=F106, D106=E106), "PARCIALMENTE", IF(OR(E106="Não há recomendação", F106="Não há recomendação", E106="SEM RECOMENDAÇÃO", F106="SEM RECOMENDAÇÃO"), "NÃO RECOMENDOU", "ERROU"))), "")</f>
        <v/>
      </c>
      <c r="H106" s="20" t="n"/>
      <c r="I106" s="20" t="n"/>
      <c r="J106" s="20">
        <f>IF(H106&lt;&gt;"", IF(AND(C106=H106, D106=I106), "ACERTOU", IF(OR(C106=H106, D106=I106, C106=I106, D106=H106), "PARCIALMENTE", IF(OR(H106="Não há recomendação", I106="Não há recomendação", H106="SEM RECOMENDAÇÃO", I106="SEM RECOMENDAÇÃO"), "NÃO RECOMENDOU", "ERROU"))), "")</f>
        <v/>
      </c>
      <c r="K106" s="21" t="n"/>
      <c r="L106" s="21" t="n"/>
      <c r="M106" s="21">
        <f>IF(K106&lt;&gt;"", IF(AND(C106=K106, D106=L106), "ACERTOU", IF(OR(C106=K106, D106=L106, C106=L106, D106=K106), "PARCIALMENTE", IF(OR(K106="Não há recomendação", L106="Não há recomendação", K106="SEM RECOMENDAÇÃO", L106="SEM RECOMENDAÇÃO"), "NÃO RECOMENDOU", "ERROU"))), "")</f>
        <v/>
      </c>
      <c r="N106" s="22" t="n"/>
      <c r="O106" s="22" t="n"/>
      <c r="P106" s="22">
        <f>IF(N106&lt;&gt;"", IF(AND(C106=N106, D106=O106), "ACERTOU", IF(OR(C106=N106, D106=O106, C106=O106, D106=N106), "PARCIALMENTE", IF(OR(N106="Não há recomendação", O106="Não há recomendação", N106="SEM RECOMENDAÇÃO", O106="SEM RECOMENDAÇÃO"), "NÃO RECOMENDOU", "ERROU"))), "")</f>
        <v/>
      </c>
      <c r="Q106" s="23" t="n"/>
      <c r="R106" s="23" t="n"/>
      <c r="S106" s="23" t="n"/>
    </row>
    <row r="107">
      <c r="A107" t="n">
        <v>890</v>
      </c>
      <c r="B107" s="3" t="inlineStr">
        <is>
          <t>Jams frequentes de papel com Canon PIXMA MG3620</t>
        </is>
      </c>
      <c r="C107" s="3" t="inlineStr">
        <is>
          <t>Gerenciamento de Incidentes</t>
        </is>
      </c>
      <c r="D107" s="3" t="inlineStr">
        <is>
          <t>Gerenciamento de Ativos de TI</t>
        </is>
      </c>
      <c r="E107" s="5" t="n"/>
      <c r="F107" s="5" t="n"/>
      <c r="G107" s="6">
        <f>IF(E107&lt;&gt;"", IF(AND(C107=E107, D107=F107), "ACERTOU", IF(OR(C107=E107, D107=F107, C107=F107, D107=E107), "PARCIALMENTE", IF(OR(E107="Não há recomendação", F107="Não há recomendação", E107="SEM RECOMENDAÇÃO", F107="SEM RECOMENDAÇÃO"), "NÃO RECOMENDOU", "ERROU"))), "")</f>
        <v/>
      </c>
      <c r="H107" s="20" t="n"/>
      <c r="I107" s="20" t="n"/>
      <c r="J107" s="20">
        <f>IF(H107&lt;&gt;"", IF(AND(C107=H107, D107=I107), "ACERTOU", IF(OR(C107=H107, D107=I107, C107=I107, D107=H107), "PARCIALMENTE", IF(OR(H107="Não há recomendação", I107="Não há recomendação", H107="SEM RECOMENDAÇÃO", I107="SEM RECOMENDAÇÃO"), "NÃO RECOMENDOU", "ERROU"))), "")</f>
        <v/>
      </c>
      <c r="K107" s="21" t="n"/>
      <c r="L107" s="21" t="n"/>
      <c r="M107" s="21">
        <f>IF(K107&lt;&gt;"", IF(AND(C107=K107, D107=L107), "ACERTOU", IF(OR(C107=K107, D107=L107, C107=L107, D107=K107), "PARCIALMENTE", IF(OR(K107="Não há recomendação", L107="Não há recomendação", K107="SEM RECOMENDAÇÃO", L107="SEM RECOMENDAÇÃO"), "NÃO RECOMENDOU", "ERROU"))), "")</f>
        <v/>
      </c>
      <c r="N107" s="22" t="n"/>
      <c r="O107" s="22" t="n"/>
      <c r="P107" s="22">
        <f>IF(N107&lt;&gt;"", IF(AND(C107=N107, D107=O107), "ACERTOU", IF(OR(C107=N107, D107=O107, C107=O107, D107=N107), "PARCIALMENTE", IF(OR(N107="Não há recomendação", O107="Não há recomendação", N107="SEM RECOMENDAÇÃO", O107="SEM RECOMENDAÇÃO"), "NÃO RECOMENDOU", "ERROU"))), "")</f>
        <v/>
      </c>
      <c r="Q107" s="23" t="n"/>
      <c r="R107" s="23" t="n"/>
      <c r="S107" s="23" t="n"/>
    </row>
    <row r="108">
      <c r="A108" t="n">
        <v>895</v>
      </c>
      <c r="B108" s="3" t="inlineStr">
        <is>
          <t>Problemas com os Recursos de Refatoração do IntelliJ IDEA 2024.1</t>
        </is>
      </c>
      <c r="C108" s="3" t="inlineStr">
        <is>
          <t>Gerenciamento de Problemas</t>
        </is>
      </c>
      <c r="D108" s="3" t="inlineStr">
        <is>
          <t>Gerenciamento de Mudanças</t>
        </is>
      </c>
      <c r="E108" s="5" t="n"/>
      <c r="F108" s="5" t="n"/>
      <c r="G108" s="6">
        <f>IF(E108&lt;&gt;"", IF(AND(C108=E108, D108=F108), "ACERTOU", IF(OR(C108=E108, D108=F108, C108=F108, D108=E108), "PARCIALMENTE", IF(OR(E108="Não há recomendação", F108="Não há recomendação", E108="SEM RECOMENDAÇÃO", F108="SEM RECOMENDAÇÃO"), "NÃO RECOMENDOU", "ERROU"))), "")</f>
        <v/>
      </c>
      <c r="H108" s="20" t="n"/>
      <c r="I108" s="20" t="n"/>
      <c r="J108" s="20">
        <f>IF(H108&lt;&gt;"", IF(AND(C108=H108, D108=I108), "ACERTOU", IF(OR(C108=H108, D108=I108, C108=I108, D108=H108), "PARCIALMENTE", IF(OR(H108="Não há recomendação", I108="Não há recomendação", H108="SEM RECOMENDAÇÃO", I108="SEM RECOMENDAÇÃO"), "NÃO RECOMENDOU", "ERROU"))), "")</f>
        <v/>
      </c>
      <c r="K108" s="21" t="n"/>
      <c r="L108" s="21" t="n"/>
      <c r="M108" s="21">
        <f>IF(K108&lt;&gt;"", IF(AND(C108=K108, D108=L108), "ACERTOU", IF(OR(C108=K108, D108=L108, C108=L108, D108=K108), "PARCIALMENTE", IF(OR(K108="Não há recomendação", L108="Não há recomendação", K108="SEM RECOMENDAÇÃO", L108="SEM RECOMENDAÇÃO"), "NÃO RECOMENDOU", "ERROU"))), "")</f>
        <v/>
      </c>
      <c r="N108" s="22" t="inlineStr">
        <is>
          <t>Gerenciamento de Problemas</t>
        </is>
      </c>
      <c r="O108" s="22" t="inlineStr">
        <is>
          <t>Gerenciamento de Incidentes</t>
        </is>
      </c>
      <c r="P108" s="22">
        <f>IF(N108&lt;&gt;"", IF(AND(C108=N108, D108=O108), "ACERTOU", IF(OR(C108=N108, D108=O108, C108=O108, D108=N108), "PARCIALMENTE", IF(OR(N108="Não há recomendação", O108="Não há recomendação", N108="SEM RECOMENDAÇÃO", O108="SEM RECOMENDAÇÃO"), "NÃO RECOMENDOU", "ERROU"))), "")</f>
        <v/>
      </c>
      <c r="Q108" s="23" t="n"/>
      <c r="R108" s="23" t="n"/>
      <c r="S108" s="23" t="n"/>
    </row>
    <row r="109">
      <c r="A109" t="n">
        <v>896</v>
      </c>
      <c r="B109" s="3" t="inlineStr">
        <is>
          <t>Problema com a Canon PIXMA MG3620</t>
        </is>
      </c>
      <c r="C109" s="3" t="inlineStr">
        <is>
          <t>Gerenciamento de Incidentes</t>
        </is>
      </c>
      <c r="D109" s="3" t="inlineStr">
        <is>
          <t>Gerenciamento de Ativos de TI</t>
        </is>
      </c>
      <c r="E109" s="5" t="n"/>
      <c r="F109" s="5" t="n"/>
      <c r="G109" s="6">
        <f>IF(E109&lt;&gt;"", IF(AND(C109=E109, D109=F109), "ACERTOU", IF(OR(C109=E109, D109=F109, C109=F109, D109=E109), "PARCIALMENTE", IF(OR(E109="Não há recomendação", F109="Não há recomendação", E109="SEM RECOMENDAÇÃO", F109="SEM RECOMENDAÇÃO"), "NÃO RECOMENDOU", "ERROU"))), "")</f>
        <v/>
      </c>
      <c r="H109" s="20" t="n"/>
      <c r="I109" s="20" t="n"/>
      <c r="J109" s="20">
        <f>IF(H109&lt;&gt;"", IF(AND(C109=H109, D109=I109), "ACERTOU", IF(OR(C109=H109, D109=I109, C109=I109, D109=H109), "PARCIALMENTE", IF(OR(H109="Não há recomendação", I109="Não há recomendação", H109="SEM RECOMENDAÇÃO", I109="SEM RECOMENDAÇÃO"), "NÃO RECOMENDOU", "ERROU"))), "")</f>
        <v/>
      </c>
      <c r="K109" s="21" t="n"/>
      <c r="L109" s="21" t="n"/>
      <c r="M109" s="21">
        <f>IF(K109&lt;&gt;"", IF(AND(C109=K109, D109=L109), "ACERTOU", IF(OR(C109=K109, D109=L109, C109=L109, D109=K109), "PARCIALMENTE", IF(OR(K109="Não há recomendação", L109="Não há recomendação", K109="SEM RECOMENDAÇÃO", L109="SEM RECOMENDAÇÃO"), "NÃO RECOMENDOU", "ERROU"))), "")</f>
        <v/>
      </c>
      <c r="N109" s="22" t="n"/>
      <c r="O109" s="22" t="n"/>
      <c r="P109" s="22">
        <f>IF(N109&lt;&gt;"", IF(AND(C109=N109, D109=O109), "ACERTOU", IF(OR(C109=N109, D109=O109, C109=O109, D109=N109), "PARCIALMENTE", IF(OR(N109="Não há recomendação", O109="Não há recomendação", N109="SEM RECOMENDAÇÃO", O109="SEM RECOMENDAÇÃO"), "NÃO RECOMENDOU", "ERROU"))), "")</f>
        <v/>
      </c>
      <c r="Q109" s="23" t="n"/>
      <c r="R109" s="23" t="n"/>
      <c r="S109" s="23" t="n"/>
    </row>
    <row r="110">
      <c r="A110" t="n">
        <v>909</v>
      </c>
      <c r="B110" s="3" t="inlineStr">
        <is>
          <t>Problema com o Acesso ao Quadro Scrum</t>
        </is>
      </c>
      <c r="C110" s="3" t="inlineStr">
        <is>
          <t>Gerenciamento de Incidentes</t>
        </is>
      </c>
      <c r="D110" s="3" t="inlineStr">
        <is>
          <t>Gerenciamento de Acesso</t>
        </is>
      </c>
      <c r="E110" s="5" t="n"/>
      <c r="F110" s="5" t="n"/>
      <c r="G110" s="6">
        <f>IF(E110&lt;&gt;"", IF(AND(C110=E110, D110=F110), "ACERTOU", IF(OR(C110=E110, D110=F110, C110=F110, D110=E110), "PARCIALMENTE", IF(OR(E110="Não há recomendação", F110="Não há recomendação", E110="SEM RECOMENDAÇÃO", F110="SEM RECOMENDAÇÃO"), "NÃO RECOMENDOU", "ERROU"))), "")</f>
        <v/>
      </c>
      <c r="H110" s="20" t="n"/>
      <c r="I110" s="20" t="n"/>
      <c r="J110" s="20">
        <f>IF(H110&lt;&gt;"", IF(AND(C110=H110, D110=I110), "ACERTOU", IF(OR(C110=H110, D110=I110, C110=I110, D110=H110), "PARCIALMENTE", IF(OR(H110="Não há recomendação", I110="Não há recomendação", H110="SEM RECOMENDAÇÃO", I110="SEM RECOMENDAÇÃO"), "NÃO RECOMENDOU", "ERROU"))), "")</f>
        <v/>
      </c>
      <c r="K110" s="21" t="n"/>
      <c r="L110" s="21" t="n"/>
      <c r="M110" s="21">
        <f>IF(K110&lt;&gt;"", IF(AND(C110=K110, D110=L110), "ACERTOU", IF(OR(C110=K110, D110=L110, C110=L110, D110=K110), "PARCIALMENTE", IF(OR(K110="Não há recomendação", L110="Não há recomendação", K110="SEM RECOMENDAÇÃO", L110="SEM RECOMENDAÇÃO"), "NÃO RECOMENDOU", "ERROU"))), "")</f>
        <v/>
      </c>
      <c r="N110" s="22" t="inlineStr">
        <is>
          <t>Gerenciamento de Acesso</t>
        </is>
      </c>
      <c r="O110" s="22" t="inlineStr">
        <is>
          <t>Gerenciamento de Incidentes</t>
        </is>
      </c>
      <c r="P110" s="22">
        <f>IF(N110&lt;&gt;"", IF(AND(C110=N110, D110=O110), "ACERTOU", IF(OR(C110=N110, D110=O110, C110=O110, D110=N110), "PARCIALMENTE", IF(OR(N110="Não há recomendação", O110="Não há recomendação", N110="SEM RECOMENDAÇÃO", O110="SEM RECOMENDAÇÃO"), "NÃO RECOMENDOU", "ERROU"))), "")</f>
        <v/>
      </c>
      <c r="Q110" s="23" t="n"/>
      <c r="R110" s="23" t="n"/>
      <c r="S110" s="23" t="n"/>
    </row>
    <row r="111">
      <c r="A111" t="n">
        <v>932</v>
      </c>
      <c r="B111" s="3" t="inlineStr">
        <is>
          <t>Interrupção Urgente do Banco de Dados</t>
        </is>
      </c>
      <c r="C111" s="3" t="inlineStr">
        <is>
          <t>Gerenciamento de Incidentes</t>
        </is>
      </c>
      <c r="D111" s="3" t="inlineStr">
        <is>
          <t>Gerenciamento de Disponibilidade</t>
        </is>
      </c>
      <c r="E111" s="5" t="n"/>
      <c r="F111" s="5" t="n"/>
      <c r="G111" s="6">
        <f>IF(E111&lt;&gt;"", IF(AND(C111=E111, D111=F111), "ACERTOU", IF(OR(C111=E111, D111=F111, C111=F111, D111=E111), "PARCIALMENTE", IF(OR(E111="Não há recomendação", F111="Não há recomendação", E111="SEM RECOMENDAÇÃO", F111="SEM RECOMENDAÇÃO"), "NÃO RECOMENDOU", "ERROU"))), "")</f>
        <v/>
      </c>
      <c r="H111" s="20" t="n"/>
      <c r="I111" s="20" t="n"/>
      <c r="J111" s="20">
        <f>IF(H111&lt;&gt;"", IF(AND(C111=H111, D111=I111), "ACERTOU", IF(OR(C111=H111, D111=I111, C111=I111, D111=H111), "PARCIALMENTE", IF(OR(H111="Não há recomendação", I111="Não há recomendação", H111="SEM RECOMENDAÇÃO", I111="SEM RECOMENDAÇÃO"), "NÃO RECOMENDOU", "ERROU"))), "")</f>
        <v/>
      </c>
      <c r="K111" s="21" t="n"/>
      <c r="L111" s="21" t="n"/>
      <c r="M111" s="21">
        <f>IF(K111&lt;&gt;"", IF(AND(C111=K111, D111=L111), "ACERTOU", IF(OR(C111=K111, D111=L111, C111=L111, D111=K111), "PARCIALMENTE", IF(OR(K111="Não há recomendação", L111="Não há recomendação", K111="SEM RECOMENDAÇÃO", L111="SEM RECOMENDAÇÃO"), "NÃO RECOMENDOU", "ERROU"))), "")</f>
        <v/>
      </c>
      <c r="N111" s="22" t="inlineStr">
        <is>
          <t>Gerenciamento de Incidentes</t>
        </is>
      </c>
      <c r="O111" s="22" t="inlineStr">
        <is>
          <t>Gerenciamento de Disponibilidade</t>
        </is>
      </c>
      <c r="P111" s="22">
        <f>IF(N111&lt;&gt;"", IF(AND(C111=N111, D111=O111), "ACERTOU", IF(OR(C111=N111, D111=O111, C111=O111, D111=N111), "PARCIALMENTE", IF(OR(N111="Não há recomendação", O111="Não há recomendação", N111="SEM RECOMENDAÇÃO", O111="SEM RECOMENDAÇÃO"), "NÃO RECOMENDOU", "ERROU"))), "")</f>
        <v/>
      </c>
      <c r="Q111" s="23" t="n"/>
      <c r="R111" s="23" t="n"/>
      <c r="S111" s="23" t="n"/>
    </row>
    <row r="112">
      <c r="A112" t="n">
        <v>935</v>
      </c>
      <c r="B112" s="3" t="inlineStr">
        <is>
          <t>Problema com a Bateria do Surface Pro</t>
        </is>
      </c>
      <c r="C112" s="3" t="inlineStr">
        <is>
          <t>Gerenciamento de Incidentes</t>
        </is>
      </c>
      <c r="D112" s="3" t="inlineStr">
        <is>
          <t>Gerenciamento de Ativos de TI</t>
        </is>
      </c>
      <c r="E112" s="5" t="n"/>
      <c r="F112" s="5" t="n"/>
      <c r="G112" s="6">
        <f>IF(E112&lt;&gt;"", IF(AND(C112=E112, D112=F112), "ACERTOU", IF(OR(C112=E112, D112=F112, C112=F112, D112=E112), "PARCIALMENTE", IF(OR(E112="Não há recomendação", F112="Não há recomendação", E112="SEM RECOMENDAÇÃO", F112="SEM RECOMENDAÇÃO"), "NÃO RECOMENDOU", "ERROU"))), "")</f>
        <v/>
      </c>
      <c r="H112" s="20" t="n"/>
      <c r="I112" s="20" t="n"/>
      <c r="J112" s="20">
        <f>IF(H112&lt;&gt;"", IF(AND(C112=H112, D112=I112), "ACERTOU", IF(OR(C112=H112, D112=I112, C112=I112, D112=H112), "PARCIALMENTE", IF(OR(H112="Não há recomendação", I112="Não há recomendação", H112="SEM RECOMENDAÇÃO", I112="SEM RECOMENDAÇÃO"), "NÃO RECOMENDOU", "ERROU"))), "")</f>
        <v/>
      </c>
      <c r="K112" s="21" t="n"/>
      <c r="L112" s="21" t="n"/>
      <c r="M112" s="21">
        <f>IF(K112&lt;&gt;"", IF(AND(C112=K112, D112=L112), "ACERTOU", IF(OR(C112=K112, D112=L112, C112=L112, D112=K112), "PARCIALMENTE", IF(OR(K112="Não há recomendação", L112="Não há recomendação", K112="SEM RECOMENDAÇÃO", L112="SEM RECOMENDAÇÃO"), "NÃO RECOMENDOU", "ERROU"))), "")</f>
        <v/>
      </c>
      <c r="N112" s="22" t="n"/>
      <c r="O112" s="22" t="n"/>
      <c r="P112" s="22">
        <f>IF(N112&lt;&gt;"", IF(AND(C112=N112, D112=O112), "ACERTOU", IF(OR(C112=N112, D112=O112, C112=O112, D112=N112), "PARCIALMENTE", IF(OR(N112="Não há recomendação", O112="Não há recomendação", N112="SEM RECOMENDAÇÃO", O112="SEM RECOMENDAÇÃO"), "NÃO RECOMENDOU", "ERROU"))), "")</f>
        <v/>
      </c>
      <c r="Q112" s="23" t="n"/>
      <c r="R112" s="23" t="n"/>
      <c r="S112" s="23" t="n"/>
    </row>
    <row r="113">
      <c r="A113" t="n">
        <v>948</v>
      </c>
      <c r="B113" s="3" t="inlineStr">
        <is>
          <t>Urgente: Tentativas de Acesso Não Autorizadas à Conta AWS</t>
        </is>
      </c>
      <c r="C113" s="3" t="inlineStr">
        <is>
          <t>Gerenciamento de Segurança da Informação</t>
        </is>
      </c>
      <c r="D113" s="3" t="inlineStr">
        <is>
          <t>Gerenciamento de Incidentes</t>
        </is>
      </c>
      <c r="E113" s="5" t="n"/>
      <c r="F113" s="5" t="n"/>
      <c r="G113" s="6">
        <f>IF(E113&lt;&gt;"", IF(AND(C113=E113, D113=F113), "ACERTOU", IF(OR(C113=E113, D113=F113, C113=F113, D113=E113), "PARCIALMENTE", IF(OR(E113="Não há recomendação", F113="Não há recomendação", E113="SEM RECOMENDAÇÃO", F113="SEM RECOMENDAÇÃO"), "NÃO RECOMENDOU", "ERROU"))), "")</f>
        <v/>
      </c>
      <c r="H113" s="20" t="n"/>
      <c r="I113" s="20" t="n"/>
      <c r="J113" s="20">
        <f>IF(H113&lt;&gt;"", IF(AND(C113=H113, D113=I113), "ACERTOU", IF(OR(C113=H113, D113=I113, C113=I113, D113=H113), "PARCIALMENTE", IF(OR(H113="Não há recomendação", I113="Não há recomendação", H113="SEM RECOMENDAÇÃO", I113="SEM RECOMENDAÇÃO"), "NÃO RECOMENDOU", "ERROU"))), "")</f>
        <v/>
      </c>
      <c r="K113" s="21" t="n"/>
      <c r="L113" s="21" t="n"/>
      <c r="M113" s="21">
        <f>IF(K113&lt;&gt;"", IF(AND(C113=K113, D113=L113), "ACERTOU", IF(OR(C113=K113, D113=L113, C113=L113, D113=K113), "PARCIALMENTE", IF(OR(K113="Não há recomendação", L113="Não há recomendação", K113="SEM RECOMENDAÇÃO", L113="SEM RECOMENDAÇÃO"), "NÃO RECOMENDOU", "ERROU"))), "")</f>
        <v/>
      </c>
      <c r="N113" s="22" t="inlineStr">
        <is>
          <t>Gerenciamento de Segurança da Informação</t>
        </is>
      </c>
      <c r="O113" s="22" t="inlineStr">
        <is>
          <t>Gerenciamento de Incidentes</t>
        </is>
      </c>
      <c r="P113" s="22">
        <f>IF(N113&lt;&gt;"", IF(AND(C113=N113, D113=O113), "ACERTOU", IF(OR(C113=N113, D113=O113, C113=O113, D113=N113), "PARCIALMENTE", IF(OR(N113="Não há recomendação", O113="Não há recomendação", N113="SEM RECOMENDAÇÃO", O113="SEM RECOMENDAÇÃO"), "NÃO RECOMENDOU", "ERROU"))), "")</f>
        <v/>
      </c>
      <c r="Q113" s="23" t="n"/>
      <c r="R113" s="23" t="n"/>
      <c r="S113" s="23" t="n"/>
    </row>
    <row r="114">
      <c r="A114" t="n">
        <v>960</v>
      </c>
      <c r="B114" s="3" t="inlineStr">
        <is>
          <t>Problema de Faturamento com o Serviço de Gerenciamento da AWS</t>
        </is>
      </c>
      <c r="C114" s="3" t="inlineStr">
        <is>
          <t>Gerenciamento Financeiro</t>
        </is>
      </c>
      <c r="D114" s="3" t="inlineStr">
        <is>
          <t>Gerenciamento de Incidentes</t>
        </is>
      </c>
      <c r="E114" s="5" t="n"/>
      <c r="F114" s="5" t="n"/>
      <c r="G114" s="6">
        <f>IF(E114&lt;&gt;"", IF(AND(C114=E114, D114=F114), "ACERTOU", IF(OR(C114=E114, D114=F114, C114=F114, D114=E114), "PARCIALMENTE", IF(OR(E114="Não há recomendação", F114="Não há recomendação", E114="SEM RECOMENDAÇÃO", F114="SEM RECOMENDAÇÃO"), "NÃO RECOMENDOU", "ERROU"))), "")</f>
        <v/>
      </c>
      <c r="H114" s="20" t="n"/>
      <c r="I114" s="20" t="n"/>
      <c r="J114" s="20">
        <f>IF(H114&lt;&gt;"", IF(AND(C114=H114, D114=I114), "ACERTOU", IF(OR(C114=H114, D114=I114, C114=I114, D114=H114), "PARCIALMENTE", IF(OR(H114="Não há recomendação", I114="Não há recomendação", H114="SEM RECOMENDAÇÃO", I114="SEM RECOMENDAÇÃO"), "NÃO RECOMENDOU", "ERROU"))), "")</f>
        <v/>
      </c>
      <c r="K114" s="21" t="n"/>
      <c r="L114" s="21" t="n"/>
      <c r="M114" s="21">
        <f>IF(K114&lt;&gt;"", IF(AND(C114=K114, D114=L114), "ACERTOU", IF(OR(C114=K114, D114=L114, C114=L114, D114=K114), "PARCIALMENTE", IF(OR(K114="Não há recomendação", L114="Não há recomendação", K114="SEM RECOMENDAÇÃO", L114="SEM RECOMENDAÇÃO"), "NÃO RECOMENDOU", "ERROU"))), "")</f>
        <v/>
      </c>
      <c r="N114" s="22" t="n"/>
      <c r="O114" s="22" t="n"/>
      <c r="P114" s="22">
        <f>IF(N114&lt;&gt;"", IF(AND(C114=N114, D114=O114), "ACERTOU", IF(OR(C114=N114, D114=O114, C114=O114, D114=N114), "PARCIALMENTE", IF(OR(N114="Não há recomendação", O114="Não há recomendação", N114="SEM RECOMENDAÇÃO", O114="SEM RECOMENDAÇÃO"), "NÃO RECOMENDOU", "ERROU"))), "")</f>
        <v/>
      </c>
      <c r="Q114" s="23" t="n"/>
      <c r="R114" s="23" t="n"/>
      <c r="S114" s="23" t="n"/>
    </row>
    <row r="115">
      <c r="A115" t="n">
        <v>967</v>
      </c>
      <c r="B115" s="3" t="inlineStr">
        <is>
          <t>Solicitação de Detalhamento da Declaração de Cobrança</t>
        </is>
      </c>
      <c r="C115" s="3" t="inlineStr">
        <is>
          <t>Gerenciamento Financeiro</t>
        </is>
      </c>
      <c r="D115" s="3" t="inlineStr">
        <is>
          <t>Solicitação de Serviço</t>
        </is>
      </c>
      <c r="E115" s="5" t="n"/>
      <c r="F115" s="5" t="n"/>
      <c r="G115" s="6">
        <f>IF(E115&lt;&gt;"", IF(AND(C115=E115, D115=F115), "ACERTOU", IF(OR(C115=E115, D115=F115, C115=F115, D115=E115), "PARCIALMENTE", IF(OR(E115="Não há recomendação", F115="Não há recomendação", E115="SEM RECOMENDAÇÃO", F115="SEM RECOMENDAÇÃO"), "NÃO RECOMENDOU", "ERROU"))), "")</f>
        <v/>
      </c>
      <c r="H115" s="20" t="n"/>
      <c r="I115" s="20" t="n"/>
      <c r="J115" s="20">
        <f>IF(H115&lt;&gt;"", IF(AND(C115=H115, D115=I115), "ACERTOU", IF(OR(C115=H115, D115=I115, C115=I115, D115=H115), "PARCIALMENTE", IF(OR(H115="Não há recomendação", I115="Não há recomendação", H115="SEM RECOMENDAÇÃO", I115="SEM RECOMENDAÇÃO"), "NÃO RECOMENDOU", "ERROU"))), "")</f>
        <v/>
      </c>
      <c r="K115" s="21" t="n"/>
      <c r="L115" s="21" t="n"/>
      <c r="M115" s="21">
        <f>IF(K115&lt;&gt;"", IF(AND(C115=K115, D115=L115), "ACERTOU", IF(OR(C115=K115, D115=L115, C115=L115, D115=K115), "PARCIALMENTE", IF(OR(K115="Não há recomendação", L115="Não há recomendação", K115="SEM RECOMENDAÇÃO", L115="SEM RECOMENDAÇÃO"), "NÃO RECOMENDOU", "ERROU"))), "")</f>
        <v/>
      </c>
      <c r="N115" s="22" t="n"/>
      <c r="O115" s="22" t="n"/>
      <c r="P115" s="22">
        <f>IF(N115&lt;&gt;"", IF(AND(C115=N115, D115=O115), "ACERTOU", IF(OR(C115=N115, D115=O115, C115=O115, D115=N115), "PARCIALMENTE", IF(OR(N115="Não há recomendação", O115="Não há recomendação", N115="SEM RECOMENDAÇÃO", O115="SEM RECOMENDAÇÃO"), "NÃO RECOMENDOU", "ERROU"))), "")</f>
        <v/>
      </c>
      <c r="Q115" s="23" t="n"/>
      <c r="R115" s="23" t="n"/>
      <c r="S115" s="23" t="n"/>
    </row>
    <row r="116">
      <c r="A116" t="n">
        <v>977</v>
      </c>
      <c r="B116" s="3" t="inlineStr">
        <is>
          <t>Urgente: Erro Grave no Sistema de Tickets</t>
        </is>
      </c>
      <c r="C116" s="3" t="inlineStr">
        <is>
          <t>Gerenciamento de Incidentes</t>
        </is>
      </c>
      <c r="D116" s="3" t="inlineStr">
        <is>
          <t>Gerenciamento de Problemas</t>
        </is>
      </c>
      <c r="E116" s="5" t="n"/>
      <c r="F116" s="5" t="n"/>
      <c r="G116" s="6">
        <f>IF(E116&lt;&gt;"", IF(AND(C116=E116, D116=F116), "ACERTOU", IF(OR(C116=E116, D116=F116, C116=F116, D116=E116), "PARCIALMENTE", IF(OR(E116="Não há recomendação", F116="Não há recomendação", E116="SEM RECOMENDAÇÃO", F116="SEM RECOMENDAÇÃO"), "NÃO RECOMENDOU", "ERROU"))), "")</f>
        <v/>
      </c>
      <c r="H116" s="20" t="n"/>
      <c r="I116" s="20" t="n"/>
      <c r="J116" s="20">
        <f>IF(H116&lt;&gt;"", IF(AND(C116=H116, D116=I116), "ACERTOU", IF(OR(C116=H116, D116=I116, C116=I116, D116=H116), "PARCIALMENTE", IF(OR(H116="Não há recomendação", I116="Não há recomendação", H116="SEM RECOMENDAÇÃO", I116="SEM RECOMENDAÇÃO"), "NÃO RECOMENDOU", "ERROU"))), "")</f>
        <v/>
      </c>
      <c r="K116" s="21" t="n"/>
      <c r="L116" s="21" t="n"/>
      <c r="M116" s="21">
        <f>IF(K116&lt;&gt;"", IF(AND(C116=K116, D116=L116), "ACERTOU", IF(OR(C116=K116, D116=L116, C116=L116, D116=K116), "PARCIALMENTE", IF(OR(K116="Não há recomendação", L116="Não há recomendação", K116="SEM RECOMENDAÇÃO", L116="SEM RECOMENDAÇÃO"), "NÃO RECOMENDOU", "ERROU"))), "")</f>
        <v/>
      </c>
      <c r="N116" s="22" t="n"/>
      <c r="O116" s="22" t="n"/>
      <c r="P116" s="22">
        <f>IF(N116&lt;&gt;"", IF(AND(C116=N116, D116=O116), "ACERTOU", IF(OR(C116=N116, D116=O116, C116=O116, D116=N116), "PARCIALMENTE", IF(OR(N116="Não há recomendação", O116="Não há recomendação", N116="SEM RECOMENDAÇÃO", O116="SEM RECOMENDAÇÃO"), "NÃO RECOMENDOU", "ERROU"))), "")</f>
        <v/>
      </c>
      <c r="Q116" s="23" t="n"/>
      <c r="R116" s="23" t="n"/>
      <c r="S116" s="23" t="n"/>
    </row>
    <row r="117">
      <c r="A117" t="n">
        <v>992</v>
      </c>
      <c r="B117" s="3" t="inlineStr">
        <is>
          <t>Urgente: Tempo de Inatividade do Serviço AWS</t>
        </is>
      </c>
      <c r="C117" s="3" t="inlineStr">
        <is>
          <t>Gerenciamento de Incidentes</t>
        </is>
      </c>
      <c r="D117" s="3" t="inlineStr">
        <is>
          <t>Gerenciamento de Disponibilidade</t>
        </is>
      </c>
      <c r="E117" s="5" t="n"/>
      <c r="F117" s="5" t="n"/>
      <c r="G117" s="6">
        <f>IF(E117&lt;&gt;"", IF(AND(C117=E117, D117=F117), "ACERTOU", IF(OR(C117=E117, D117=F117, C117=F117, D117=E117), "PARCIALMENTE", IF(OR(E117="Não há recomendação", F117="Não há recomendação", E117="SEM RECOMENDAÇÃO", F117="SEM RECOMENDAÇÃO"), "NÃO RECOMENDOU", "ERROU"))), "")</f>
        <v/>
      </c>
      <c r="H117" s="20" t="n"/>
      <c r="I117" s="20" t="n"/>
      <c r="J117" s="20">
        <f>IF(H117&lt;&gt;"", IF(AND(C117=H117, D117=I117), "ACERTOU", IF(OR(C117=H117, D117=I117, C117=I117, D117=H117), "PARCIALMENTE", IF(OR(H117="Não há recomendação", I117="Não há recomendação", H117="SEM RECOMENDAÇÃO", I117="SEM RECOMENDAÇÃO"), "NÃO RECOMENDOU", "ERROU"))), "")</f>
        <v/>
      </c>
      <c r="K117" s="21" t="n"/>
      <c r="L117" s="21" t="n"/>
      <c r="M117" s="21">
        <f>IF(K117&lt;&gt;"", IF(AND(C117=K117, D117=L117), "ACERTOU", IF(OR(C117=K117, D117=L117, C117=L117, D117=K117), "PARCIALMENTE", IF(OR(K117="Não há recomendação", L117="Não há recomendação", K117="SEM RECOMENDAÇÃO", L117="SEM RECOMENDAÇÃO"), "NÃO RECOMENDOU", "ERROU"))), "")</f>
        <v/>
      </c>
      <c r="N117" s="22" t="n"/>
      <c r="O117" s="22" t="n"/>
      <c r="P117" s="22">
        <f>IF(N117&lt;&gt;"", IF(AND(C117=N117, D117=O117), "ACERTOU", IF(OR(C117=N117, D117=O117, C117=O117, D117=N117), "PARCIALMENTE", IF(OR(N117="Não há recomendação", O117="Não há recomendação", N117="SEM RECOMENDAÇÃO", O117="SEM RECOMENDAÇÃO"), "NÃO RECOMENDOU", "ERROU"))), "")</f>
        <v/>
      </c>
      <c r="Q117" s="23" t="n"/>
      <c r="R117" s="23" t="n"/>
      <c r="S117" s="23" t="n"/>
    </row>
    <row r="118">
      <c r="A118" t="n">
        <v>994</v>
      </c>
      <c r="B118" s="3" t="inlineStr">
        <is>
          <t>Modificações Necessárias para o Sistema de Chamadas de TI</t>
        </is>
      </c>
      <c r="C118" s="3" t="inlineStr">
        <is>
          <t>Solicitação de Serviço</t>
        </is>
      </c>
      <c r="D118" s="3" t="inlineStr">
        <is>
          <t>Gerenciamento de Mudanças</t>
        </is>
      </c>
      <c r="E118" s="5" t="n"/>
      <c r="F118" s="5" t="n"/>
      <c r="G118" s="6">
        <f>IF(E118&lt;&gt;"", IF(AND(C118=E118, D118=F118), "ACERTOU", IF(OR(C118=E118, D118=F118, C118=F118, D118=E118), "PARCIALMENTE", IF(OR(E118="Não há recomendação", F118="Não há recomendação", E118="SEM RECOMENDAÇÃO", F118="SEM RECOMENDAÇÃO"), "NÃO RECOMENDOU", "ERROU"))), "")</f>
        <v/>
      </c>
      <c r="H118" s="20" t="n"/>
      <c r="I118" s="20" t="n"/>
      <c r="J118" s="20">
        <f>IF(H118&lt;&gt;"", IF(AND(C118=H118, D118=I118), "ACERTOU", IF(OR(C118=H118, D118=I118, C118=I118, D118=H118), "PARCIALMENTE", IF(OR(H118="Não há recomendação", I118="Não há recomendação", H118="SEM RECOMENDAÇÃO", I118="SEM RECOMENDAÇÃO"), "NÃO RECOMENDOU", "ERROU"))), "")</f>
        <v/>
      </c>
      <c r="K118" s="21" t="n"/>
      <c r="L118" s="21" t="n"/>
      <c r="M118" s="21">
        <f>IF(K118&lt;&gt;"", IF(AND(C118=K118, D118=L118), "ACERTOU", IF(OR(C118=K118, D118=L118, C118=L118, D118=K118), "PARCIALMENTE", IF(OR(K118="Não há recomendação", L118="Não há recomendação", K118="SEM RECOMENDAÇÃO", L118="SEM RECOMENDAÇÃO"), "NÃO RECOMENDOU", "ERROU"))), "")</f>
        <v/>
      </c>
      <c r="N118" s="22" t="inlineStr">
        <is>
          <t>Gerenciamento de Requisições de Serviço</t>
        </is>
      </c>
      <c r="O118" s="22" t="inlineStr">
        <is>
          <t>Melhoria Contínua</t>
        </is>
      </c>
      <c r="P118" s="22">
        <f>IF(N118&lt;&gt;"", IF(AND(C118=N118, D118=O118), "ACERTOU", IF(OR(C118=N118, D118=O118, C118=O118, D118=N118), "PARCIALMENTE", IF(OR(N118="Não há recomendação", O118="Não há recomendação", N118="SEM RECOMENDAÇÃO", O118="SEM RECOMENDAÇÃO"), "NÃO RECOMENDOU", "ERROU"))), "")</f>
        <v/>
      </c>
      <c r="Q118" s="23" t="n"/>
      <c r="R118" s="23" t="n"/>
      <c r="S118" s="23" t="n"/>
    </row>
    <row r="119">
      <c r="A119" t="n">
        <v>997</v>
      </c>
      <c r="B119" s="3" t="inlineStr">
        <is>
          <t>Assistência Urgente Necessária para Tempo de Inatividade do Servidor</t>
        </is>
      </c>
      <c r="C119" s="3" t="inlineStr">
        <is>
          <t>Gerenciamento de Incidentes</t>
        </is>
      </c>
      <c r="D119" s="3" t="inlineStr">
        <is>
          <t>Gerenciamento de Disponibilidade</t>
        </is>
      </c>
      <c r="E119" s="5" t="n"/>
      <c r="F119" s="5" t="n"/>
      <c r="G119" s="6">
        <f>IF(E119&lt;&gt;"", IF(AND(C119=E119, D119=F119), "ACERTOU", IF(OR(C119=E119, D119=F119, C119=F119, D119=E119), "PARCIALMENTE", IF(OR(E119="Não há recomendação", F119="Não há recomendação", E119="SEM RECOMENDAÇÃO", F119="SEM RECOMENDAÇÃO"), "NÃO RECOMENDOU", "ERROU"))), "")</f>
        <v/>
      </c>
      <c r="H119" s="20" t="n"/>
      <c r="I119" s="20" t="n"/>
      <c r="J119" s="20">
        <f>IF(H119&lt;&gt;"", IF(AND(C119=H119, D119=I119), "ACERTOU", IF(OR(C119=H119, D119=I119, C119=I119, D119=H119), "PARCIALMENTE", IF(OR(H119="Não há recomendação", I119="Não há recomendação", H119="SEM RECOMENDAÇÃO", I119="SEM RECOMENDAÇÃO"), "NÃO RECOMENDOU", "ERROU"))), "")</f>
        <v/>
      </c>
      <c r="K119" s="21" t="n"/>
      <c r="L119" s="21" t="n"/>
      <c r="M119" s="21">
        <f>IF(K119&lt;&gt;"", IF(AND(C119=K119, D119=L119), "ACERTOU", IF(OR(C119=K119, D119=L119, C119=L119, D119=K119), "PARCIALMENTE", IF(OR(K119="Não há recomendação", L119="Não há recomendação", K119="SEM RECOMENDAÇÃO", L119="SEM RECOMENDAÇÃO"), "NÃO RECOMENDOU", "ERROU"))), "")</f>
        <v/>
      </c>
      <c r="N119" s="22" t="n"/>
      <c r="O119" s="22" t="n"/>
      <c r="P119" s="22">
        <f>IF(N119&lt;&gt;"", IF(AND(C119=N119, D119=O119), "ACERTOU", IF(OR(C119=N119, D119=O119, C119=O119, D119=N119), "PARCIALMENTE", IF(OR(N119="Não há recomendação", O119="Não há recomendação", N119="SEM RECOMENDAÇÃO", O119="SEM RECOMENDAÇÃO"), "NÃO RECOMENDOU", "ERROU"))), "")</f>
        <v/>
      </c>
      <c r="Q119" s="23" t="n"/>
      <c r="R119" s="23" t="n"/>
      <c r="S119" s="23" t="n"/>
    </row>
    <row r="120">
      <c r="A120" t="n">
        <v>1000</v>
      </c>
      <c r="B120" s="3" t="inlineStr">
        <is>
          <t>Urgente: Problema com Dell XPS 13</t>
        </is>
      </c>
      <c r="C120" s="3" t="inlineStr">
        <is>
          <t>Gerenciamento de Incidentes</t>
        </is>
      </c>
      <c r="D120" s="3" t="inlineStr">
        <is>
          <t>Gerenciamento de Ativos de TI</t>
        </is>
      </c>
      <c r="E120" s="5" t="n"/>
      <c r="F120" s="5" t="n"/>
      <c r="G120" s="6">
        <f>IF(E120&lt;&gt;"", IF(AND(C120=E120, D120=F120), "ACERTOU", IF(OR(C120=E120, D120=F120, C120=F120, D120=E120), "PARCIALMENTE", IF(OR(E120="Não há recomendação", F120="Não há recomendação", E120="SEM RECOMENDAÇÃO", F120="SEM RECOMENDAÇÃO"), "NÃO RECOMENDOU", "ERROU"))), "")</f>
        <v/>
      </c>
      <c r="H120" s="20" t="n"/>
      <c r="I120" s="20" t="n"/>
      <c r="J120" s="20">
        <f>IF(H120&lt;&gt;"", IF(AND(C120=H120, D120=I120), "ACERTOU", IF(OR(C120=H120, D120=I120, C120=I120, D120=H120), "PARCIALMENTE", IF(OR(H120="Não há recomendação", I120="Não há recomendação", H120="SEM RECOMENDAÇÃO", I120="SEM RECOMENDAÇÃO"), "NÃO RECOMENDOU", "ERROU"))), "")</f>
        <v/>
      </c>
      <c r="K120" s="21" t="n"/>
      <c r="L120" s="21" t="n"/>
      <c r="M120" s="21">
        <f>IF(K120&lt;&gt;"", IF(AND(C120=K120, D120=L120), "ACERTOU", IF(OR(C120=K120, D120=L120, C120=L120, D120=K120), "PARCIALMENTE", IF(OR(K120="Não há recomendação", L120="Não há recomendação", K120="SEM RECOMENDAÇÃO", L120="SEM RECOMENDAÇÃO"), "NÃO RECOMENDOU", "ERROU"))), "")</f>
        <v/>
      </c>
      <c r="N120" s="22" t="n"/>
      <c r="O120" s="22" t="n"/>
      <c r="P120" s="22">
        <f>IF(N120&lt;&gt;"", IF(AND(C120=N120, D120=O120), "ACERTOU", IF(OR(C120=N120, D120=O120, C120=O120, D120=N120), "PARCIALMENTE", IF(OR(N120="Não há recomendação", O120="Não há recomendação", N120="SEM RECOMENDAÇÃO", O120="SEM RECOMENDAÇÃO"), "NÃO RECOMENDOU", "ERROU"))), "")</f>
        <v/>
      </c>
      <c r="Q120" s="23" t="n"/>
      <c r="R120" s="23" t="n"/>
      <c r="S120" s="23" t="n"/>
    </row>
    <row r="121">
      <c r="A121" t="n">
        <v>1001</v>
      </c>
      <c r="B121" s="3" t="inlineStr">
        <is>
          <t>Problema de impressão sem fio da HP DeskJet 3755</t>
        </is>
      </c>
      <c r="C121" s="3" t="inlineStr">
        <is>
          <t>Gerenciamento de Incidentes</t>
        </is>
      </c>
      <c r="D121" s="3" t="inlineStr">
        <is>
          <t>Gerenciamento de Problemas</t>
        </is>
      </c>
      <c r="E121" s="5" t="n"/>
      <c r="F121" s="5" t="n"/>
      <c r="G121" s="6">
        <f>IF(E121&lt;&gt;"", IF(AND(C121=E121, D121=F121), "ACERTOU", IF(OR(C121=E121, D121=F121, C121=F121, D121=E121), "PARCIALMENTE", IF(OR(E121="Não há recomendação", F121="Não há recomendação", E121="SEM RECOMENDAÇÃO", F121="SEM RECOMENDAÇÃO"), "NÃO RECOMENDOU", "ERROU"))), "")</f>
        <v/>
      </c>
      <c r="H121" s="20" t="n"/>
      <c r="I121" s="20" t="n"/>
      <c r="J121" s="20">
        <f>IF(H121&lt;&gt;"", IF(AND(C121=H121, D121=I121), "ACERTOU", IF(OR(C121=H121, D121=I121, C121=I121, D121=H121), "PARCIALMENTE", IF(OR(H121="Não há recomendação", I121="Não há recomendação", H121="SEM RECOMENDAÇÃO", I121="SEM RECOMENDAÇÃO"), "NÃO RECOMENDOU", "ERROU"))), "")</f>
        <v/>
      </c>
      <c r="K121" s="21" t="n"/>
      <c r="L121" s="21" t="n"/>
      <c r="M121" s="21">
        <f>IF(K121&lt;&gt;"", IF(AND(C121=K121, D121=L121), "ACERTOU", IF(OR(C121=K121, D121=L121, C121=L121, D121=K121), "PARCIALMENTE", IF(OR(K121="Não há recomendação", L121="Não há recomendação", K121="SEM RECOMENDAÇÃO", L121="SEM RECOMENDAÇÃO"), "NÃO RECOMENDOU", "ERROU"))), "")</f>
        <v/>
      </c>
      <c r="N121" s="22" t="n"/>
      <c r="O121" s="22" t="n"/>
      <c r="P121" s="22">
        <f>IF(N121&lt;&gt;"", IF(AND(C121=N121, D121=O121), "ACERTOU", IF(OR(C121=N121, D121=O121, C121=O121, D121=N121), "PARCIALMENTE", IF(OR(N121="Não há recomendação", O121="Não há recomendação", N121="SEM RECOMENDAÇÃO", O121="SEM RECOMENDAÇÃO"), "NÃO RECOMENDOU", "ERROU"))), "")</f>
        <v/>
      </c>
      <c r="Q121" s="23" t="n"/>
      <c r="R121" s="23" t="n"/>
      <c r="S121" s="23" t="n"/>
    </row>
    <row r="122">
      <c r="A122" t="n">
        <v>1008</v>
      </c>
      <c r="B122" s="3" t="inlineStr">
        <is>
          <t>Assistência Necessária para Gestão da AWS</t>
        </is>
      </c>
      <c r="C122" s="3" t="inlineStr">
        <is>
          <t>Solicitação de Serviço</t>
        </is>
      </c>
      <c r="D122" s="3" t="inlineStr">
        <is>
          <t>Gerenciamento Financeiro</t>
        </is>
      </c>
      <c r="E122" s="5" t="n"/>
      <c r="F122" s="5" t="n"/>
      <c r="G122" s="6">
        <f>IF(E122&lt;&gt;"", IF(AND(C122=E122, D122=F122), "ACERTOU", IF(OR(C122=E122, D122=F122, C122=F122, D122=E122), "PARCIALMENTE", IF(OR(E122="Não há recomendação", F122="Não há recomendação", E122="SEM RECOMENDAÇÃO", F122="SEM RECOMENDAÇÃO"), "NÃO RECOMENDOU", "ERROU"))), "")</f>
        <v/>
      </c>
      <c r="H122" s="20" t="n"/>
      <c r="I122" s="20" t="n"/>
      <c r="J122" s="20">
        <f>IF(H122&lt;&gt;"", IF(AND(C122=H122, D122=I122), "ACERTOU", IF(OR(C122=H122, D122=I122, C122=I122, D122=H122), "PARCIALMENTE", IF(OR(H122="Não há recomendação", I122="Não há recomendação", H122="SEM RECOMENDAÇÃO", I122="SEM RECOMENDAÇÃO"), "NÃO RECOMENDOU", "ERROU"))), "")</f>
        <v/>
      </c>
      <c r="K122" s="21" t="n"/>
      <c r="L122" s="21" t="n"/>
      <c r="M122" s="21">
        <f>IF(K122&lt;&gt;"", IF(AND(C122=K122, D122=L122), "ACERTOU", IF(OR(C122=K122, D122=L122, C122=L122, D122=K122), "PARCIALMENTE", IF(OR(K122="Não há recomendação", L122="Não há recomendação", K122="SEM RECOMENDAÇÃO", L122="SEM RECOMENDAÇÃO"), "NÃO RECOMENDOU", "ERROU"))), "")</f>
        <v/>
      </c>
      <c r="N122" s="22" t="inlineStr">
        <is>
          <t>Gerenciamento de Nível de Serviço</t>
        </is>
      </c>
      <c r="O122" s="22" t="inlineStr">
        <is>
          <t>Gerenciamento Financeiro de TI</t>
        </is>
      </c>
      <c r="P122" s="22">
        <f>IF(N122&lt;&gt;"", IF(AND(C122=N122, D122=O122), "ACERTOU", IF(OR(C122=N122, D122=O122, C122=O122, D122=N122), "PARCIALMENTE", IF(OR(N122="Não há recomendação", O122="Não há recomendação", N122="SEM RECOMENDAÇÃO", O122="SEM RECOMENDAÇÃO"), "NÃO RECOMENDOU", "ERROU"))), "")</f>
        <v/>
      </c>
      <c r="Q122" s="23" t="n"/>
      <c r="R122" s="23" t="n"/>
      <c r="S122" s="23" t="n"/>
    </row>
    <row r="123">
      <c r="A123" t="n">
        <v>1010</v>
      </c>
      <c r="B123" s="3" t="inlineStr">
        <is>
          <t>Problema Urgente no Banco de Dados MySQL 8.0.30</t>
        </is>
      </c>
      <c r="C123" s="3" t="inlineStr">
        <is>
          <t>Gerenciamento de Incidentes</t>
        </is>
      </c>
      <c r="D123" s="3" t="inlineStr">
        <is>
          <t>Gerenciamento de Problemas</t>
        </is>
      </c>
      <c r="E123" s="5" t="n"/>
      <c r="F123" s="5" t="n"/>
      <c r="G123" s="6">
        <f>IF(E123&lt;&gt;"", IF(AND(C123=E123, D123=F123), "ACERTOU", IF(OR(C123=E123, D123=F123, C123=F123, D123=E123), "PARCIALMENTE", IF(OR(E123="Não há recomendação", F123="Não há recomendação", E123="SEM RECOMENDAÇÃO", F123="SEM RECOMENDAÇÃO"), "NÃO RECOMENDOU", "ERROU"))), "")</f>
        <v/>
      </c>
      <c r="H123" s="20" t="n"/>
      <c r="I123" s="20" t="n"/>
      <c r="J123" s="20">
        <f>IF(H123&lt;&gt;"", IF(AND(C123=H123, D123=I123), "ACERTOU", IF(OR(C123=H123, D123=I123, C123=I123, D123=H123), "PARCIALMENTE", IF(OR(H123="Não há recomendação", I123="Não há recomendação", H123="SEM RECOMENDAÇÃO", I123="SEM RECOMENDAÇÃO"), "NÃO RECOMENDOU", "ERROU"))), "")</f>
        <v/>
      </c>
      <c r="K123" s="21" t="n"/>
      <c r="L123" s="21" t="n"/>
      <c r="M123" s="21">
        <f>IF(K123&lt;&gt;"", IF(AND(C123=K123, D123=L123), "ACERTOU", IF(OR(C123=K123, D123=L123, C123=L123, D123=K123), "PARCIALMENTE", IF(OR(K123="Não há recomendação", L123="Não há recomendação", K123="SEM RECOMENDAÇÃO", L123="SEM RECOMENDAÇÃO"), "NÃO RECOMENDOU", "ERROU"))), "")</f>
        <v/>
      </c>
      <c r="N123" s="22" t="inlineStr">
        <is>
          <t>Gerenciamento de Mudanças</t>
        </is>
      </c>
      <c r="O123" s="22" t="inlineStr">
        <is>
          <t>Gerenciamento de Problemas</t>
        </is>
      </c>
      <c r="P123" s="22">
        <f>IF(N123&lt;&gt;"", IF(AND(C123=N123, D123=O123), "ACERTOU", IF(OR(C123=N123, D123=O123, C123=O123, D123=N123), "PARCIALMENTE", IF(OR(N123="Não há recomendação", O123="Não há recomendação", N123="SEM RECOMENDAÇÃO", O123="SEM RECOMENDAÇÃO"), "NÃO RECOMENDOU", "ERROU"))), "")</f>
        <v/>
      </c>
      <c r="Q123" s="23" t="n"/>
      <c r="R123" s="23" t="n"/>
      <c r="S123" s="23" t="n"/>
    </row>
    <row r="124">
      <c r="A124" t="n">
        <v>1014</v>
      </c>
      <c r="B124" s="3" t="inlineStr">
        <is>
          <t>Complicações de Sincronização</t>
        </is>
      </c>
      <c r="C124" s="3" t="inlineStr">
        <is>
          <t>Gerenciamento de Incidentes</t>
        </is>
      </c>
      <c r="D124" s="3" t="inlineStr">
        <is>
          <t>Gerenciamento de Problemas</t>
        </is>
      </c>
      <c r="E124" s="5" t="n"/>
      <c r="F124" s="5" t="n"/>
      <c r="G124" s="6">
        <f>IF(E124&lt;&gt;"", IF(AND(C124=E124, D124=F124), "ACERTOU", IF(OR(C124=E124, D124=F124, C124=F124, D124=E124), "PARCIALMENTE", IF(OR(E124="Não há recomendação", F124="Não há recomendação", E124="SEM RECOMENDAÇÃO", F124="SEM RECOMENDAÇÃO"), "NÃO RECOMENDOU", "ERROU"))), "")</f>
        <v/>
      </c>
      <c r="H124" s="20" t="n"/>
      <c r="I124" s="20" t="n"/>
      <c r="J124" s="20">
        <f>IF(H124&lt;&gt;"", IF(AND(C124=H124, D124=I124), "ACERTOU", IF(OR(C124=H124, D124=I124, C124=I124, D124=H124), "PARCIALMENTE", IF(OR(H124="Não há recomendação", I124="Não há recomendação", H124="SEM RECOMENDAÇÃO", I124="SEM RECOMENDAÇÃO"), "NÃO RECOMENDOU", "ERROU"))), "")</f>
        <v/>
      </c>
      <c r="K124" s="21" t="n"/>
      <c r="L124" s="21" t="n"/>
      <c r="M124" s="21">
        <f>IF(K124&lt;&gt;"", IF(AND(C124=K124, D124=L124), "ACERTOU", IF(OR(C124=K124, D124=L124, C124=L124, D124=K124), "PARCIALMENTE", IF(OR(K124="Não há recomendação", L124="Não há recomendação", K124="SEM RECOMENDAÇÃO", L124="SEM RECOMENDAÇÃO"), "NÃO RECOMENDOU", "ERROU"))), "")</f>
        <v/>
      </c>
      <c r="N124" s="22" t="inlineStr">
        <is>
          <t>Gerenciamento de Incidentes</t>
        </is>
      </c>
      <c r="O124" s="22" t="inlineStr">
        <is>
          <t>Gerenciamento de Configuração</t>
        </is>
      </c>
      <c r="P124" s="22">
        <f>IF(N124&lt;&gt;"", IF(AND(C124=N124, D124=O124), "ACERTOU", IF(OR(C124=N124, D124=O124, C124=O124, D124=N124), "PARCIALMENTE", IF(OR(N124="Não há recomendação", O124="Não há recomendação", N124="SEM RECOMENDAÇÃO", O124="SEM RECOMENDAÇÃO"), "NÃO RECOMENDOU", "ERROU"))), "")</f>
        <v/>
      </c>
      <c r="Q124" s="23" t="n"/>
      <c r="R124" s="23" t="n"/>
      <c r="S124" s="23" t="n"/>
    </row>
    <row r="125">
      <c r="A125" t="n">
        <v>1029</v>
      </c>
      <c r="B125" s="3" t="inlineStr">
        <is>
          <t>Problemas técnicos com o Jira Software afetando o fluxo de trabalho da equipe</t>
        </is>
      </c>
      <c r="C125" s="3" t="inlineStr">
        <is>
          <t>Gerenciamento de Incidentes</t>
        </is>
      </c>
      <c r="D125" s="3" t="inlineStr">
        <is>
          <t>Gerenciamento de Problemas</t>
        </is>
      </c>
      <c r="E125" s="5" t="n"/>
      <c r="F125" s="5" t="n"/>
      <c r="G125" s="6">
        <f>IF(E125&lt;&gt;"", IF(AND(C125=E125, D125=F125), "ACERTOU", IF(OR(C125=E125, D125=F125, C125=F125, D125=E125), "PARCIALMENTE", IF(OR(E125="Não há recomendação", F125="Não há recomendação", E125="SEM RECOMENDAÇÃO", F125="SEM RECOMENDAÇÃO"), "NÃO RECOMENDOU", "ERROU"))), "")</f>
        <v/>
      </c>
      <c r="H125" s="20" t="n"/>
      <c r="I125" s="20" t="n"/>
      <c r="J125" s="20">
        <f>IF(H125&lt;&gt;"", IF(AND(C125=H125, D125=I125), "ACERTOU", IF(OR(C125=H125, D125=I125, C125=I125, D125=H125), "PARCIALMENTE", IF(OR(H125="Não há recomendação", I125="Não há recomendação", H125="SEM RECOMENDAÇÃO", I125="SEM RECOMENDAÇÃO"), "NÃO RECOMENDOU", "ERROU"))), "")</f>
        <v/>
      </c>
      <c r="K125" s="21" t="n"/>
      <c r="L125" s="21" t="n"/>
      <c r="M125" s="21">
        <f>IF(K125&lt;&gt;"", IF(AND(C125=K125, D125=L125), "ACERTOU", IF(OR(C125=K125, D125=L125, C125=L125, D125=K125), "PARCIALMENTE", IF(OR(K125="Não há recomendação", L125="Não há recomendação", K125="SEM RECOMENDAÇÃO", L125="SEM RECOMENDAÇÃO"), "NÃO RECOMENDOU", "ERROU"))), "")</f>
        <v/>
      </c>
      <c r="N125" s="22" t="inlineStr">
        <is>
          <t>Gerenciamento de Problemas</t>
        </is>
      </c>
      <c r="O125" s="22" t="inlineStr">
        <is>
          <t>Gerenciamento de Disponibilidade</t>
        </is>
      </c>
      <c r="P125" s="22">
        <f>IF(N125&lt;&gt;"", IF(AND(C125=N125, D125=O125), "ACERTOU", IF(OR(C125=N125, D125=O125, C125=O125, D125=N125), "PARCIALMENTE", IF(OR(N125="Não há recomendação", O125="Não há recomendação", N125="SEM RECOMENDAÇÃO", O125="SEM RECOMENDAÇÃO"), "NÃO RECOMENDOU", "ERROU"))), "")</f>
        <v/>
      </c>
      <c r="Q125" s="23" t="n"/>
      <c r="R125" s="23" t="n"/>
      <c r="S125" s="23" t="n"/>
    </row>
    <row r="126">
      <c r="A126" t="n">
        <v>1031</v>
      </c>
      <c r="B126" s="3" t="inlineStr">
        <is>
          <t>Preciso de ajuda para configurar a impressora Canon</t>
        </is>
      </c>
      <c r="C126" s="3" t="inlineStr">
        <is>
          <t>Solicitação de Serviço</t>
        </is>
      </c>
      <c r="D126" s="3" t="inlineStr">
        <is>
          <t>Gerenciamento de Incidentes</t>
        </is>
      </c>
      <c r="E126" s="5" t="n"/>
      <c r="F126" s="5" t="n"/>
      <c r="G126" s="6">
        <f>IF(E126&lt;&gt;"", IF(AND(C126=E126, D126=F126), "ACERTOU", IF(OR(C126=E126, D126=F126, C126=F126, D126=E126), "PARCIALMENTE", IF(OR(E126="Não há recomendação", F126="Não há recomendação", E126="SEM RECOMENDAÇÃO", F126="SEM RECOMENDAÇÃO"), "NÃO RECOMENDOU", "ERROU"))), "")</f>
        <v/>
      </c>
      <c r="H126" s="20" t="n"/>
      <c r="I126" s="20" t="n"/>
      <c r="J126" s="20">
        <f>IF(H126&lt;&gt;"", IF(AND(C126=H126, D126=I126), "ACERTOU", IF(OR(C126=H126, D126=I126, C126=I126, D126=H126), "PARCIALMENTE", IF(OR(H126="Não há recomendação", I126="Não há recomendação", H126="SEM RECOMENDAÇÃO", I126="SEM RECOMENDAÇÃO"), "NÃO RECOMENDOU", "ERROU"))), "")</f>
        <v/>
      </c>
      <c r="K126" s="21" t="n"/>
      <c r="L126" s="21" t="n"/>
      <c r="M126" s="21">
        <f>IF(K126&lt;&gt;"", IF(AND(C126=K126, D126=L126), "ACERTOU", IF(OR(C126=K126, D126=L126, C126=L126, D126=K126), "PARCIALMENTE", IF(OR(K126="Não há recomendação", L126="Não há recomendação", K126="SEM RECOMENDAÇÃO", L126="SEM RECOMENDAÇÃO"), "NÃO RECOMENDOU", "ERROU"))), "")</f>
        <v/>
      </c>
      <c r="N126" s="22" t="inlineStr">
        <is>
          <t>Central de Serviços</t>
        </is>
      </c>
      <c r="O126" s="22" t="inlineStr">
        <is>
          <t>Não se aplica</t>
        </is>
      </c>
      <c r="P126" s="22">
        <f>IF(N126&lt;&gt;"", IF(AND(C126=N126, D126=O126), "ACERTOU", IF(OR(C126=N126, D126=O126, C126=O126, D126=N126), "PARCIALMENTE", IF(OR(N126="Não há recomendação", O126="Não há recomendação", N126="SEM RECOMENDAÇÃO", O126="SEM RECOMENDAÇÃO"), "NÃO RECOMENDOU", "ERROU"))), "")</f>
        <v/>
      </c>
      <c r="Q126" s="23" t="n"/>
      <c r="R126" s="23" t="n"/>
      <c r="S126" s="23" t="n"/>
    </row>
    <row r="127">
      <c r="A127" t="n">
        <v>1034</v>
      </c>
      <c r="B127" s="3" t="inlineStr">
        <is>
          <t>Assistência Urgente Necessária: Inatividade do Cisco ISR4331</t>
        </is>
      </c>
      <c r="C127" s="3" t="inlineStr">
        <is>
          <t>Gerenciamento de Incidentes</t>
        </is>
      </c>
      <c r="D127" s="3" t="inlineStr">
        <is>
          <t>Gerenciamento de Disponibilidade</t>
        </is>
      </c>
      <c r="E127" s="5" t="n"/>
      <c r="F127" s="5" t="n"/>
      <c r="G127" s="6">
        <f>IF(E127&lt;&gt;"", IF(AND(C127=E127, D127=F127), "ACERTOU", IF(OR(C127=E127, D127=F127, C127=F127, D127=E127), "PARCIALMENTE", IF(OR(E127="Não há recomendação", F127="Não há recomendação", E127="SEM RECOMENDAÇÃO", F127="SEM RECOMENDAÇÃO"), "NÃO RECOMENDOU", "ERROU"))), "")</f>
        <v/>
      </c>
      <c r="H127" s="20" t="n"/>
      <c r="I127" s="20" t="n"/>
      <c r="J127" s="20">
        <f>IF(H127&lt;&gt;"", IF(AND(C127=H127, D127=I127), "ACERTOU", IF(OR(C127=H127, D127=I127, C127=I127, D127=H127), "PARCIALMENTE", IF(OR(H127="Não há recomendação", I127="Não há recomendação", H127="SEM RECOMENDAÇÃO", I127="SEM RECOMENDAÇÃO"), "NÃO RECOMENDOU", "ERROU"))), "")</f>
        <v/>
      </c>
      <c r="K127" s="21" t="n"/>
      <c r="L127" s="21" t="n"/>
      <c r="M127" s="21">
        <f>IF(K127&lt;&gt;"", IF(AND(C127=K127, D127=L127), "ACERTOU", IF(OR(C127=K127, D127=L127, C127=L127, D127=K127), "PARCIALMENTE", IF(OR(K127="Não há recomendação", L127="Não há recomendação", K127="SEM RECOMENDAÇÃO", L127="SEM RECOMENDAÇÃO"), "NÃO RECOMENDOU", "ERROU"))), "")</f>
        <v/>
      </c>
      <c r="N127" s="22" t="inlineStr">
        <is>
          <t>Gerenciamento de Incidentes</t>
        </is>
      </c>
      <c r="O127" s="22" t="inlineStr">
        <is>
          <t>Gerenciamento de Disponibilidade</t>
        </is>
      </c>
      <c r="P127" s="22">
        <f>IF(N127&lt;&gt;"", IF(AND(C127=N127, D127=O127), "ACERTOU", IF(OR(C127=N127, D127=O127, C127=O127, D127=N127), "PARCIALMENTE", IF(OR(N127="Não há recomendação", O127="Não há recomendação", N127="SEM RECOMENDAÇÃO", O127="SEM RECOMENDAÇÃO"), "NÃO RECOMENDOU", "ERROU"))), "")</f>
        <v/>
      </c>
      <c r="Q127" s="23" t="n"/>
      <c r="R127" s="23" t="n"/>
      <c r="S127" s="23" t="n"/>
    </row>
    <row r="128">
      <c r="A128" t="n">
        <v>1062</v>
      </c>
      <c r="B128" s="3" t="inlineStr">
        <is>
          <t>Problema de Não Salvamento de Planilhas do Excel no Office 365</t>
        </is>
      </c>
      <c r="C128" s="3" t="inlineStr">
        <is>
          <t>Gerenciamento de Incidentes</t>
        </is>
      </c>
      <c r="D128" s="3" t="inlineStr">
        <is>
          <t>Gerenciamento de Problemas</t>
        </is>
      </c>
      <c r="E128" s="5" t="n"/>
      <c r="F128" s="5" t="n"/>
      <c r="G128" s="6">
        <f>IF(E128&lt;&gt;"", IF(AND(C128=E128, D128=F128), "ACERTOU", IF(OR(C128=E128, D128=F128, C128=F128, D128=E128), "PARCIALMENTE", IF(OR(E128="Não há recomendação", F128="Não há recomendação", E128="SEM RECOMENDAÇÃO", F128="SEM RECOMENDAÇÃO"), "NÃO RECOMENDOU", "ERROU"))), "")</f>
        <v/>
      </c>
      <c r="H128" s="20" t="n"/>
      <c r="I128" s="20" t="n"/>
      <c r="J128" s="20">
        <f>IF(H128&lt;&gt;"", IF(AND(C128=H128, D128=I128), "ACERTOU", IF(OR(C128=H128, D128=I128, C128=I128, D128=H128), "PARCIALMENTE", IF(OR(H128="Não há recomendação", I128="Não há recomendação", H128="SEM RECOMENDAÇÃO", I128="SEM RECOMENDAÇÃO"), "NÃO RECOMENDOU", "ERROU"))), "")</f>
        <v/>
      </c>
      <c r="K128" s="21" t="n"/>
      <c r="L128" s="21" t="n"/>
      <c r="M128" s="21">
        <f>IF(K128&lt;&gt;"", IF(AND(C128=K128, D128=L128), "ACERTOU", IF(OR(C128=K128, D128=L128, C128=L128, D128=K128), "PARCIALMENTE", IF(OR(K128="Não há recomendação", L128="Não há recomendação", K128="SEM RECOMENDAÇÃO", L128="SEM RECOMENDAÇÃO"), "NÃO RECOMENDOU", "ERROU"))), "")</f>
        <v/>
      </c>
      <c r="N128" s="22" t="inlineStr">
        <is>
          <t>Gerenciamento de Incidentes</t>
        </is>
      </c>
      <c r="O128" s="22" t="inlineStr">
        <is>
          <t>Gerenciamento de Configuração</t>
        </is>
      </c>
      <c r="P128" s="22">
        <f>IF(N128&lt;&gt;"", IF(AND(C128=N128, D128=O128), "ACERTOU", IF(OR(C128=N128, D128=O128, C128=O128, D128=N128), "PARCIALMENTE", IF(OR(N128="Não há recomendação", O128="Não há recomendação", N128="SEM RECOMENDAÇÃO", O128="SEM RECOMENDAÇÃO"), "NÃO RECOMENDOU", "ERROU"))), "")</f>
        <v/>
      </c>
      <c r="Q128" s="23" t="n"/>
      <c r="R128" s="23" t="n"/>
      <c r="S128" s="23" t="n"/>
    </row>
    <row r="129">
      <c r="A129" t="n">
        <v>1067</v>
      </c>
      <c r="B129" s="3" t="inlineStr">
        <is>
          <t>Solicitação de Orientação sobre Otimização de Custos da AWS</t>
        </is>
      </c>
      <c r="C129" s="3" t="inlineStr">
        <is>
          <t>Solicitação de Serviço</t>
        </is>
      </c>
      <c r="D129" s="3" t="inlineStr">
        <is>
          <t>Gerenciamento Financeiro</t>
        </is>
      </c>
      <c r="E129" s="5" t="n"/>
      <c r="F129" s="5" t="n"/>
      <c r="G129" s="6">
        <f>IF(E129&lt;&gt;"", IF(AND(C129=E129, D129=F129), "ACERTOU", IF(OR(C129=E129, D129=F129, C129=F129, D129=E129), "PARCIALMENTE", IF(OR(E129="Não há recomendação", F129="Não há recomendação", E129="SEM RECOMENDAÇÃO", F129="SEM RECOMENDAÇÃO"), "NÃO RECOMENDOU", "ERROU"))), "")</f>
        <v/>
      </c>
      <c r="H129" s="20" t="n"/>
      <c r="I129" s="20" t="n"/>
      <c r="J129" s="20">
        <f>IF(H129&lt;&gt;"", IF(AND(C129=H129, D129=I129), "ACERTOU", IF(OR(C129=H129, D129=I129, C129=I129, D129=H129), "PARCIALMENTE", IF(OR(H129="Não há recomendação", I129="Não há recomendação", H129="SEM RECOMENDAÇÃO", I129="SEM RECOMENDAÇÃO"), "NÃO RECOMENDOU", "ERROU"))), "")</f>
        <v/>
      </c>
      <c r="K129" s="21" t="n"/>
      <c r="L129" s="21" t="n"/>
      <c r="M129" s="21">
        <f>IF(K129&lt;&gt;"", IF(AND(C129=K129, D129=L129), "ACERTOU", IF(OR(C129=K129, D129=L129, C129=L129, D129=K129), "PARCIALMENTE", IF(OR(K129="Não há recomendação", L129="Não há recomendação", K129="SEM RECOMENDAÇÃO", L129="SEM RECOMENDAÇÃO"), "NÃO RECOMENDOU", "ERROU"))), "")</f>
        <v/>
      </c>
      <c r="N129" s="22" t="inlineStr">
        <is>
          <t>Gerenciamento Financeiro de TI</t>
        </is>
      </c>
      <c r="O129" s="22" t="inlineStr">
        <is>
          <t>Gerenciamento de Nível de Serviço</t>
        </is>
      </c>
      <c r="P129" s="22">
        <f>IF(N129&lt;&gt;"", IF(AND(C129=N129, D129=O129), "ACERTOU", IF(OR(C129=N129, D129=O129, C129=O129, D129=N129), "PARCIALMENTE", IF(OR(N129="Não há recomendação", O129="Não há recomendação", N129="SEM RECOMENDAÇÃO", O129="SEM RECOMENDAÇÃO"), "NÃO RECOMENDOU", "ERROU"))), "")</f>
        <v/>
      </c>
      <c r="Q129" s="23" t="n"/>
      <c r="R129" s="23" t="n"/>
      <c r="S129" s="23" t="n"/>
    </row>
    <row r="130">
      <c r="A130" t="n">
        <v>1068</v>
      </c>
      <c r="B130" s="3" t="inlineStr">
        <is>
          <t>Suporte Urgente Necessário</t>
        </is>
      </c>
      <c r="C130" s="3" t="inlineStr">
        <is>
          <t>Gerenciamento de Incidentes</t>
        </is>
      </c>
      <c r="D130" s="3" t="inlineStr">
        <is>
          <t>Gerenciamento de Ativos de TI</t>
        </is>
      </c>
      <c r="E130" s="5" t="n"/>
      <c r="F130" s="5" t="n"/>
      <c r="G130" s="6">
        <f>IF(E130&lt;&gt;"", IF(AND(C130=E130, D130=F130), "ACERTOU", IF(OR(C130=E130, D130=F130, C130=F130, D130=E130), "PARCIALMENTE", IF(OR(E130="Não há recomendação", F130="Não há recomendação", E130="SEM RECOMENDAÇÃO", F130="SEM RECOMENDAÇÃO"), "NÃO RECOMENDOU", "ERROU"))), "")</f>
        <v/>
      </c>
      <c r="H130" s="20" t="n"/>
      <c r="I130" s="20" t="n"/>
      <c r="J130" s="20">
        <f>IF(H130&lt;&gt;"", IF(AND(C130=H130, D130=I130), "ACERTOU", IF(OR(C130=H130, D130=I130, C130=I130, D130=H130), "PARCIALMENTE", IF(OR(H130="Não há recomendação", I130="Não há recomendação", H130="SEM RECOMENDAÇÃO", I130="SEM RECOMENDAÇÃO"), "NÃO RECOMENDOU", "ERROU"))), "")</f>
        <v/>
      </c>
      <c r="K130" s="21" t="n"/>
      <c r="L130" s="21" t="n"/>
      <c r="M130" s="21">
        <f>IF(K130&lt;&gt;"", IF(AND(C130=K130, D130=L130), "ACERTOU", IF(OR(C130=K130, D130=L130, C130=L130, D130=K130), "PARCIALMENTE", IF(OR(K130="Não há recomendação", L130="Não há recomendação", K130="SEM RECOMENDAÇÃO", L130="SEM RECOMENDAÇÃO"), "NÃO RECOMENDOU", "ERROU"))), "")</f>
        <v/>
      </c>
      <c r="N130" s="22" t="inlineStr">
        <is>
          <t>Gerenciamento de Incidentes</t>
        </is>
      </c>
      <c r="O130" s="22" t="inlineStr">
        <is>
          <t>Gerenciamento de Ativos de TI</t>
        </is>
      </c>
      <c r="P130" s="22">
        <f>IF(N130&lt;&gt;"", IF(AND(C130=N130, D130=O130), "ACERTOU", IF(OR(C130=N130, D130=O130, C130=O130, D130=N130), "PARCIALMENTE", IF(OR(N130="Não há recomendação", O130="Não há recomendação", N130="SEM RECOMENDAÇÃO", O130="SEM RECOMENDAÇÃO"), "NÃO RECOMENDOU", "ERROU"))), "")</f>
        <v/>
      </c>
      <c r="Q130" s="23" t="n"/>
      <c r="R130" s="23" t="n"/>
      <c r="S130" s="23" t="n"/>
    </row>
    <row r="131">
      <c r="A131" t="n">
        <v>1080</v>
      </c>
      <c r="B131" s="3" t="inlineStr">
        <is>
          <t>Urgente: Crashes frequentes do servidor PostgreSQL</t>
        </is>
      </c>
      <c r="C131" s="3" t="inlineStr">
        <is>
          <t>Gerenciamento de Incidentes</t>
        </is>
      </c>
      <c r="D131" s="3" t="inlineStr">
        <is>
          <t>Gerenciamento de Disponibilidade</t>
        </is>
      </c>
      <c r="E131" s="5" t="n"/>
      <c r="F131" s="5" t="n"/>
      <c r="G131" s="6">
        <f>IF(E131&lt;&gt;"", IF(AND(C131=E131, D131=F131), "ACERTOU", IF(OR(C131=E131, D131=F131, C131=F131, D131=E131), "PARCIALMENTE", IF(OR(E131="Não há recomendação", F131="Não há recomendação", E131="SEM RECOMENDAÇÃO", F131="SEM RECOMENDAÇÃO"), "NÃO RECOMENDOU", "ERROU"))), "")</f>
        <v/>
      </c>
      <c r="H131" s="20" t="n"/>
      <c r="I131" s="20" t="n"/>
      <c r="J131" s="20">
        <f>IF(H131&lt;&gt;"", IF(AND(C131=H131, D131=I131), "ACERTOU", IF(OR(C131=H131, D131=I131, C131=I131, D131=H131), "PARCIALMENTE", IF(OR(H131="Não há recomendação", I131="Não há recomendação", H131="SEM RECOMENDAÇÃO", I131="SEM RECOMENDAÇÃO"), "NÃO RECOMENDOU", "ERROU"))), "")</f>
        <v/>
      </c>
      <c r="K131" s="21" t="n"/>
      <c r="L131" s="21" t="n"/>
      <c r="M131" s="21">
        <f>IF(K131&lt;&gt;"", IF(AND(C131=K131, D131=L131), "ACERTOU", IF(OR(C131=K131, D131=L131, C131=L131, D131=K131), "PARCIALMENTE", IF(OR(K131="Não há recomendação", L131="Não há recomendação", K131="SEM RECOMENDAÇÃO", L131="SEM RECOMENDAÇÃO"), "NÃO RECOMENDOU", "ERROU"))), "")</f>
        <v/>
      </c>
      <c r="N131" s="22" t="inlineStr">
        <is>
          <t>Gerenciamento de Problemas</t>
        </is>
      </c>
      <c r="O131" s="22" t="inlineStr">
        <is>
          <t>Gerenciamento de Disponibilidade</t>
        </is>
      </c>
      <c r="P131" s="22">
        <f>IF(N131&lt;&gt;"", IF(AND(C131=N131, D131=O131), "ACERTOU", IF(OR(C131=N131, D131=O131, C131=O131, D131=N131), "PARCIALMENTE", IF(OR(N131="Não há recomendação", O131="Não há recomendação", N131="SEM RECOMENDAÇÃO", O131="SEM RECOMENDAÇÃO"), "NÃO RECOMENDOU", "ERROU"))), "")</f>
        <v/>
      </c>
      <c r="Q131" s="23" t="n"/>
      <c r="R131" s="23" t="n"/>
      <c r="S131" s="23" t="n"/>
    </row>
    <row r="132">
      <c r="A132" t="n">
        <v>1107</v>
      </c>
      <c r="B132" s="3" t="inlineStr">
        <is>
          <t>Assistência Necessária: Problema com a Instalação do Adobe Photoshop 2024</t>
        </is>
      </c>
      <c r="C132" s="3" t="inlineStr">
        <is>
          <t>Gerenciamento de Incidentes</t>
        </is>
      </c>
      <c r="D132" s="3" t="inlineStr">
        <is>
          <t>Gerenciamento de Mudanças</t>
        </is>
      </c>
      <c r="E132" s="5" t="n"/>
      <c r="F132" s="5" t="n"/>
      <c r="G132" s="6">
        <f>IF(E132&lt;&gt;"", IF(AND(C132=E132, D132=F132), "ACERTOU", IF(OR(C132=E132, D132=F132, C132=F132, D132=E132), "PARCIALMENTE", IF(OR(E132="Não há recomendação", F132="Não há recomendação", E132="SEM RECOMENDAÇÃO", F132="SEM RECOMENDAÇÃO"), "NÃO RECOMENDOU", "ERROU"))), "")</f>
        <v/>
      </c>
      <c r="H132" s="20" t="n"/>
      <c r="I132" s="20" t="n"/>
      <c r="J132" s="20">
        <f>IF(H132&lt;&gt;"", IF(AND(C132=H132, D132=I132), "ACERTOU", IF(OR(C132=H132, D132=I132, C132=I132, D132=H132), "PARCIALMENTE", IF(OR(H132="Não há recomendação", I132="Não há recomendação", H132="SEM RECOMENDAÇÃO", I132="SEM RECOMENDAÇÃO"), "NÃO RECOMENDOU", "ERROU"))), "")</f>
        <v/>
      </c>
      <c r="K132" s="21" t="n"/>
      <c r="L132" s="21" t="n"/>
      <c r="M132" s="21">
        <f>IF(K132&lt;&gt;"", IF(AND(C132=K132, D132=L132), "ACERTOU", IF(OR(C132=K132, D132=L132, C132=L132, D132=K132), "PARCIALMENTE", IF(OR(K132="Não há recomendação", L132="Não há recomendação", K132="SEM RECOMENDAÇÃO", L132="SEM RECOMENDAÇÃO"), "NÃO RECOMENDOU", "ERROU"))), "")</f>
        <v/>
      </c>
      <c r="N132" s="22" t="inlineStr">
        <is>
          <t>Gerenciamento de Incidentes</t>
        </is>
      </c>
      <c r="O132" s="22" t="inlineStr">
        <is>
          <t>Gerenciamento de Configuração</t>
        </is>
      </c>
      <c r="P132" s="22">
        <f>IF(N132&lt;&gt;"", IF(AND(C132=N132, D132=O132), "ACERTOU", IF(OR(C132=N132, D132=O132, C132=O132, D132=N132), "PARCIALMENTE", IF(OR(N132="Não há recomendação", O132="Não há recomendação", N132="SEM RECOMENDAÇÃO", O132="SEM RECOMENDAÇÃO"), "NÃO RECOMENDOU", "ERROU"))), "")</f>
        <v/>
      </c>
      <c r="Q132" s="23" t="n"/>
      <c r="R132" s="23" t="n"/>
      <c r="S132" s="23" t="n"/>
    </row>
    <row r="133">
      <c r="A133" t="n">
        <v>1128</v>
      </c>
      <c r="B133" s="3" t="inlineStr">
        <is>
          <t>Solicitação para Atualizar Informações de Compra - MacBook Air M1</t>
        </is>
      </c>
      <c r="C133" s="3" t="inlineStr">
        <is>
          <t>Solicitação de Serviço</t>
        </is>
      </c>
      <c r="D133" s="3" t="inlineStr">
        <is>
          <t>Gerenciamento de Ativos de TI</t>
        </is>
      </c>
      <c r="E133" s="5" t="n"/>
      <c r="F133" s="5" t="n"/>
      <c r="G133" s="6">
        <f>IF(E133&lt;&gt;"", IF(AND(C133=E133, D133=F133), "ACERTOU", IF(OR(C133=E133, D133=F133, C133=F133, D133=E133), "PARCIALMENTE", IF(OR(E133="Não há recomendação", F133="Não há recomendação", E133="SEM RECOMENDAÇÃO", F133="SEM RECOMENDAÇÃO"), "NÃO RECOMENDOU", "ERROU"))), "")</f>
        <v/>
      </c>
      <c r="H133" s="20" t="n"/>
      <c r="I133" s="20" t="n"/>
      <c r="J133" s="20">
        <f>IF(H133&lt;&gt;"", IF(AND(C133=H133, D133=I133), "ACERTOU", IF(OR(C133=H133, D133=I133, C133=I133, D133=H133), "PARCIALMENTE", IF(OR(H133="Não há recomendação", I133="Não há recomendação", H133="SEM RECOMENDAÇÃO", I133="SEM RECOMENDAÇÃO"), "NÃO RECOMENDOU", "ERROU"))), "")</f>
        <v/>
      </c>
      <c r="K133" s="21" t="n"/>
      <c r="L133" s="21" t="n"/>
      <c r="M133" s="21">
        <f>IF(K133&lt;&gt;"", IF(AND(C133=K133, D133=L133), "ACERTOU", IF(OR(C133=K133, D133=L133, C133=L133, D133=K133), "PARCIALMENTE", IF(OR(K133="Não há recomendação", L133="Não há recomendação", K133="SEM RECOMENDAÇÃO", L133="SEM RECOMENDAÇÃO"), "NÃO RECOMENDOU", "ERROU"))), "")</f>
        <v/>
      </c>
      <c r="N133" s="22" t="inlineStr">
        <is>
          <t>Central de Serviços</t>
        </is>
      </c>
      <c r="O133" s="22" t="inlineStr">
        <is>
          <t>Gerenciamento de Requisições</t>
        </is>
      </c>
      <c r="P133" s="22">
        <f>IF(N133&lt;&gt;"", IF(AND(C133=N133, D133=O133), "ACERTOU", IF(OR(C133=N133, D133=O133, C133=O133, D133=N133), "PARCIALMENTE", IF(OR(N133="Não há recomendação", O133="Não há recomendação", N133="SEM RECOMENDAÇÃO", O133="SEM RECOMENDAÇÃO"), "NÃO RECOMENDOU", "ERROU"))), "")</f>
        <v/>
      </c>
      <c r="Q133" s="23" t="n"/>
      <c r="R133" s="23" t="n"/>
      <c r="S133" s="23" t="n"/>
    </row>
    <row r="134">
      <c r="A134" t="n">
        <v>1129</v>
      </c>
      <c r="B134" s="3" t="inlineStr">
        <is>
          <t>Urgente: Ajuda Necessária para Recuperação de Dados do MySQL 8.0.30</t>
        </is>
      </c>
      <c r="C134" s="3" t="inlineStr">
        <is>
          <t>Gerenciamento de Incidentes</t>
        </is>
      </c>
      <c r="D134" s="3" t="inlineStr">
        <is>
          <t>Gerenciamento de Disponibilidade</t>
        </is>
      </c>
      <c r="E134" s="5" t="n"/>
      <c r="F134" s="5" t="n"/>
      <c r="G134" s="6">
        <f>IF(E134&lt;&gt;"", IF(AND(C134=E134, D134=F134), "ACERTOU", IF(OR(C134=E134, D134=F134, C134=F134, D134=E134), "PARCIALMENTE", IF(OR(E134="Não há recomendação", F134="Não há recomendação", E134="SEM RECOMENDAÇÃO", F134="SEM RECOMENDAÇÃO"), "NÃO RECOMENDOU", "ERROU"))), "")</f>
        <v/>
      </c>
      <c r="H134" s="20" t="n"/>
      <c r="I134" s="20" t="n"/>
      <c r="J134" s="20">
        <f>IF(H134&lt;&gt;"", IF(AND(C134=H134, D134=I134), "ACERTOU", IF(OR(C134=H134, D134=I134, C134=I134, D134=H134), "PARCIALMENTE", IF(OR(H134="Não há recomendação", I134="Não há recomendação", H134="SEM RECOMENDAÇÃO", I134="SEM RECOMENDAÇÃO"), "NÃO RECOMENDOU", "ERROU"))), "")</f>
        <v/>
      </c>
      <c r="K134" s="21" t="n"/>
      <c r="L134" s="21" t="n"/>
      <c r="M134" s="21">
        <f>IF(K134&lt;&gt;"", IF(AND(C134=K134, D134=L134), "ACERTOU", IF(OR(C134=K134, D134=L134, C134=L134, D134=K134), "PARCIALMENTE", IF(OR(K134="Não há recomendação", L134="Não há recomendação", K134="SEM RECOMENDAÇÃO", L134="SEM RECOMENDAÇÃO"), "NÃO RECOMENDOU", "ERROU"))), "")</f>
        <v/>
      </c>
      <c r="N134" s="22" t="inlineStr">
        <is>
          <t>Gerenciamento de Incidentes</t>
        </is>
      </c>
      <c r="O134" s="22" t="inlineStr">
        <is>
          <t>Gerenciamento de Continuidade</t>
        </is>
      </c>
      <c r="P134" s="22">
        <f>IF(N134&lt;&gt;"", IF(AND(C134=N134, D134=O134), "ACERTOU", IF(OR(C134=N134, D134=O134, C134=O134, D134=N134), "PARCIALMENTE", IF(OR(N134="Não há recomendação", O134="Não há recomendação", N134="SEM RECOMENDAÇÃO", O134="SEM RECOMENDAÇÃO"), "NÃO RECOMENDOU", "ERROU"))), "")</f>
        <v/>
      </c>
      <c r="Q134" s="23" t="n"/>
      <c r="R134" s="23" t="n"/>
      <c r="S134" s="23" t="n"/>
    </row>
    <row r="135">
      <c r="A135" t="n">
        <v>1141</v>
      </c>
      <c r="B135" s="3" t="inlineStr">
        <is>
          <t>Assistência Necessária Para Problema de Timeout do Jira</t>
        </is>
      </c>
      <c r="C135" s="3" t="inlineStr">
        <is>
          <t>Gerenciamento de Incidentes</t>
        </is>
      </c>
      <c r="D135" s="3" t="inlineStr">
        <is>
          <t>Gerenciamento de Problemas</t>
        </is>
      </c>
      <c r="E135" s="5" t="n"/>
      <c r="F135" s="5" t="n"/>
      <c r="G135" s="6">
        <f>IF(E135&lt;&gt;"", IF(AND(C135=E135, D135=F135), "ACERTOU", IF(OR(C135=E135, D135=F135, C135=F135, D135=E135), "PARCIALMENTE", IF(OR(E135="Não há recomendação", F135="Não há recomendação", E135="SEM RECOMENDAÇÃO", F135="SEM RECOMENDAÇÃO"), "NÃO RECOMENDOU", "ERROU"))), "")</f>
        <v/>
      </c>
      <c r="H135" s="20" t="n"/>
      <c r="I135" s="20" t="n"/>
      <c r="J135" s="20">
        <f>IF(H135&lt;&gt;"", IF(AND(C135=H135, D135=I135), "ACERTOU", IF(OR(C135=H135, D135=I135, C135=I135, D135=H135), "PARCIALMENTE", IF(OR(H135="Não há recomendação", I135="Não há recomendação", H135="SEM RECOMENDAÇÃO", I135="SEM RECOMENDAÇÃO"), "NÃO RECOMENDOU", "ERROU"))), "")</f>
        <v/>
      </c>
      <c r="K135" s="21" t="n"/>
      <c r="L135" s="21" t="n"/>
      <c r="M135" s="21">
        <f>IF(K135&lt;&gt;"", IF(AND(C135=K135, D135=L135), "ACERTOU", IF(OR(C135=K135, D135=L135, C135=L135, D135=K135), "PARCIALMENTE", IF(OR(K135="Não há recomendação", L135="Não há recomendação", K135="SEM RECOMENDAÇÃO", L135="SEM RECOMENDAÇÃO"), "NÃO RECOMENDOU", "ERROU"))), "")</f>
        <v/>
      </c>
      <c r="N135" s="22" t="inlineStr">
        <is>
          <t>Gerenciamento de Problemas</t>
        </is>
      </c>
      <c r="O135" s="22" t="inlineStr">
        <is>
          <t>Gerenciamento de Disponibilidade</t>
        </is>
      </c>
      <c r="P135" s="22">
        <f>IF(N135&lt;&gt;"", IF(AND(C135=N135, D135=O135), "ACERTOU", IF(OR(C135=N135, D135=O135, C135=O135, D135=N135), "PARCIALMENTE", IF(OR(N135="Não há recomendação", O135="Não há recomendação", N135="SEM RECOMENDAÇÃO", O135="SEM RECOMENDAÇÃO"), "NÃO RECOMENDOU", "ERROU"))), "")</f>
        <v/>
      </c>
      <c r="Q135" s="23" t="n"/>
      <c r="R135" s="23" t="n"/>
      <c r="S135" s="23" t="n"/>
    </row>
    <row r="136">
      <c r="A136" t="n">
        <v>1148</v>
      </c>
      <c r="B136" s="3" t="inlineStr">
        <is>
          <t>Assistência Necessária para Problema de Conectividade WiFi</t>
        </is>
      </c>
      <c r="C136" s="3" t="inlineStr">
        <is>
          <t>Gerenciamento de Incidentes</t>
        </is>
      </c>
      <c r="D136" s="3" t="inlineStr">
        <is>
          <t>Gerenciamento de Problemas</t>
        </is>
      </c>
      <c r="E136" s="5" t="n"/>
      <c r="F136" s="5" t="n"/>
      <c r="G136" s="6">
        <f>IF(E136&lt;&gt;"", IF(AND(C136=E136, D136=F136), "ACERTOU", IF(OR(C136=E136, D136=F136, C136=F136, D136=E136), "PARCIALMENTE", IF(OR(E136="Não há recomendação", F136="Não há recomendação", E136="SEM RECOMENDAÇÃO", F136="SEM RECOMENDAÇÃO"), "NÃO RECOMENDOU", "ERROU"))), "")</f>
        <v/>
      </c>
      <c r="H136" s="20" t="n"/>
      <c r="I136" s="20" t="n"/>
      <c r="J136" s="20">
        <f>IF(H136&lt;&gt;"", IF(AND(C136=H136, D136=I136), "ACERTOU", IF(OR(C136=H136, D136=I136, C136=I136, D136=H136), "PARCIALMENTE", IF(OR(H136="Não há recomendação", I136="Não há recomendação", H136="SEM RECOMENDAÇÃO", I136="SEM RECOMENDAÇÃO"), "NÃO RECOMENDOU", "ERROU"))), "")</f>
        <v/>
      </c>
      <c r="K136" s="21" t="n"/>
      <c r="L136" s="21" t="n"/>
      <c r="M136" s="21">
        <f>IF(K136&lt;&gt;"", IF(AND(C136=K136, D136=L136), "ACERTOU", IF(OR(C136=K136, D136=L136, C136=L136, D136=K136), "PARCIALMENTE", IF(OR(K136="Não há recomendação", L136="Não há recomendação", K136="SEM RECOMENDAÇÃO", L136="SEM RECOMENDAÇÃO"), "NÃO RECOMENDOU", "ERROU"))), "")</f>
        <v/>
      </c>
      <c r="N136" s="22" t="inlineStr">
        <is>
          <t>Gerenciamento de Incidentes</t>
        </is>
      </c>
      <c r="O136" s="22" t="inlineStr">
        <is>
          <t>Não se aplica</t>
        </is>
      </c>
      <c r="P136" s="22">
        <f>IF(N136&lt;&gt;"", IF(AND(C136=N136, D136=O136), "ACERTOU", IF(OR(C136=N136, D136=O136, C136=O136, D136=N136), "PARCIALMENTE", IF(OR(N136="Não há recomendação", O136="Não há recomendação", N136="SEM RECOMENDAÇÃO", O136="SEM RECOMENDAÇÃO"), "NÃO RECOMENDOU", "ERROU"))), "")</f>
        <v/>
      </c>
      <c r="Q136" s="23" t="n"/>
      <c r="R136" s="23" t="n"/>
      <c r="S136" s="23" t="n"/>
    </row>
    <row r="137">
      <c r="A137" t="n">
        <v>1150</v>
      </c>
      <c r="B137" s="3" t="inlineStr">
        <is>
          <t>Erro Crítico no App React Desconectando a UI</t>
        </is>
      </c>
      <c r="C137" s="3" t="inlineStr">
        <is>
          <t>Gerenciamento de Incidentes</t>
        </is>
      </c>
      <c r="D137" s="3" t="inlineStr">
        <is>
          <t>Gerenciamento de Disponibilidade</t>
        </is>
      </c>
      <c r="E137" s="5" t="n"/>
      <c r="F137" s="5" t="n"/>
      <c r="G137" s="6">
        <f>IF(E137&lt;&gt;"", IF(AND(C137=E137, D137=F137), "ACERTOU", IF(OR(C137=E137, D137=F137, C137=F137, D137=E137), "PARCIALMENTE", IF(OR(E137="Não há recomendação", F137="Não há recomendação", E137="SEM RECOMENDAÇÃO", F137="SEM RECOMENDAÇÃO"), "NÃO RECOMENDOU", "ERROU"))), "")</f>
        <v/>
      </c>
      <c r="H137" s="20" t="n"/>
      <c r="I137" s="20" t="n"/>
      <c r="J137" s="20">
        <f>IF(H137&lt;&gt;"", IF(AND(C137=H137, D137=I137), "ACERTOU", IF(OR(C137=H137, D137=I137, C137=I137, D137=H137), "PARCIALMENTE", IF(OR(H137="Não há recomendação", I137="Não há recomendação", H137="SEM RECOMENDAÇÃO", I137="SEM RECOMENDAÇÃO"), "NÃO RECOMENDOU", "ERROU"))), "")</f>
        <v/>
      </c>
      <c r="K137" s="21" t="n"/>
      <c r="L137" s="21" t="n"/>
      <c r="M137" s="21">
        <f>IF(K137&lt;&gt;"", IF(AND(C137=K137, D137=L137), "ACERTOU", IF(OR(C137=K137, D137=L137, C137=L137, D137=K137), "PARCIALMENTE", IF(OR(K137="Não há recomendação", L137="Não há recomendação", K137="SEM RECOMENDAÇÃO", L137="SEM RECOMENDAÇÃO"), "NÃO RECOMENDOU", "ERROU"))), "")</f>
        <v/>
      </c>
      <c r="N137" s="22" t="inlineStr">
        <is>
          <t>Gerenciamento de Incidentes</t>
        </is>
      </c>
      <c r="O137" s="22" t="inlineStr">
        <is>
          <t>Gerenciamento de Mudanças</t>
        </is>
      </c>
      <c r="P137" s="22">
        <f>IF(N137&lt;&gt;"", IF(AND(C137=N137, D137=O137), "ACERTOU", IF(OR(C137=N137, D137=O137, C137=O137, D137=N137), "PARCIALMENTE", IF(OR(N137="Não há recomendação", O137="Não há recomendação", N137="SEM RECOMENDAÇÃO", O137="SEM RECOMENDAÇÃO"), "NÃO RECOMENDOU", "ERROU"))), "")</f>
        <v/>
      </c>
      <c r="Q137" s="23" t="n"/>
      <c r="R137" s="23" t="n"/>
      <c r="S137" s="23" t="n"/>
    </row>
    <row r="138">
      <c r="A138" t="n">
        <v>1155</v>
      </c>
      <c r="B138" s="3" t="inlineStr">
        <is>
          <t>Assistência Necessária para o Uso de Canais Slack</t>
        </is>
      </c>
      <c r="C138" s="3" t="inlineStr">
        <is>
          <t>Solicitação de Serviço</t>
        </is>
      </c>
      <c r="D138" s="3" t="inlineStr">
        <is>
          <t>Gerenciamento de Mudanças</t>
        </is>
      </c>
      <c r="E138" s="5" t="n"/>
      <c r="F138" s="5" t="n"/>
      <c r="G138" s="6">
        <f>IF(E138&lt;&gt;"", IF(AND(C138=E138, D138=F138), "ACERTOU", IF(OR(C138=E138, D138=F138, C138=F138, D138=E138), "PARCIALMENTE", IF(OR(E138="Não há recomendação", F138="Não há recomendação", E138="SEM RECOMENDAÇÃO", F138="SEM RECOMENDAÇÃO"), "NÃO RECOMENDOU", "ERROU"))), "")</f>
        <v/>
      </c>
      <c r="H138" s="20" t="n"/>
      <c r="I138" s="20" t="n"/>
      <c r="J138" s="20">
        <f>IF(H138&lt;&gt;"", IF(AND(C138=H138, D138=I138), "ACERTOU", IF(OR(C138=H138, D138=I138, C138=I138, D138=H138), "PARCIALMENTE", IF(OR(H138="Não há recomendação", I138="Não há recomendação", H138="SEM RECOMENDAÇÃO", I138="SEM RECOMENDAÇÃO"), "NÃO RECOMENDOU", "ERROU"))), "")</f>
        <v/>
      </c>
      <c r="K138" s="21" t="n"/>
      <c r="L138" s="21" t="n"/>
      <c r="M138" s="21">
        <f>IF(K138&lt;&gt;"", IF(AND(C138=K138, D138=L138), "ACERTOU", IF(OR(C138=K138, D138=L138, C138=L138, D138=K138), "PARCIALMENTE", IF(OR(K138="Não há recomendação", L138="Não há recomendação", K138="SEM RECOMENDAÇÃO", L138="SEM RECOMENDAÇÃO"), "NÃO RECOMENDOU", "ERROU"))), "")</f>
        <v/>
      </c>
      <c r="N138" s="22" t="inlineStr">
        <is>
          <t>Gerenciamento de Requisições</t>
        </is>
      </c>
      <c r="O138" s="22" t="inlineStr">
        <is>
          <t>Não se aplica</t>
        </is>
      </c>
      <c r="P138" s="22">
        <f>IF(N138&lt;&gt;"", IF(AND(C138=N138, D138=O138), "ACERTOU", IF(OR(C138=N138, D138=O138, C138=O138, D138=N138), "PARCIALMENTE", IF(OR(N138="Não há recomendação", O138="Não há recomendação", N138="SEM RECOMENDAÇÃO", O138="SEM RECOMENDAÇÃO"), "NÃO RECOMENDOU", "ERROU"))), "")</f>
        <v/>
      </c>
      <c r="Q138" s="23" t="n"/>
      <c r="R138" s="23" t="n"/>
      <c r="S138" s="23" t="n"/>
    </row>
    <row r="139">
      <c r="A139" t="n">
        <v>1161</v>
      </c>
      <c r="B139" s="3" t="inlineStr">
        <is>
          <t>Tela Sensível ao Toque Não Responsiva no Dispositivo</t>
        </is>
      </c>
      <c r="C139" s="3" t="inlineStr">
        <is>
          <t>Gerenciamento de Incidentes</t>
        </is>
      </c>
      <c r="D139" s="3" t="inlineStr">
        <is>
          <t>Gerenciamento de Ativos de TI</t>
        </is>
      </c>
      <c r="E139" s="5" t="n"/>
      <c r="F139" s="5" t="n"/>
      <c r="G139" s="6">
        <f>IF(E139&lt;&gt;"", IF(AND(C139=E139, D139=F139), "ACERTOU", IF(OR(C139=E139, D139=F139, C139=F139, D139=E139), "PARCIALMENTE", IF(OR(E139="Não há recomendação", F139="Não há recomendação", E139="SEM RECOMENDAÇÃO", F139="SEM RECOMENDAÇÃO"), "NÃO RECOMENDOU", "ERROU"))), "")</f>
        <v/>
      </c>
      <c r="H139" s="20" t="n"/>
      <c r="I139" s="20" t="n"/>
      <c r="J139" s="20">
        <f>IF(H139&lt;&gt;"", IF(AND(C139=H139, D139=I139), "ACERTOU", IF(OR(C139=H139, D139=I139, C139=I139, D139=H139), "PARCIALMENTE", IF(OR(H139="Não há recomendação", I139="Não há recomendação", H139="SEM RECOMENDAÇÃO", I139="SEM RECOMENDAÇÃO"), "NÃO RECOMENDOU", "ERROU"))), "")</f>
        <v/>
      </c>
      <c r="K139" s="21" t="n"/>
      <c r="L139" s="21" t="n"/>
      <c r="M139" s="21">
        <f>IF(K139&lt;&gt;"", IF(AND(C139=K139, D139=L139), "ACERTOU", IF(OR(C139=K139, D139=L139, C139=L139, D139=K139), "PARCIALMENTE", IF(OR(K139="Não há recomendação", L139="Não há recomendação", K139="SEM RECOMENDAÇÃO", L139="SEM RECOMENDAÇÃO"), "NÃO RECOMENDOU", "ERROU"))), "")</f>
        <v/>
      </c>
      <c r="N139" s="22" t="inlineStr">
        <is>
          <t>Gerenciamento de Incidentes</t>
        </is>
      </c>
      <c r="O139" s="22" t="inlineStr">
        <is>
          <t>Gerenciamento de Ativos de TI</t>
        </is>
      </c>
      <c r="P139" s="22">
        <f>IF(N139&lt;&gt;"", IF(AND(C139=N139, D139=O139), "ACERTOU", IF(OR(C139=N139, D139=O139, C139=O139, D139=N139), "PARCIALMENTE", IF(OR(N139="Não há recomendação", O139="Não há recomendação", N139="SEM RECOMENDAÇÃO", O139="SEM RECOMENDAÇÃO"), "NÃO RECOMENDOU", "ERROU"))), "")</f>
        <v/>
      </c>
      <c r="Q139" s="23" t="n"/>
      <c r="R139" s="23" t="n"/>
      <c r="S139" s="23" t="n"/>
    </row>
    <row r="140">
      <c r="A140" t="n">
        <v>1182</v>
      </c>
      <c r="B140" s="3" t="inlineStr">
        <is>
          <t>Problema de Discrepância de Cobrança</t>
        </is>
      </c>
      <c r="C140" s="3" t="inlineStr">
        <is>
          <t>Gerenciamento Financeiro</t>
        </is>
      </c>
      <c r="D140" s="3" t="inlineStr">
        <is>
          <t>Gerenciamento de Incidentes</t>
        </is>
      </c>
      <c r="E140" s="5" t="n"/>
      <c r="F140" s="5" t="n"/>
      <c r="G140" s="6">
        <f>IF(E140&lt;&gt;"", IF(AND(C140=E140, D140=F140), "ACERTOU", IF(OR(C140=E140, D140=F140, C140=F140, D140=E140), "PARCIALMENTE", IF(OR(E140="Não há recomendação", F140="Não há recomendação", E140="SEM RECOMENDAÇÃO", F140="SEM RECOMENDAÇÃO"), "NÃO RECOMENDOU", "ERROU"))), "")</f>
        <v/>
      </c>
      <c r="H140" s="20" t="n"/>
      <c r="I140" s="20" t="n"/>
      <c r="J140" s="20">
        <f>IF(H140&lt;&gt;"", IF(AND(C140=H140, D140=I140), "ACERTOU", IF(OR(C140=H140, D140=I140, C140=I140, D140=H140), "PARCIALMENTE", IF(OR(H140="Não há recomendação", I140="Não há recomendação", H140="SEM RECOMENDAÇÃO", I140="SEM RECOMENDAÇÃO"), "NÃO RECOMENDOU", "ERROU"))), "")</f>
        <v/>
      </c>
      <c r="K140" s="21" t="n"/>
      <c r="L140" s="21" t="n"/>
      <c r="M140" s="21">
        <f>IF(K140&lt;&gt;"", IF(AND(C140=K140, D140=L140), "ACERTOU", IF(OR(C140=K140, D140=L140, C140=L140, D140=K140), "PARCIALMENTE", IF(OR(K140="Não há recomendação", L140="Não há recomendação", K140="SEM RECOMENDAÇÃO", L140="SEM RECOMENDAÇÃO"), "NÃO RECOMENDOU", "ERROU"))), "")</f>
        <v/>
      </c>
      <c r="N140" s="22" t="inlineStr">
        <is>
          <t>Gerenciamento Financeiro de TI</t>
        </is>
      </c>
      <c r="O140" s="22" t="inlineStr">
        <is>
          <t>Gerenciamento de Nível de Serviço</t>
        </is>
      </c>
      <c r="P140" s="22">
        <f>IF(N140&lt;&gt;"", IF(AND(C140=N140, D140=O140), "ACERTOU", IF(OR(C140=N140, D140=O140, C140=O140, D140=N140), "PARCIALMENTE", IF(OR(N140="Não há recomendação", O140="Não há recomendação", N140="SEM RECOMENDAÇÃO", O140="SEM RECOMENDAÇÃO"), "NÃO RECOMENDOU", "ERROU"))), "")</f>
        <v/>
      </c>
      <c r="Q140" s="23" t="n"/>
      <c r="R140" s="23" t="n"/>
      <c r="S140" s="23" t="n"/>
    </row>
    <row r="141">
      <c r="A141" t="n">
        <v>1203</v>
      </c>
      <c r="B141" s="3" t="inlineStr">
        <is>
          <t>Assistência Imediata Necessária para Interrupção de Rede</t>
        </is>
      </c>
      <c r="C141" s="3" t="inlineStr">
        <is>
          <t>Gerenciamento de Incidentes</t>
        </is>
      </c>
      <c r="D141" s="3" t="inlineStr">
        <is>
          <t>Gerenciamento de Disponibilidade</t>
        </is>
      </c>
      <c r="E141" s="5" t="n"/>
      <c r="F141" s="5" t="n"/>
      <c r="G141" s="6">
        <f>IF(E141&lt;&gt;"", IF(AND(C141=E141, D141=F141), "ACERTOU", IF(OR(C141=E141, D141=F141, C141=F141, D141=E141), "PARCIALMENTE", IF(OR(E141="Não há recomendação", F141="Não há recomendação", E141="SEM RECOMENDAÇÃO", F141="SEM RECOMENDAÇÃO"), "NÃO RECOMENDOU", "ERROU"))), "")</f>
        <v/>
      </c>
      <c r="H141" s="20" t="n"/>
      <c r="I141" s="20" t="n"/>
      <c r="J141" s="20">
        <f>IF(H141&lt;&gt;"", IF(AND(C141=H141, D141=I141), "ACERTOU", IF(OR(C141=H141, D141=I141, C141=I141, D141=H141), "PARCIALMENTE", IF(OR(H141="Não há recomendação", I141="Não há recomendação", H141="SEM RECOMENDAÇÃO", I141="SEM RECOMENDAÇÃO"), "NÃO RECOMENDOU", "ERROU"))), "")</f>
        <v/>
      </c>
      <c r="K141" s="21" t="n"/>
      <c r="L141" s="21" t="n"/>
      <c r="M141" s="21">
        <f>IF(K141&lt;&gt;"", IF(AND(C141=K141, D141=L141), "ACERTOU", IF(OR(C141=K141, D141=L141, C141=L141, D141=K141), "PARCIALMENTE", IF(OR(K141="Não há recomendação", L141="Não há recomendação", K141="SEM RECOMENDAÇÃO", L141="SEM RECOMENDAÇÃO"), "NÃO RECOMENDOU", "ERROU"))), "")</f>
        <v/>
      </c>
      <c r="N141" s="22" t="inlineStr">
        <is>
          <t>Gerenciamento de Incidentes</t>
        </is>
      </c>
      <c r="O141" s="22" t="inlineStr">
        <is>
          <t>Gerenciamento de Disponibilidade</t>
        </is>
      </c>
      <c r="P141" s="22">
        <f>IF(N141&lt;&gt;"", IF(AND(C141=N141, D141=O141), "ACERTOU", IF(OR(C141=N141, D141=O141, C141=O141, D141=N141), "PARCIALMENTE", IF(OR(N141="Não há recomendação", O141="Não há recomendação", N141="SEM RECOMENDAÇÃO", O141="SEM RECOMENDAÇÃO"), "NÃO RECOMENDOU", "ERROU"))), "")</f>
        <v/>
      </c>
      <c r="Q141" s="23" t="n"/>
      <c r="R141" s="23" t="n"/>
      <c r="S141" s="23" t="n"/>
    </row>
    <row r="142">
      <c r="A142" t="n">
        <v>1205</v>
      </c>
      <c r="B142" s="3" t="inlineStr">
        <is>
          <t>Problema de Faturamento Inconsistente com o AWS Management</t>
        </is>
      </c>
      <c r="C142" s="3" t="inlineStr">
        <is>
          <t>Gerenciamento Financeiro</t>
        </is>
      </c>
      <c r="D142" s="3" t="inlineStr">
        <is>
          <t>Gerenciamento de Capacidade</t>
        </is>
      </c>
      <c r="E142" s="5" t="n"/>
      <c r="F142" s="5" t="n"/>
      <c r="G142" s="6">
        <f>IF(E142&lt;&gt;"", IF(AND(C142=E142, D142=F142), "ACERTOU", IF(OR(C142=E142, D142=F142, C142=F142, D142=E142), "PARCIALMENTE", IF(OR(E142="Não há recomendação", F142="Não há recomendação", E142="SEM RECOMENDAÇÃO", F142="SEM RECOMENDAÇÃO"), "NÃO RECOMENDOU", "ERROU"))), "")</f>
        <v/>
      </c>
      <c r="H142" s="20" t="n"/>
      <c r="I142" s="20" t="n"/>
      <c r="J142" s="20">
        <f>IF(H142&lt;&gt;"", IF(AND(C142=H142, D142=I142), "ACERTOU", IF(OR(C142=H142, D142=I142, C142=I142, D142=H142), "PARCIALMENTE", IF(OR(H142="Não há recomendação", I142="Não há recomendação", H142="SEM RECOMENDAÇÃO", I142="SEM RECOMENDAÇÃO"), "NÃO RECOMENDOU", "ERROU"))), "")</f>
        <v/>
      </c>
      <c r="K142" s="21" t="n"/>
      <c r="L142" s="21" t="n"/>
      <c r="M142" s="21">
        <f>IF(K142&lt;&gt;"", IF(AND(C142=K142, D142=L142), "ACERTOU", IF(OR(C142=K142, D142=L142, C142=L142, D142=K142), "PARCIALMENTE", IF(OR(K142="Não há recomendação", L142="Não há recomendação", K142="SEM RECOMENDAÇÃO", L142="SEM RECOMENDAÇÃO"), "NÃO RECOMENDOU", "ERROU"))), "")</f>
        <v/>
      </c>
      <c r="N142" s="22" t="inlineStr">
        <is>
          <t>Gerenciamento Financeiro de TI</t>
        </is>
      </c>
      <c r="O142" s="22" t="inlineStr">
        <is>
          <t>Gerenciamento de Problemas</t>
        </is>
      </c>
      <c r="P142" s="22">
        <f>IF(N142&lt;&gt;"", IF(AND(C142=N142, D142=O142), "ACERTOU", IF(OR(C142=N142, D142=O142, C142=O142, D142=N142), "PARCIALMENTE", IF(OR(N142="Não há recomendação", O142="Não há recomendação", N142="SEM RECOMENDAÇÃO", O142="SEM RECOMENDAÇÃO"), "NÃO RECOMENDOU", "ERROU"))), "")</f>
        <v/>
      </c>
      <c r="Q142" s="23" t="n"/>
      <c r="R142" s="23" t="n"/>
      <c r="S142" s="23" t="n"/>
    </row>
    <row r="143">
      <c r="A143" t="n">
        <v>1208</v>
      </c>
      <c r="B143" s="3" t="inlineStr">
        <is>
          <t>Otimização de Rede e Assistência em Manutenção de Servidor</t>
        </is>
      </c>
      <c r="C143" s="3" t="inlineStr">
        <is>
          <t>Solicitação de Serviço</t>
        </is>
      </c>
      <c r="D143" s="3" t="inlineStr">
        <is>
          <t>Gerenciamento de Capacidade</t>
        </is>
      </c>
      <c r="E143" s="5" t="n"/>
      <c r="F143" s="5" t="n"/>
      <c r="G143" s="6">
        <f>IF(E143&lt;&gt;"", IF(AND(C143=E143, D143=F143), "ACERTOU", IF(OR(C143=E143, D143=F143, C143=F143, D143=E143), "PARCIALMENTE", IF(OR(E143="Não há recomendação", F143="Não há recomendação", E143="SEM RECOMENDAÇÃO", F143="SEM RECOMENDAÇÃO"), "NÃO RECOMENDOU", "ERROU"))), "")</f>
        <v/>
      </c>
      <c r="H143" s="20" t="n"/>
      <c r="I143" s="20" t="n"/>
      <c r="J143" s="20">
        <f>IF(H143&lt;&gt;"", IF(AND(C143=H143, D143=I143), "ACERTOU", IF(OR(C143=H143, D143=I143, C143=I143, D143=H143), "PARCIALMENTE", IF(OR(H143="Não há recomendação", I143="Não há recomendação", H143="SEM RECOMENDAÇÃO", I143="SEM RECOMENDAÇÃO"), "NÃO RECOMENDOU", "ERROU"))), "")</f>
        <v/>
      </c>
      <c r="K143" s="21" t="n"/>
      <c r="L143" s="21" t="n"/>
      <c r="M143" s="21">
        <f>IF(K143&lt;&gt;"", IF(AND(C143=K143, D143=L143), "ACERTOU", IF(OR(C143=K143, D143=L143, C143=L143, D143=K143), "PARCIALMENTE", IF(OR(K143="Não há recomendação", L143="Não há recomendação", K143="SEM RECOMENDAÇÃO", L143="SEM RECOMENDAÇÃO"), "NÃO RECOMENDOU", "ERROU"))), "")</f>
        <v/>
      </c>
      <c r="N143" s="22" t="inlineStr">
        <is>
          <t>Gerenciamento de Problemas</t>
        </is>
      </c>
      <c r="O143" s="22" t="inlineStr">
        <is>
          <t>Gerenciamento de Disponibilidade</t>
        </is>
      </c>
      <c r="P143" s="22">
        <f>IF(N143&lt;&gt;"", IF(AND(C143=N143, D143=O143), "ACERTOU", IF(OR(C143=N143, D143=O143, C143=O143, D143=N143), "PARCIALMENTE", IF(OR(N143="Não há recomendação", O143="Não há recomendação", N143="SEM RECOMENDAÇÃO", O143="SEM RECOMENDAÇÃO"), "NÃO RECOMENDOU", "ERROU"))), "")</f>
        <v/>
      </c>
      <c r="Q143" s="23" t="n"/>
      <c r="R143" s="23" t="n"/>
      <c r="S143" s="23" t="n"/>
    </row>
    <row r="144">
      <c r="A144" t="n">
        <v>1216</v>
      </c>
      <c r="B144" s="3" t="inlineStr">
        <is>
          <t>Solicitação de Assistência para Mudança de Configuração da AWS</t>
        </is>
      </c>
      <c r="C144" s="3" t="inlineStr">
        <is>
          <t>Solicitação de Serviço</t>
        </is>
      </c>
      <c r="D144" s="3" t="inlineStr">
        <is>
          <t>Gerenciamento Financeiro</t>
        </is>
      </c>
      <c r="E144" s="5" t="n"/>
      <c r="F144" s="5" t="n"/>
      <c r="G144" s="6">
        <f>IF(E144&lt;&gt;"", IF(AND(C144=E144, D144=F144), "ACERTOU", IF(OR(C144=E144, D144=F144, C144=F144, D144=E144), "PARCIALMENTE", IF(OR(E144="Não há recomendação", F144="Não há recomendação", E144="SEM RECOMENDAÇÃO", F144="SEM RECOMENDAÇÃO"), "NÃO RECOMENDOU", "ERROU"))), "")</f>
        <v/>
      </c>
      <c r="H144" s="20" t="n"/>
      <c r="I144" s="20" t="n"/>
      <c r="J144" s="20">
        <f>IF(H144&lt;&gt;"", IF(AND(C144=H144, D144=I144), "ACERTOU", IF(OR(C144=H144, D144=I144, C144=I144, D144=H144), "PARCIALMENTE", IF(OR(H144="Não há recomendação", I144="Não há recomendação", H144="SEM RECOMENDAÇÃO", I144="SEM RECOMENDAÇÃO"), "NÃO RECOMENDOU", "ERROU"))), "")</f>
        <v/>
      </c>
      <c r="K144" s="21" t="n"/>
      <c r="L144" s="21" t="n"/>
      <c r="M144" s="21">
        <f>IF(K144&lt;&gt;"", IF(AND(C144=K144, D144=L144), "ACERTOU", IF(OR(C144=K144, D144=L144, C144=L144, D144=K144), "PARCIALMENTE", IF(OR(K144="Não há recomendação", L144="Não há recomendação", K144="SEM RECOMENDAÇÃO", L144="SEM RECOMENDAÇÃO"), "NÃO RECOMENDOU", "ERROU"))), "")</f>
        <v/>
      </c>
      <c r="N144" s="22" t="inlineStr">
        <is>
          <t>Gerenciamento de Mudanças</t>
        </is>
      </c>
      <c r="O144" s="22" t="inlineStr">
        <is>
          <t>Gerenciamento de Configuração</t>
        </is>
      </c>
      <c r="P144" s="22">
        <f>IF(N144&lt;&gt;"", IF(AND(C144=N144, D144=O144), "ACERTOU", IF(OR(C144=N144, D144=O144, C144=O144, D144=N144), "PARCIALMENTE", IF(OR(N144="Não há recomendação", O144="Não há recomendação", N144="SEM RECOMENDAÇÃO", O144="SEM RECOMENDAÇÃO"), "NÃO RECOMENDOU", "ERROU"))), "")</f>
        <v/>
      </c>
      <c r="Q144" s="23" t="n"/>
      <c r="R144" s="23" t="n"/>
      <c r="S144" s="23" t="n"/>
    </row>
    <row r="145">
      <c r="A145" t="n">
        <v>1221</v>
      </c>
      <c r="B145" s="3" t="inlineStr">
        <is>
          <t>Assistência de Faturamento Necessária</t>
        </is>
      </c>
      <c r="C145" s="3" t="inlineStr">
        <is>
          <t>Gerenciamento Financeiro</t>
        </is>
      </c>
      <c r="D145" s="3" t="inlineStr">
        <is>
          <t>Gerenciamento de Nível de Serviço</t>
        </is>
      </c>
      <c r="E145" s="5" t="n"/>
      <c r="F145" s="5" t="n"/>
      <c r="G145" s="6">
        <f>IF(E145&lt;&gt;"", IF(AND(C145=E145, D145=F145), "ACERTOU", IF(OR(C145=E145, D145=F145, C145=F145, D145=E145), "PARCIALMENTE", IF(OR(E145="Não há recomendação", F145="Não há recomendação", E145="SEM RECOMENDAÇÃO", F145="SEM RECOMENDAÇÃO"), "NÃO RECOMENDOU", "ERROU"))), "")</f>
        <v/>
      </c>
      <c r="H145" s="20" t="n"/>
      <c r="I145" s="20" t="n"/>
      <c r="J145" s="20">
        <f>IF(H145&lt;&gt;"", IF(AND(C145=H145, D145=I145), "ACERTOU", IF(OR(C145=H145, D145=I145, C145=I145, D145=H145), "PARCIALMENTE", IF(OR(H145="Não há recomendação", I145="Não há recomendação", H145="SEM RECOMENDAÇÃO", I145="SEM RECOMENDAÇÃO"), "NÃO RECOMENDOU", "ERROU"))), "")</f>
        <v/>
      </c>
      <c r="K145" s="21" t="n"/>
      <c r="L145" s="21" t="n"/>
      <c r="M145" s="21">
        <f>IF(K145&lt;&gt;"", IF(AND(C145=K145, D145=L145), "ACERTOU", IF(OR(C145=K145, D145=L145, C145=L145, D145=K145), "PARCIALMENTE", IF(OR(K145="Não há recomendação", L145="Não há recomendação", K145="SEM RECOMENDAÇÃO", L145="SEM RECOMENDAÇÃO"), "NÃO RECOMENDOU", "ERROU"))), "")</f>
        <v/>
      </c>
      <c r="N145" s="22" t="inlineStr">
        <is>
          <t>Gerenciamento Financeiro de TI</t>
        </is>
      </c>
      <c r="O145" s="22" t="inlineStr">
        <is>
          <t>Gerenciamento de Nível de Serviço</t>
        </is>
      </c>
      <c r="P145" s="22">
        <f>IF(N145&lt;&gt;"", IF(AND(C145=N145, D145=O145), "ACERTOU", IF(OR(C145=N145, D145=O145, C145=O145, D145=N145), "PARCIALMENTE", IF(OR(N145="Não há recomendação", O145="Não há recomendação", N145="SEM RECOMENDAÇÃO", O145="SEM RECOMENDAÇÃO"), "NÃO RECOMENDOU", "ERROU"))), "")</f>
        <v/>
      </c>
      <c r="Q145" s="23" t="n"/>
      <c r="R145" s="23" t="n"/>
      <c r="S145" s="23" t="n"/>
    </row>
    <row r="146">
      <c r="A146" t="n">
        <v>1222</v>
      </c>
      <c r="B146" s="3" t="inlineStr">
        <is>
          <t>Solicitação de Alta Prioridade para Serviço de TI</t>
        </is>
      </c>
      <c r="C146" s="3" t="inlineStr">
        <is>
          <t>Gerenciamento de Nível de Serviço</t>
        </is>
      </c>
      <c r="D146" s="3" t="inlineStr">
        <is>
          <t>Gerenciamento de Incidentes</t>
        </is>
      </c>
      <c r="E146" s="5" t="n"/>
      <c r="F146" s="5" t="n"/>
      <c r="G146" s="6">
        <f>IF(E146&lt;&gt;"", IF(AND(C146=E146, D146=F146), "ACERTOU", IF(OR(C146=E146, D146=F146, C146=F146, D146=E146), "PARCIALMENTE", IF(OR(E146="Não há recomendação", F146="Não há recomendação", E146="SEM RECOMENDAÇÃO", F146="SEM RECOMENDAÇÃO"), "NÃO RECOMENDOU", "ERROU"))), "")</f>
        <v/>
      </c>
      <c r="H146" s="20" t="n"/>
      <c r="I146" s="20" t="n"/>
      <c r="J146" s="20">
        <f>IF(H146&lt;&gt;"", IF(AND(C146=H146, D146=I146), "ACERTOU", IF(OR(C146=H146, D146=I146, C146=I146, D146=H146), "PARCIALMENTE", IF(OR(H146="Não há recomendação", I146="Não há recomendação", H146="SEM RECOMENDAÇÃO", I146="SEM RECOMENDAÇÃO"), "NÃO RECOMENDOU", "ERROU"))), "")</f>
        <v/>
      </c>
      <c r="K146" s="21" t="n"/>
      <c r="L146" s="21" t="n"/>
      <c r="M146" s="21">
        <f>IF(K146&lt;&gt;"", IF(AND(C146=K146, D146=L146), "ACERTOU", IF(OR(C146=K146, D146=L146, C146=L146, D146=K146), "PARCIALMENTE", IF(OR(K146="Não há recomendação", L146="Não há recomendação", K146="SEM RECOMENDAÇÃO", L146="SEM RECOMENDAÇÃO"), "NÃO RECOMENDOU", "ERROU"))), "")</f>
        <v/>
      </c>
      <c r="N146" s="22" t="inlineStr">
        <is>
          <t>Gerenciamento de Problemas</t>
        </is>
      </c>
      <c r="O146" s="22" t="inlineStr">
        <is>
          <t>Gerenciamento de Nível de Serviço</t>
        </is>
      </c>
      <c r="P146" s="22">
        <f>IF(N146&lt;&gt;"", IF(AND(C146=N146, D146=O146), "ACERTOU", IF(OR(C146=N146, D146=O146, C146=O146, D146=N146), "PARCIALMENTE", IF(OR(N146="Não há recomendação", O146="Não há recomendação", N146="SEM RECOMENDAÇÃO", O146="SEM RECOMENDAÇÃO"), "NÃO RECOMENDOU", "ERROU"))), "")</f>
        <v/>
      </c>
      <c r="Q146" s="23" t="n"/>
      <c r="R146" s="23" t="n"/>
      <c r="S146" s="23" t="n"/>
    </row>
    <row r="147">
      <c r="A147" t="n">
        <v>1226</v>
      </c>
      <c r="B147" s="3" t="inlineStr">
        <is>
          <t>Assistência Necessária para Ativação do MacBook Air</t>
        </is>
      </c>
      <c r="C147" s="3" t="inlineStr">
        <is>
          <t>Solicitação de Serviço</t>
        </is>
      </c>
      <c r="D147" s="3" t="inlineStr">
        <is>
          <t>Gerenciamento de Incidentes</t>
        </is>
      </c>
      <c r="E147" s="5" t="n"/>
      <c r="F147" s="5" t="n"/>
      <c r="G147" s="6">
        <f>IF(E147&lt;&gt;"", IF(AND(C147=E147, D147=F147), "ACERTOU", IF(OR(C147=E147, D147=F147, C147=F147, D147=E147), "PARCIALMENTE", IF(OR(E147="Não há recomendação", F147="Não há recomendação", E147="SEM RECOMENDAÇÃO", F147="SEM RECOMENDAÇÃO"), "NÃO RECOMENDOU", "ERROU"))), "")</f>
        <v/>
      </c>
      <c r="H147" s="20" t="n"/>
      <c r="I147" s="20" t="n"/>
      <c r="J147" s="20">
        <f>IF(H147&lt;&gt;"", IF(AND(C147=H147, D147=I147), "ACERTOU", IF(OR(C147=H147, D147=I147, C147=I147, D147=H147), "PARCIALMENTE", IF(OR(H147="Não há recomendação", I147="Não há recomendação", H147="SEM RECOMENDAÇÃO", I147="SEM RECOMENDAÇÃO"), "NÃO RECOMENDOU", "ERROU"))), "")</f>
        <v/>
      </c>
      <c r="K147" s="21" t="n"/>
      <c r="L147" s="21" t="n"/>
      <c r="M147" s="21">
        <f>IF(K147&lt;&gt;"", IF(AND(C147=K147, D147=L147), "ACERTOU", IF(OR(C147=K147, D147=L147, C147=L147, D147=K147), "PARCIALMENTE", IF(OR(K147="Não há recomendação", L147="Não há recomendação", K147="SEM RECOMENDAÇÃO", L147="SEM RECOMENDAÇÃO"), "NÃO RECOMENDOU", "ERROU"))), "")</f>
        <v/>
      </c>
      <c r="N147" s="22" t="inlineStr">
        <is>
          <t>Gerenciamento de Requisições</t>
        </is>
      </c>
      <c r="O147" s="22" t="inlineStr">
        <is>
          <t>Não se aplica</t>
        </is>
      </c>
      <c r="P147" s="22">
        <f>IF(N147&lt;&gt;"", IF(AND(C147=N147, D147=O147), "ACERTOU", IF(OR(C147=N147, D147=O147, C147=O147, D147=N147), "PARCIALMENTE", IF(OR(N147="Não há recomendação", O147="Não há recomendação", N147="SEM RECOMENDAÇÃO", O147="SEM RECOMENDAÇÃO"), "NÃO RECOMENDOU", "ERROU"))), "")</f>
        <v/>
      </c>
      <c r="Q147" s="23" t="n"/>
      <c r="R147" s="23" t="n"/>
      <c r="S147" s="23" t="n"/>
    </row>
    <row r="148">
      <c r="A148" t="n">
        <v>1234</v>
      </c>
      <c r="B148" s="3" t="inlineStr">
        <is>
          <t>Assistência Necessária para Configuração Sem Fio</t>
        </is>
      </c>
      <c r="C148" s="3" t="inlineStr">
        <is>
          <t>Solicitação de Serviço</t>
        </is>
      </c>
      <c r="D148" s="3" t="inlineStr">
        <is>
          <t>Gerenciamento de Incidentes</t>
        </is>
      </c>
      <c r="E148" s="5" t="n"/>
      <c r="F148" s="5" t="n"/>
      <c r="G148" s="6">
        <f>IF(E148&lt;&gt;"", IF(AND(C148=E148, D148=F148), "ACERTOU", IF(OR(C148=E148, D148=F148, C148=F148, D148=E148), "PARCIALMENTE", IF(OR(E148="Não há recomendação", F148="Não há recomendação", E148="SEM RECOMENDAÇÃO", F148="SEM RECOMENDAÇÃO"), "NÃO RECOMENDOU", "ERROU"))), "")</f>
        <v/>
      </c>
      <c r="H148" s="20" t="n"/>
      <c r="I148" s="20" t="n"/>
      <c r="J148" s="20">
        <f>IF(H148&lt;&gt;"", IF(AND(C148=H148, D148=I148), "ACERTOU", IF(OR(C148=H148, D148=I148, C148=I148, D148=H148), "PARCIALMENTE", IF(OR(H148="Não há recomendação", I148="Não há recomendação", H148="SEM RECOMENDAÇÃO", I148="SEM RECOMENDAÇÃO"), "NÃO RECOMENDOU", "ERROU"))), "")</f>
        <v/>
      </c>
      <c r="K148" s="21" t="n"/>
      <c r="L148" s="21" t="n"/>
      <c r="M148" s="21">
        <f>IF(K148&lt;&gt;"", IF(AND(C148=K148, D148=L148), "ACERTOU", IF(OR(C148=K148, D148=L148, C148=L148, D148=K148), "PARCIALMENTE", IF(OR(K148="Não há recomendação", L148="Não há recomendação", K148="SEM RECOMENDAÇÃO", L148="SEM RECOMENDAÇÃO"), "NÃO RECOMENDOU", "ERROU"))), "")</f>
        <v/>
      </c>
      <c r="N148" s="22" t="inlineStr">
        <is>
          <t>Gerenciamento de Requisições</t>
        </is>
      </c>
      <c r="O148" s="22" t="inlineStr">
        <is>
          <t>Não se aplica</t>
        </is>
      </c>
      <c r="P148" s="22">
        <f>IF(N148&lt;&gt;"", IF(AND(C148=N148, D148=O148), "ACERTOU", IF(OR(C148=N148, D148=O148, C148=O148, D148=N148), "PARCIALMENTE", IF(OR(N148="Não há recomendação", O148="Não há recomendação", N148="SEM RECOMENDAÇÃO", O148="SEM RECOMENDAÇÃO"), "NÃO RECOMENDOU", "ERROU"))), "")</f>
        <v/>
      </c>
      <c r="Q148" s="23" t="n"/>
      <c r="R148" s="23" t="n"/>
      <c r="S148" s="23" t="n"/>
    </row>
    <row r="149">
      <c r="A149" t="n">
        <v>1238</v>
      </c>
      <c r="B149" s="3" t="inlineStr">
        <is>
          <t>Problema com Impressora Canon - Problema de Conexão Wifi</t>
        </is>
      </c>
      <c r="C149" s="3" t="inlineStr">
        <is>
          <t>Solicitação de Serviço</t>
        </is>
      </c>
      <c r="D149" s="3" t="inlineStr">
        <is>
          <t>Gerenciamento de Ativos de TI</t>
        </is>
      </c>
      <c r="E149" s="5" t="n"/>
      <c r="F149" s="5" t="n"/>
      <c r="G149" s="6">
        <f>IF(E149&lt;&gt;"", IF(AND(C149=E149, D149=F149), "ACERTOU", IF(OR(C149=E149, D149=F149, C149=F149, D149=E149), "PARCIALMENTE", IF(OR(E149="Não há recomendação", F149="Não há recomendação", E149="SEM RECOMENDAÇÃO", F149="SEM RECOMENDAÇÃO"), "NÃO RECOMENDOU", "ERROU"))), "")</f>
        <v/>
      </c>
      <c r="H149" s="20" t="n"/>
      <c r="I149" s="20" t="n"/>
      <c r="J149" s="20">
        <f>IF(H149&lt;&gt;"", IF(AND(C149=H149, D149=I149), "ACERTOU", IF(OR(C149=H149, D149=I149, C149=I149, D149=H149), "PARCIALMENTE", IF(OR(H149="Não há recomendação", I149="Não há recomendação", H149="SEM RECOMENDAÇÃO", I149="SEM RECOMENDAÇÃO"), "NÃO RECOMENDOU", "ERROU"))), "")</f>
        <v/>
      </c>
      <c r="K149" s="21" t="n"/>
      <c r="L149" s="21" t="n"/>
      <c r="M149" s="21">
        <f>IF(K149&lt;&gt;"", IF(AND(C149=K149, D149=L149), "ACERTOU", IF(OR(C149=K149, D149=L149, C149=L149, D149=K149), "PARCIALMENTE", IF(OR(K149="Não há recomendação", L149="Não há recomendação", K149="SEM RECOMENDAÇÃO", L149="SEM RECOMENDAÇÃO"), "NÃO RECOMENDOU", "ERROU"))), "")</f>
        <v/>
      </c>
      <c r="N149" s="22" t="inlineStr">
        <is>
          <t>Gerenciamento de Incidentes</t>
        </is>
      </c>
      <c r="O149" s="22" t="inlineStr">
        <is>
          <t>Gerenciamento de Ativos de TI</t>
        </is>
      </c>
      <c r="P149" s="22">
        <f>IF(N149&lt;&gt;"", IF(AND(C149=N149, D149=O149), "ACERTOU", IF(OR(C149=N149, D149=O149, C149=O149, D149=N149), "PARCIALMENTE", IF(OR(N149="Não há recomendação", O149="Não há recomendação", N149="SEM RECOMENDAÇÃO", O149="SEM RECOMENDAÇÃO"), "NÃO RECOMENDOU", "ERROU"))), "")</f>
        <v/>
      </c>
      <c r="Q149" s="23" t="n"/>
      <c r="R149" s="23" t="n"/>
      <c r="S149" s="23" t="n"/>
    </row>
    <row r="150">
      <c r="A150" t="n">
        <v>1242</v>
      </c>
      <c r="B150" s="3" t="inlineStr">
        <is>
          <t>Problema de quedas frequentes na conexão de rede</t>
        </is>
      </c>
      <c r="C150" s="3" t="inlineStr">
        <is>
          <t>Gerenciamento de Incidentes</t>
        </is>
      </c>
      <c r="D150" s="3" t="inlineStr">
        <is>
          <t>Gerenciamento de Problemas</t>
        </is>
      </c>
      <c r="E150" s="5" t="n"/>
      <c r="F150" s="5" t="n"/>
      <c r="G150" s="6">
        <f>IF(E150&lt;&gt;"", IF(AND(C150=E150, D150=F150), "ACERTOU", IF(OR(C150=E150, D150=F150, C150=F150, D150=E150), "PARCIALMENTE", IF(OR(E150="Não há recomendação", F150="Não há recomendação", E150="SEM RECOMENDAÇÃO", F150="SEM RECOMENDAÇÃO"), "NÃO RECOMENDOU", "ERROU"))), "")</f>
        <v/>
      </c>
      <c r="H150" s="20" t="n"/>
      <c r="I150" s="20" t="n"/>
      <c r="J150" s="20">
        <f>IF(H150&lt;&gt;"", IF(AND(C150=H150, D150=I150), "ACERTOU", IF(OR(C150=H150, D150=I150, C150=I150, D150=H150), "PARCIALMENTE", IF(OR(H150="Não há recomendação", I150="Não há recomendação", H150="SEM RECOMENDAÇÃO", I150="SEM RECOMENDAÇÃO"), "NÃO RECOMENDOU", "ERROU"))), "")</f>
        <v/>
      </c>
      <c r="K150" s="21" t="n"/>
      <c r="L150" s="21" t="n"/>
      <c r="M150" s="21">
        <f>IF(K150&lt;&gt;"", IF(AND(C150=K150, D150=L150), "ACERTOU", IF(OR(C150=K150, D150=L150, C150=L150, D150=K150), "PARCIALMENTE", IF(OR(K150="Não há recomendação", L150="Não há recomendação", K150="SEM RECOMENDAÇÃO", L150="SEM RECOMENDAÇÃO"), "NÃO RECOMENDOU", "ERROU"))), "")</f>
        <v/>
      </c>
      <c r="N150" s="22" t="inlineStr">
        <is>
          <t>Gerenciamento de Problemas</t>
        </is>
      </c>
      <c r="O150" s="22" t="inlineStr">
        <is>
          <t>Gerenciamento de Disponibilidade</t>
        </is>
      </c>
      <c r="P150" s="22">
        <f>IF(N150&lt;&gt;"", IF(AND(C150=N150, D150=O150), "ACERTOU", IF(OR(C150=N150, D150=O150, C150=O150, D150=N150), "PARCIALMENTE", IF(OR(N150="Não há recomendação", O150="Não há recomendação", N150="SEM RECOMENDAÇÃO", O150="SEM RECOMENDAÇÃO"), "NÃO RECOMENDOU", "ERROU"))), "")</f>
        <v/>
      </c>
      <c r="Q150" s="23" t="n"/>
      <c r="R150" s="23" t="n"/>
      <c r="S150" s="23" t="n"/>
    </row>
    <row r="151">
      <c r="A151" t="n">
        <v>1262</v>
      </c>
      <c r="B151" s="3" t="inlineStr">
        <is>
          <t>Solicitação Urgente de Suporte de Faturamento para AWS</t>
        </is>
      </c>
      <c r="C151" s="3" t="inlineStr">
        <is>
          <t>Gerenciamento Financeiro</t>
        </is>
      </c>
      <c r="D151" s="3" t="inlineStr">
        <is>
          <t>Gerenciamento de Incidentes</t>
        </is>
      </c>
      <c r="E151" s="5" t="n"/>
      <c r="F151" s="5" t="n"/>
      <c r="G151" s="6">
        <f>IF(E151&lt;&gt;"", IF(AND(C151=E151, D151=F151), "ACERTOU", IF(OR(C151=E151, D151=F151, C151=F151, D151=E151), "PARCIALMENTE", IF(OR(E151="Não há recomendação", F151="Não há recomendação", E151="SEM RECOMENDAÇÃO", F151="SEM RECOMENDAÇÃO"), "NÃO RECOMENDOU", "ERROU"))), "")</f>
        <v/>
      </c>
      <c r="H151" s="20" t="n"/>
      <c r="I151" s="20" t="n"/>
      <c r="J151" s="20">
        <f>IF(H151&lt;&gt;"", IF(AND(C151=H151, D151=I151), "ACERTOU", IF(OR(C151=H151, D151=I151, C151=I151, D151=H151), "PARCIALMENTE", IF(OR(H151="Não há recomendação", I151="Não há recomendação", H151="SEM RECOMENDAÇÃO", I151="SEM RECOMENDAÇÃO"), "NÃO RECOMENDOU", "ERROU"))), "")</f>
        <v/>
      </c>
      <c r="K151" s="21" t="n"/>
      <c r="L151" s="21" t="n"/>
      <c r="M151" s="21">
        <f>IF(K151&lt;&gt;"", IF(AND(C151=K151, D151=L151), "ACERTOU", IF(OR(C151=K151, D151=L151, C151=L151, D151=K151), "PARCIALMENTE", IF(OR(K151="Não há recomendação", L151="Não há recomendação", K151="SEM RECOMENDAÇÃO", L151="SEM RECOMENDAÇÃO"), "NÃO RECOMENDOU", "ERROU"))), "")</f>
        <v/>
      </c>
      <c r="N151" s="22" t="inlineStr">
        <is>
          <t>Gerenciamento Financeiro de TI</t>
        </is>
      </c>
      <c r="O151" s="22" t="inlineStr">
        <is>
          <t>Gerenciamento de Incidentes</t>
        </is>
      </c>
      <c r="P151" s="22">
        <f>IF(N151&lt;&gt;"", IF(AND(C151=N151, D151=O151), "ACERTOU", IF(OR(C151=N151, D151=O151, C151=O151, D151=N151), "PARCIALMENTE", IF(OR(N151="Não há recomendação", O151="Não há recomendação", N151="SEM RECOMENDAÇÃO", O151="SEM RECOMENDAÇÃO"), "NÃO RECOMENDOU", "ERROU"))), "")</f>
        <v/>
      </c>
      <c r="Q151" s="23" t="n"/>
      <c r="R151" s="23" t="n"/>
      <c r="S151" s="23" t="n"/>
    </row>
    <row r="152">
      <c r="A152" t="n">
        <v>1277</v>
      </c>
      <c r="B152" s="3" t="inlineStr">
        <is>
          <t>Problema ao Mudar o Status no Projeto de Software Jira</t>
        </is>
      </c>
      <c r="C152" s="3" t="inlineStr">
        <is>
          <t>Gerenciamento de Incidentes</t>
        </is>
      </c>
      <c r="D152" s="3" t="inlineStr">
        <is>
          <t>Gerenciamento de Acesso</t>
        </is>
      </c>
      <c r="E152" s="5" t="n"/>
      <c r="F152" s="5" t="n"/>
      <c r="G152" s="6">
        <f>IF(E152&lt;&gt;"", IF(AND(C152=E152, D152=F152), "ACERTOU", IF(OR(C152=E152, D152=F152, C152=F152, D152=E152), "PARCIALMENTE", IF(OR(E152="Não há recomendação", F152="Não há recomendação", E152="SEM RECOMENDAÇÃO", F152="SEM RECOMENDAÇÃO"), "NÃO RECOMENDOU", "ERROU"))), "")</f>
        <v/>
      </c>
      <c r="H152" s="20" t="n"/>
      <c r="I152" s="20" t="n"/>
      <c r="J152" s="20">
        <f>IF(H152&lt;&gt;"", IF(AND(C152=H152, D152=I152), "ACERTOU", IF(OR(C152=H152, D152=I152, C152=I152, D152=H152), "PARCIALMENTE", IF(OR(H152="Não há recomendação", I152="Não há recomendação", H152="SEM RECOMENDAÇÃO", I152="SEM RECOMENDAÇÃO"), "NÃO RECOMENDOU", "ERROU"))), "")</f>
        <v/>
      </c>
      <c r="K152" s="21" t="inlineStr">
        <is>
          <t>Gerenciamento de Requisição de Serviço</t>
        </is>
      </c>
      <c r="L152" s="21" t="inlineStr">
        <is>
          <t>Gerenciamento de Identidade e Acesso</t>
        </is>
      </c>
      <c r="M152" s="21">
        <f>IF(K152&lt;&gt;"", IF(AND(C152=K152, D152=L152), "ACERTOU", IF(OR(C152=K152, D152=L152, C152=L152, D152=K152), "PARCIALMENTE", IF(OR(K152="Não há recomendação", L152="Não há recomendação", K152="SEM RECOMENDAÇÃO", L152="SEM RECOMENDAÇÃO"), "NÃO RECOMENDOU", "ERROU"))), "")</f>
        <v/>
      </c>
      <c r="N152" s="22" t="n"/>
      <c r="O152" s="22" t="n"/>
      <c r="P152" s="22">
        <f>IF(N152&lt;&gt;"", IF(AND(C152=N152, D152=O152), "ACERTOU", IF(OR(C152=N152, D152=O152, C152=O152, D152=N152), "PARCIALMENTE", IF(OR(N152="Não há recomendação", O152="Não há recomendação", N152="SEM RECOMENDAÇÃO", O152="SEM RECOMENDAÇÃO"), "NÃO RECOMENDOU", "ERROU"))), "")</f>
        <v/>
      </c>
      <c r="Q152" s="23" t="n"/>
      <c r="R152" s="23" t="n"/>
      <c r="S152" s="23" t="n"/>
    </row>
    <row r="153">
      <c r="A153" t="n">
        <v>1292</v>
      </c>
      <c r="B153" s="3" t="inlineStr">
        <is>
          <t>Problemas de Conectividade de Rede</t>
        </is>
      </c>
      <c r="C153" s="3" t="inlineStr">
        <is>
          <t>Gerenciamento de Incidentes</t>
        </is>
      </c>
      <c r="D153" s="3" t="inlineStr">
        <is>
          <t>Gerenciamento de Disponibilidade</t>
        </is>
      </c>
      <c r="E153" s="5" t="n"/>
      <c r="F153" s="5" t="n"/>
      <c r="G153" s="6">
        <f>IF(E153&lt;&gt;"", IF(AND(C153=E153, D153=F153), "ACERTOU", IF(OR(C153=E153, D153=F153, C153=F153, D153=E153), "PARCIALMENTE", IF(OR(E153="Não há recomendação", F153="Não há recomendação", E153="SEM RECOMENDAÇÃO", F153="SEM RECOMENDAÇÃO"), "NÃO RECOMENDOU", "ERROU"))), "")</f>
        <v/>
      </c>
      <c r="H153" s="20" t="n"/>
      <c r="I153" s="20" t="n"/>
      <c r="J153" s="20">
        <f>IF(H153&lt;&gt;"", IF(AND(C153=H153, D153=I153), "ACERTOU", IF(OR(C153=H153, D153=I153, C153=I153, D153=H153), "PARCIALMENTE", IF(OR(H153="Não há recomendação", I153="Não há recomendação", H153="SEM RECOMENDAÇÃO", I153="SEM RECOMENDAÇÃO"), "NÃO RECOMENDOU", "ERROU"))), "")</f>
        <v/>
      </c>
      <c r="K153" s="21" t="inlineStr">
        <is>
          <t>Gerenciamento de Incidentes</t>
        </is>
      </c>
      <c r="L153" s="21" t="inlineStr">
        <is>
          <t>Gerenciamento de Infraestrutura e Plataforma</t>
        </is>
      </c>
      <c r="M153" s="21">
        <f>IF(K153&lt;&gt;"", IF(AND(C153=K153, D153=L153), "ACERTOU", IF(OR(C153=K153, D153=L153, C153=L153, D153=K153), "PARCIALMENTE", IF(OR(K153="Não há recomendação", L153="Não há recomendação", K153="SEM RECOMENDAÇÃO", L153="SEM RECOMENDAÇÃO"), "NÃO RECOMENDOU", "ERROU"))), "")</f>
        <v/>
      </c>
      <c r="N153" s="22" t="n"/>
      <c r="O153" s="22" t="n"/>
      <c r="P153" s="22">
        <f>IF(N153&lt;&gt;"", IF(AND(C153=N153, D153=O153), "ACERTOU", IF(OR(C153=N153, D153=O153, C153=O153, D153=N153), "PARCIALMENTE", IF(OR(N153="Não há recomendação", O153="Não há recomendação", N153="SEM RECOMENDAÇÃO", O153="SEM RECOMENDAÇÃO"), "NÃO RECOMENDOU", "ERROU"))), "")</f>
        <v/>
      </c>
      <c r="Q153" s="23" t="n"/>
      <c r="R153" s="23" t="n"/>
      <c r="S153" s="23" t="n"/>
    </row>
    <row r="154">
      <c r="A154" t="n">
        <v>1295</v>
      </c>
      <c r="B154" s="3" t="inlineStr">
        <is>
          <t>Urgente: Queda do Servidor AWS</t>
        </is>
      </c>
      <c r="C154" s="3" t="inlineStr">
        <is>
          <t>Gerenciamento de Incidentes</t>
        </is>
      </c>
      <c r="D154" s="3" t="inlineStr">
        <is>
          <t>Gerenciamento de Disponibilidade</t>
        </is>
      </c>
      <c r="E154" s="5" t="n"/>
      <c r="F154" s="5" t="n"/>
      <c r="G154" s="6">
        <f>IF(E154&lt;&gt;"", IF(AND(C154=E154, D154=F154), "ACERTOU", IF(OR(C154=E154, D154=F154, C154=F154, D154=E154), "PARCIALMENTE", IF(OR(E154="Não há recomendação", F154="Não há recomendação", E154="SEM RECOMENDAÇÃO", F154="SEM RECOMENDAÇÃO"), "NÃO RECOMENDOU", "ERROU"))), "")</f>
        <v/>
      </c>
      <c r="H154" s="20" t="n"/>
      <c r="I154" s="20" t="n"/>
      <c r="J154" s="20">
        <f>IF(H154&lt;&gt;"", IF(AND(C154=H154, D154=I154), "ACERTOU", IF(OR(C154=H154, D154=I154, C154=I154, D154=H154), "PARCIALMENTE", IF(OR(H154="Não há recomendação", I154="Não há recomendação", H154="SEM RECOMENDAÇÃO", I154="SEM RECOMENDAÇÃO"), "NÃO RECOMENDOU", "ERROU"))), "")</f>
        <v/>
      </c>
      <c r="K154" s="21" t="inlineStr">
        <is>
          <t>Gerenciamento de Incidentes</t>
        </is>
      </c>
      <c r="L154" s="21" t="inlineStr">
        <is>
          <t>Gerenciamento de Continuidade de Serviço</t>
        </is>
      </c>
      <c r="M154" s="21">
        <f>IF(K154&lt;&gt;"", IF(AND(C154=K154, D154=L154), "ACERTOU", IF(OR(C154=K154, D154=L154, C154=L154, D154=K154), "PARCIALMENTE", IF(OR(K154="Não há recomendação", L154="Não há recomendação", K154="SEM RECOMENDAÇÃO", L154="SEM RECOMENDAÇÃO"), "NÃO RECOMENDOU", "ERROU"))), "")</f>
        <v/>
      </c>
      <c r="N154" s="22" t="n"/>
      <c r="O154" s="22" t="n"/>
      <c r="P154" s="22">
        <f>IF(N154&lt;&gt;"", IF(AND(C154=N154, D154=O154), "ACERTOU", IF(OR(C154=N154, D154=O154, C154=O154, D154=N154), "PARCIALMENTE", IF(OR(N154="Não há recomendação", O154="Não há recomendação", N154="SEM RECOMENDAÇÃO", O154="SEM RECOMENDAÇÃO"), "NÃO RECOMENDOU", "ERROU"))), "")</f>
        <v/>
      </c>
      <c r="Q154" s="23" t="n"/>
      <c r="R154" s="23" t="n"/>
      <c r="S154" s="23" t="n"/>
    </row>
    <row r="155">
      <c r="A155" t="n">
        <v>1298</v>
      </c>
      <c r="B155" s="3" t="inlineStr">
        <is>
          <t>Problema Recurrente de Travamento do Excel Após Atualização</t>
        </is>
      </c>
      <c r="C155" s="3" t="inlineStr">
        <is>
          <t>Gerenciamento de Problemas</t>
        </is>
      </c>
      <c r="D155" s="3" t="inlineStr">
        <is>
          <t>Gerenciamento de Mudanças</t>
        </is>
      </c>
      <c r="E155" s="5" t="n"/>
      <c r="F155" s="5" t="n"/>
      <c r="G155" s="6">
        <f>IF(E155&lt;&gt;"", IF(AND(C155=E155, D155=F155), "ACERTOU", IF(OR(C155=E155, D155=F155, C155=F155, D155=E155), "PARCIALMENTE", IF(OR(E155="Não há recomendação", F155="Não há recomendação", E155="SEM RECOMENDAÇÃO", F155="SEM RECOMENDAÇÃO"), "NÃO RECOMENDOU", "ERROU"))), "")</f>
        <v/>
      </c>
      <c r="H155" s="20" t="n"/>
      <c r="I155" s="20" t="n"/>
      <c r="J155" s="20">
        <f>IF(H155&lt;&gt;"", IF(AND(C155=H155, D155=I155), "ACERTOU", IF(OR(C155=H155, D155=I155, C155=I155, D155=H155), "PARCIALMENTE", IF(OR(H155="Não há recomendação", I155="Não há recomendação", H155="SEM RECOMENDAÇÃO", I155="SEM RECOMENDAÇÃO"), "NÃO RECOMENDOU", "ERROU"))), "")</f>
        <v/>
      </c>
      <c r="K155" s="21" t="inlineStr">
        <is>
          <t>Gerenciamento de Problemas</t>
        </is>
      </c>
      <c r="L155" s="21" t="inlineStr">
        <is>
          <t>Habilitação de Mudança</t>
        </is>
      </c>
      <c r="M155" s="21">
        <f>IF(K155&lt;&gt;"", IF(AND(C155=K155, D155=L155), "ACERTOU", IF(OR(C155=K155, D155=L155, C155=L155, D155=K155), "PARCIALMENTE", IF(OR(K155="Não há recomendação", L155="Não há recomendação", K155="SEM RECOMENDAÇÃO", L155="SEM RECOMENDAÇÃO"), "NÃO RECOMENDOU", "ERROU"))), "")</f>
        <v/>
      </c>
      <c r="N155" s="22" t="n"/>
      <c r="O155" s="22" t="n"/>
      <c r="P155" s="22">
        <f>IF(N155&lt;&gt;"", IF(AND(C155=N155, D155=O155), "ACERTOU", IF(OR(C155=N155, D155=O155, C155=O155, D155=N155), "PARCIALMENTE", IF(OR(N155="Não há recomendação", O155="Não há recomendação", N155="SEM RECOMENDAÇÃO", O155="SEM RECOMENDAÇÃO"), "NÃO RECOMENDOU", "ERROU"))), "")</f>
        <v/>
      </c>
      <c r="Q155" s="23" t="n"/>
      <c r="R155" s="23" t="n"/>
      <c r="S155" s="23" t="n"/>
    </row>
    <row r="156">
      <c r="A156" t="n">
        <v>1304</v>
      </c>
      <c r="B156" s="3" t="inlineStr">
        <is>
          <t>Solicitação de Suporte para Configuração de Impressora Sem Fio</t>
        </is>
      </c>
      <c r="C156" s="3" t="inlineStr">
        <is>
          <t>Solicitação de Serviço</t>
        </is>
      </c>
      <c r="D156" s="3" t="inlineStr">
        <is>
          <t>Gerenciamento de Configuração</t>
        </is>
      </c>
      <c r="E156" s="5" t="n"/>
      <c r="F156" s="5" t="n"/>
      <c r="G156" s="6">
        <f>IF(E156&lt;&gt;"", IF(AND(C156=E156, D156=F156), "ACERTOU", IF(OR(C156=E156, D156=F156, C156=F156, D156=E156), "PARCIALMENTE", IF(OR(E156="Não há recomendação", F156="Não há recomendação", E156="SEM RECOMENDAÇÃO", F156="SEM RECOMENDAÇÃO"), "NÃO RECOMENDOU", "ERROU"))), "")</f>
        <v/>
      </c>
      <c r="H156" s="20" t="n"/>
      <c r="I156" s="20" t="n"/>
      <c r="J156" s="20">
        <f>IF(H156&lt;&gt;"", IF(AND(C156=H156, D156=I156), "ACERTOU", IF(OR(C156=H156, D156=I156, C156=I156, D156=H156), "PARCIALMENTE", IF(OR(H156="Não há recomendação", I156="Não há recomendação", H156="SEM RECOMENDAÇÃO", I156="SEM RECOMENDAÇÃO"), "NÃO RECOMENDOU", "ERROU"))), "")</f>
        <v/>
      </c>
      <c r="K156" s="21" t="inlineStr">
        <is>
          <t>Gerenciamento de Requisição de Serviço</t>
        </is>
      </c>
      <c r="L156" s="21" t="inlineStr">
        <is>
          <t>Gerenciamento de Ativos de TI</t>
        </is>
      </c>
      <c r="M156" s="21">
        <f>IF(K156&lt;&gt;"", IF(AND(C156=K156, D156=L156), "ACERTOU", IF(OR(C156=K156, D156=L156, C156=L156, D156=K156), "PARCIALMENTE", IF(OR(K156="Não há recomendação", L156="Não há recomendação", K156="SEM RECOMENDAÇÃO", L156="SEM RECOMENDAÇÃO"), "NÃO RECOMENDOU", "ERROU"))), "")</f>
        <v/>
      </c>
      <c r="N156" s="22" t="n"/>
      <c r="O156" s="22" t="n"/>
      <c r="P156" s="22">
        <f>IF(N156&lt;&gt;"", IF(AND(C156=N156, D156=O156), "ACERTOU", IF(OR(C156=N156, D156=O156, C156=O156, D156=N156), "PARCIALMENTE", IF(OR(N156="Não há recomendação", O156="Não há recomendação", N156="SEM RECOMENDAÇÃO", O156="SEM RECOMENDAÇÃO"), "NÃO RECOMENDOU", "ERROU"))), "")</f>
        <v/>
      </c>
      <c r="Q156" s="23" t="n"/>
      <c r="R156" s="23" t="n"/>
      <c r="S156" s="23" t="n"/>
    </row>
    <row r="157">
      <c r="A157" t="n">
        <v>1322</v>
      </c>
      <c r="B157" s="3" t="inlineStr">
        <is>
          <t>Problema com o Teclado</t>
        </is>
      </c>
      <c r="C157" s="3" t="inlineStr">
        <is>
          <t>Gerenciamento de Incidentes</t>
        </is>
      </c>
      <c r="D157" s="3" t="inlineStr">
        <is>
          <t>Gerenciamento de Ativos de TI</t>
        </is>
      </c>
      <c r="E157" s="5" t="n"/>
      <c r="F157" s="5" t="n"/>
      <c r="G157" s="6">
        <f>IF(E157&lt;&gt;"", IF(AND(C157=E157, D157=F157), "ACERTOU", IF(OR(C157=E157, D157=F157, C157=F157, D157=E157), "PARCIALMENTE", IF(OR(E157="Não há recomendação", F157="Não há recomendação", E157="SEM RECOMENDAÇÃO", F157="SEM RECOMENDAÇÃO"), "NÃO RECOMENDOU", "ERROU"))), "")</f>
        <v/>
      </c>
      <c r="H157" s="20" t="n"/>
      <c r="I157" s="20" t="n"/>
      <c r="J157" s="20">
        <f>IF(H157&lt;&gt;"", IF(AND(C157=H157, D157=I157), "ACERTOU", IF(OR(C157=H157, D157=I157, C157=I157, D157=H157), "PARCIALMENTE", IF(OR(H157="Não há recomendação", I157="Não há recomendação", H157="SEM RECOMENDAÇÃO", I157="SEM RECOMENDAÇÃO"), "NÃO RECOMENDOU", "ERROU"))), "")</f>
        <v/>
      </c>
      <c r="K157" s="21" t="inlineStr">
        <is>
          <t>Gerenciamento de Incidentes</t>
        </is>
      </c>
      <c r="L157" s="21" t="inlineStr">
        <is>
          <t>Gerenciamento de Ativos de TI</t>
        </is>
      </c>
      <c r="M157" s="21">
        <f>IF(K157&lt;&gt;"", IF(AND(C157=K157, D157=L157), "ACERTOU", IF(OR(C157=K157, D157=L157, C157=L157, D157=K157), "PARCIALMENTE", IF(OR(K157="Não há recomendação", L157="Não há recomendação", K157="SEM RECOMENDAÇÃO", L157="SEM RECOMENDAÇÃO"), "NÃO RECOMENDOU", "ERROU"))), "")</f>
        <v/>
      </c>
      <c r="N157" s="22" t="n"/>
      <c r="O157" s="22" t="n"/>
      <c r="P157" s="22">
        <f>IF(N157&lt;&gt;"", IF(AND(C157=N157, D157=O157), "ACERTOU", IF(OR(C157=N157, D157=O157, C157=O157, D157=N157), "PARCIALMENTE", IF(OR(N157="Não há recomendação", O157="Não há recomendação", N157="SEM RECOMENDAÇÃO", O157="SEM RECOMENDAÇÃO"), "NÃO RECOMENDOU", "ERROU"))), "")</f>
        <v/>
      </c>
      <c r="Q157" s="23" t="n"/>
      <c r="R157" s="23" t="n"/>
      <c r="S157" s="23" t="n"/>
    </row>
    <row r="158">
      <c r="A158" t="n">
        <v>1337</v>
      </c>
      <c r="B158" s="3" t="inlineStr">
        <is>
          <t>Problema com a Exibição do Ticket do Jira</t>
        </is>
      </c>
      <c r="C158" s="3" t="inlineStr">
        <is>
          <t>Gerenciamento de Incidentes</t>
        </is>
      </c>
      <c r="D158" s="3" t="inlineStr">
        <is>
          <t>Gerenciamento de Problemas</t>
        </is>
      </c>
      <c r="E158" s="5" t="n"/>
      <c r="F158" s="5" t="n"/>
      <c r="G158" s="6">
        <f>IF(E158&lt;&gt;"", IF(AND(C158=E158, D158=F158), "ACERTOU", IF(OR(C158=E158, D158=F158, C158=F158, D158=E158), "PARCIALMENTE", IF(OR(E158="Não há recomendação", F158="Não há recomendação", E158="SEM RECOMENDAÇÃO", F158="SEM RECOMENDAÇÃO"), "NÃO RECOMENDOU", "ERROU"))), "")</f>
        <v/>
      </c>
      <c r="H158" s="20" t="n"/>
      <c r="I158" s="20" t="n"/>
      <c r="J158" s="20">
        <f>IF(H158&lt;&gt;"", IF(AND(C158=H158, D158=I158), "ACERTOU", IF(OR(C158=H158, D158=I158, C158=I158, D158=H158), "PARCIALMENTE", IF(OR(H158="Não há recomendação", I158="Não há recomendação", H158="SEM RECOMENDAÇÃO", I158="SEM RECOMENDAÇÃO"), "NÃO RECOMENDOU", "ERROU"))), "")</f>
        <v/>
      </c>
      <c r="K158" s="21" t="inlineStr">
        <is>
          <t>Gerenciamento de Incidentes</t>
        </is>
      </c>
      <c r="L158" s="21" t="inlineStr">
        <is>
          <t>Gerenciamento de Problemas</t>
        </is>
      </c>
      <c r="M158" s="21">
        <f>IF(K158&lt;&gt;"", IF(AND(C158=K158, D158=L158), "ACERTOU", IF(OR(C158=K158, D158=L158, C158=L158, D158=K158), "PARCIALMENTE", IF(OR(K158="Não há recomendação", L158="Não há recomendação", K158="SEM RECOMENDAÇÃO", L158="SEM RECOMENDAÇÃO"), "NÃO RECOMENDOU", "ERROU"))), "")</f>
        <v/>
      </c>
      <c r="N158" s="22" t="n"/>
      <c r="O158" s="22" t="n"/>
      <c r="P158" s="22">
        <f>IF(N158&lt;&gt;"", IF(AND(C158=N158, D158=O158), "ACERTOU", IF(OR(C158=N158, D158=O158, C158=O158, D158=N158), "PARCIALMENTE", IF(OR(N158="Não há recomendação", O158="Não há recomendação", N158="SEM RECOMENDAÇÃO", O158="SEM RECOMENDAÇÃO"), "NÃO RECOMENDOU", "ERROU"))), "")</f>
        <v/>
      </c>
      <c r="Q158" s="23" t="n"/>
      <c r="R158" s="23" t="n"/>
      <c r="S158" s="23" t="n"/>
    </row>
    <row r="159">
      <c r="A159" t="n">
        <v>1349</v>
      </c>
      <c r="B159" s="3" t="inlineStr">
        <is>
          <t>Consulta sobre Configuração de Impressão Sem Fio para Epson EcoTank ET-4760</t>
        </is>
      </c>
      <c r="C159" s="3" t="inlineStr">
        <is>
          <t>Solicitação de Serviço</t>
        </is>
      </c>
      <c r="D159" s="3" t="inlineStr">
        <is>
          <t>Gerenciamento de Incidentes</t>
        </is>
      </c>
      <c r="E159" s="5" t="n"/>
      <c r="F159" s="5" t="n"/>
      <c r="G159" s="6">
        <f>IF(E159&lt;&gt;"", IF(AND(C159=E159, D159=F159), "ACERTOU", IF(OR(C159=E159, D159=F159, C159=F159, D159=E159), "PARCIALMENTE", IF(OR(E159="Não há recomendação", F159="Não há recomendação", E159="SEM RECOMENDAÇÃO", F159="SEM RECOMENDAÇÃO"), "NÃO RECOMENDOU", "ERROU"))), "")</f>
        <v/>
      </c>
      <c r="H159" s="20" t="n"/>
      <c r="I159" s="20" t="n"/>
      <c r="J159" s="20">
        <f>IF(H159&lt;&gt;"", IF(AND(C159=H159, D159=I159), "ACERTOU", IF(OR(C159=H159, D159=I159, C159=I159, D159=H159), "PARCIALMENTE", IF(OR(H159="Não há recomendação", I159="Não há recomendação", H159="SEM RECOMENDAÇÃO", I159="SEM RECOMENDAÇÃO"), "NÃO RECOMENDOU", "ERROU"))), "")</f>
        <v/>
      </c>
      <c r="K159" s="21" t="inlineStr">
        <is>
          <t>Gerenciamento de Requisição de Serviço</t>
        </is>
      </c>
      <c r="L159" s="21" t="inlineStr">
        <is>
          <t>Central de Serviço</t>
        </is>
      </c>
      <c r="M159" s="21">
        <f>IF(K159&lt;&gt;"", IF(AND(C159=K159, D159=L159), "ACERTOU", IF(OR(C159=K159, D159=L159, C159=L159, D159=K159), "PARCIALMENTE", IF(OR(K159="Não há recomendação", L159="Não há recomendação", K159="SEM RECOMENDAÇÃO", L159="SEM RECOMENDAÇÃO"), "NÃO RECOMENDOU", "ERROU"))), "")</f>
        <v/>
      </c>
      <c r="N159" s="22" t="n"/>
      <c r="O159" s="22" t="n"/>
      <c r="P159" s="22">
        <f>IF(N159&lt;&gt;"", IF(AND(C159=N159, D159=O159), "ACERTOU", IF(OR(C159=N159, D159=O159, C159=O159, D159=N159), "PARCIALMENTE", IF(OR(N159="Não há recomendação", O159="Não há recomendação", N159="SEM RECOMENDAÇÃO", O159="SEM RECOMENDAÇÃO"), "NÃO RECOMENDOU", "ERROU"))), "")</f>
        <v/>
      </c>
      <c r="Q159" s="23" t="n"/>
      <c r="R159" s="23" t="n"/>
      <c r="S159" s="23" t="n"/>
    </row>
    <row r="160">
      <c r="A160" t="n">
        <v>1354</v>
      </c>
      <c r="B160" s="3" t="inlineStr">
        <is>
          <t>Consulta sobre o Upgrade do Dell XPS 13 9310</t>
        </is>
      </c>
      <c r="C160" s="3" t="inlineStr">
        <is>
          <t>Solicitação de Serviço</t>
        </is>
      </c>
      <c r="D160" s="3" t="inlineStr">
        <is>
          <t>Gerenciamento de Ativos de TI</t>
        </is>
      </c>
      <c r="E160" s="5" t="n"/>
      <c r="F160" s="5" t="n"/>
      <c r="G160" s="6">
        <f>IF(E160&lt;&gt;"", IF(AND(C160=E160, D160=F160), "ACERTOU", IF(OR(C160=E160, D160=F160, C160=F160, D160=E160), "PARCIALMENTE", IF(OR(E160="Não há recomendação", F160="Não há recomendação", E160="SEM RECOMENDAÇÃO", F160="SEM RECOMENDAÇÃO"), "NÃO RECOMENDOU", "ERROU"))), "")</f>
        <v/>
      </c>
      <c r="H160" s="20" t="n"/>
      <c r="I160" s="20" t="n"/>
      <c r="J160" s="20">
        <f>IF(H160&lt;&gt;"", IF(AND(C160=H160, D160=I160), "ACERTOU", IF(OR(C160=H160, D160=I160, C160=I160, D160=H160), "PARCIALMENTE", IF(OR(H160="Não há recomendação", I160="Não há recomendação", H160="SEM RECOMENDAÇÃO", I160="SEM RECOMENDAÇÃO"), "NÃO RECOMENDOU", "ERROU"))), "")</f>
        <v/>
      </c>
      <c r="K160" s="21" t="inlineStr">
        <is>
          <t>Gerenciamento de Requisição de Serviço</t>
        </is>
      </c>
      <c r="L160" s="21" t="inlineStr">
        <is>
          <t>Gerenciamento de Configuração de Serviço</t>
        </is>
      </c>
      <c r="M160" s="21">
        <f>IF(K160&lt;&gt;"", IF(AND(C160=K160, D160=L160), "ACERTOU", IF(OR(C160=K160, D160=L160, C160=L160, D160=K160), "PARCIALMENTE", IF(OR(K160="Não há recomendação", L160="Não há recomendação", K160="SEM RECOMENDAÇÃO", L160="SEM RECOMENDAÇÃO"), "NÃO RECOMENDOU", "ERROU"))), "")</f>
        <v/>
      </c>
      <c r="N160" s="22" t="n"/>
      <c r="O160" s="22" t="n"/>
      <c r="P160" s="22">
        <f>IF(N160&lt;&gt;"", IF(AND(C160=N160, D160=O160), "ACERTOU", IF(OR(C160=N160, D160=O160, C160=O160, D160=N160), "PARCIALMENTE", IF(OR(N160="Não há recomendação", O160="Não há recomendação", N160="SEM RECOMENDAÇÃO", O160="SEM RECOMENDAÇÃO"), "NÃO RECOMENDOU", "ERROU"))), "")</f>
        <v/>
      </c>
      <c r="Q160" s="23" t="n"/>
      <c r="R160" s="23" t="n"/>
      <c r="S160" s="23" t="n"/>
    </row>
    <row r="161">
      <c r="A161" t="n">
        <v>1359</v>
      </c>
      <c r="B161" s="3" t="inlineStr">
        <is>
          <t>Problema com a tela sensível ao toque do Surface Pro 7</t>
        </is>
      </c>
      <c r="C161" s="3" t="inlineStr">
        <is>
          <t>Gerenciamento de Incidentes</t>
        </is>
      </c>
      <c r="D161" s="3" t="inlineStr">
        <is>
          <t>Gerenciamento de Ativos de TI</t>
        </is>
      </c>
      <c r="F161" s="5">
        <f>IFERROR(INDEX([1]resposta_chat_stream!$B$2:$B$34, MATCH(_xlfn.CONCAT("*#",[1]analise_resposta!A161,"*"), [1]resposta_chat_stream!$C$2:$C$34, 0)), "")</f>
        <v/>
      </c>
      <c r="G161" s="6">
        <f>IF(E161&lt;&gt;"", IF(AND(C161=E161, D161=F161), "ACERTOU", IF(OR(C161=E161, D161=F161, C161=F161, D161=E161), "PARCIALMENTE", IF(OR(E161="Não há recomendação", F161="Não há recomendação", E161="SEM RECOMENDAÇÃO", F161="SEM RECOMENDAÇÃO"), "NÃO RECOMENDOU", "ERROU"))), "")</f>
        <v/>
      </c>
      <c r="H161" s="20">
        <f>IFERROR(INDEX([1]reposta_chat!$A$2:$A$121, MATCH(_xlfn.CONCAT("*#",[1]analise_resposta!A161,"*"), [1]reposta_chat!$C$2:$C$121, 0)), "")</f>
        <v/>
      </c>
      <c r="I161" s="20">
        <f>IFERROR(INDEX([1]reposta_chat!$B$2:$B$121, MATCH(_xlfn.CONCAT("*#",[1]analise_resposta!A161,"*"), [1]reposta_chat!$C$2:$C$121, 0)), "")</f>
        <v/>
      </c>
      <c r="J161" s="20">
        <f>IF(H161&lt;&gt;"", IF(AND(C161=H161, D161=I161), "ACERTOU", IF(OR(C161=H161, D161=I161, C161=I161, D161=H161), "PARCIALMENTE", IF(OR(H161="Não há recomendação", I161="Não há recomendação", H161="SEM RECOMENDAÇÃO", I161="SEM RECOMENDAÇÃO"), "NÃO RECOMENDOU", "ERROU"))), "")</f>
        <v/>
      </c>
      <c r="K161" s="21" t="inlineStr">
        <is>
          <t>Gerenciamento de Incidentes</t>
        </is>
      </c>
      <c r="L161" s="21" t="inlineStr">
        <is>
          <t>Gerenciamento de Problemas</t>
        </is>
      </c>
      <c r="M161" s="21">
        <f>IF(K161&lt;&gt;"", IF(AND(C161=K161, D161=L161), "ACERTOU", IF(OR(C161=K161, D161=L161, C161=L161, D161=K161), "PARCIALMENTE", IF(OR(K161="Não há recomendação", L161="Não há recomendação", K161="SEM RECOMENDAÇÃO", L161="SEM RECOMENDAÇÃO"), "NÃO RECOMENDOU", "ERROU"))), "")</f>
        <v/>
      </c>
      <c r="N161" s="22">
        <f>IFERROR(INDEX([1]respota_rag_adaptativo!$A$2:$A$853, MATCH(_xlfn.CONCAT("*#",[1]analise_resposta!A161,"*"), [1]respota_rag_adaptativo!$C$2:$C$85, 0)), "")</f>
        <v/>
      </c>
      <c r="O161" s="22" t="n"/>
      <c r="P161" s="22">
        <f>IF(N161&lt;&gt;"", IF(AND(C161=N161, D161=O161), "ACERTOU", IF(OR(C161=N161, D161=O161, C161=O161, D161=N161), "PARCIALMENTE", IF(OR(N161="Não há recomendação", O161="Não há recomendação", N161="SEM RECOMENDAÇÃO", O161="SEM RECOMENDAÇÃO"), "NÃO RECOMENDOU", "ERROU"))), "")</f>
        <v/>
      </c>
      <c r="Q161" s="23">
        <f>IFERROR(INDEX([1]resposta_plan_exec!$A$2:$A$121, MATCH(_xlfn.CONCAT("*",[1]analise_resposta!A161,"*"), [1]resposta_plan_exec!$C$2:$C$121, 0)), "")</f>
        <v/>
      </c>
      <c r="R161" s="23">
        <f>IF([1]analise_resposta!A161="", "",
    _xlfn.LET(_xlpm.resultado, IFERROR(INDEX([1]resposta_plan_exec!$B$2:$B$121,
                           MATCH(_xlfn.CONCAT("*", [1]analise_resposta!A161, "*"),
                                   [1]resposta_plan_exec!$C$2:$C$121, 0)), ""),
        IF(_xlpm.resultado="", "", _xlpm.resultado)))</f>
        <v/>
      </c>
      <c r="S161" s="23" t="n"/>
    </row>
    <row r="162">
      <c r="A162" t="n">
        <v>1373</v>
      </c>
      <c r="B162" s="3" t="inlineStr">
        <is>
          <t>Problema Urgente: O Colapso do Sistema de Tickets do Jira Software</t>
        </is>
      </c>
      <c r="C162" s="3" t="inlineStr">
        <is>
          <t>Gerenciamento de Incidentes</t>
        </is>
      </c>
      <c r="D162" s="3" t="inlineStr">
        <is>
          <t>Gerenciamento de Disponibilidade</t>
        </is>
      </c>
      <c r="F162" s="5">
        <f>IFERROR(INDEX([1]resposta_chat_stream!$B$2:$B$34, MATCH(_xlfn.CONCAT("*#",[1]analise_resposta!A162,"*"), [1]resposta_chat_stream!$C$2:$C$34, 0)), "")</f>
        <v/>
      </c>
      <c r="G162" s="6">
        <f>IF(E162&lt;&gt;"", IF(AND(C162=E162, D162=F162), "ACERTOU", IF(OR(C162=E162, D162=F162, C162=F162, D162=E162), "PARCIALMENTE", IF(OR(E162="Não há recomendação", F162="Não há recomendação", E162="SEM RECOMENDAÇÃO", F162="SEM RECOMENDAÇÃO"), "NÃO RECOMENDOU", "ERROU"))), "")</f>
        <v/>
      </c>
      <c r="H162" s="20">
        <f>IFERROR(INDEX([1]reposta_chat!$A$2:$A$121, MATCH(_xlfn.CONCAT("*#",[1]analise_resposta!A162,"*"), [1]reposta_chat!$C$2:$C$121, 0)), "")</f>
        <v/>
      </c>
      <c r="I162" s="20">
        <f>IFERROR(INDEX([1]reposta_chat!$B$2:$B$121, MATCH(_xlfn.CONCAT("*#",[1]analise_resposta!A162,"*"), [1]reposta_chat!$C$2:$C$121, 0)), "")</f>
        <v/>
      </c>
      <c r="J162" s="20">
        <f>IF(H162&lt;&gt;"", IF(AND(C162=H162, D162=I162), "ACERTOU", IF(OR(C162=H162, D162=I162, C162=I162, D162=H162), "PARCIALMENTE", IF(OR(H162="Não há recomendação", I162="Não há recomendação", H162="SEM RECOMENDAÇÃO", I162="SEM RECOMENDAÇÃO"), "NÃO RECOMENDOU", "ERROU"))), "")</f>
        <v/>
      </c>
      <c r="K162" s="21" t="inlineStr">
        <is>
          <t>Gerenciamento de Incidentes</t>
        </is>
      </c>
      <c r="L162" s="21" t="inlineStr">
        <is>
          <t>Gerenciamento de Capacidade e Desempenho</t>
        </is>
      </c>
      <c r="M162" s="21">
        <f>IF(K162&lt;&gt;"", IF(AND(C162=K162, D162=L162), "ACERTOU", IF(OR(C162=K162, D162=L162, C162=L162, D162=K162), "PARCIALMENTE", IF(OR(K162="Não há recomendação", L162="Não há recomendação", K162="SEM RECOMENDAÇÃO", L162="SEM RECOMENDAÇÃO"), "NÃO RECOMENDOU", "ERROU"))), "")</f>
        <v/>
      </c>
      <c r="N162" s="22">
        <f>IFERROR(INDEX([1]respota_rag_adaptativo!$A$2:$A$853, MATCH(_xlfn.CONCAT("*#",[1]analise_resposta!A162,"*"), [1]respota_rag_adaptativo!$C$2:$C$85, 0)), "")</f>
        <v/>
      </c>
      <c r="O162" s="22" t="n"/>
      <c r="P162" s="22">
        <f>IF(N162&lt;&gt;"", IF(AND(C162=N162, D162=O162), "ACERTOU", IF(OR(C162=N162, D162=O162, C162=O162, D162=N162), "PARCIALMENTE", IF(OR(N162="Não há recomendação", O162="Não há recomendação", N162="SEM RECOMENDAÇÃO", O162="SEM RECOMENDAÇÃO"), "NÃO RECOMENDOU", "ERROU"))), "")</f>
        <v/>
      </c>
      <c r="Q162" s="23">
        <f>IFERROR(INDEX([1]resposta_plan_exec!$A$2:$A$121, MATCH(_xlfn.CONCAT("*",[1]analise_resposta!A162,"*"), [1]resposta_plan_exec!$C$2:$C$121, 0)), "")</f>
        <v/>
      </c>
      <c r="R162" s="23">
        <f>IF([1]analise_resposta!A162="", "",
    _xlfn.LET(_xlpm.resultado, IFERROR(INDEX([1]resposta_plan_exec!$B$2:$B$121,
                           MATCH(_xlfn.CONCAT("*", [1]analise_resposta!A162, "*"),
                                   [1]resposta_plan_exec!$C$2:$C$121, 0)), ""),
        IF(_xlpm.resultado="", "", _xlpm.resultado)))</f>
        <v/>
      </c>
      <c r="S162" s="23" t="n"/>
    </row>
    <row r="163">
      <c r="A163" t="n">
        <v>1390</v>
      </c>
      <c r="B163" s="3" t="inlineStr">
        <is>
          <t>Problemas com Videoconferência no Zoom</t>
        </is>
      </c>
      <c r="C163" s="3" t="inlineStr">
        <is>
          <t>Gerenciamento de Incidentes</t>
        </is>
      </c>
      <c r="D163" s="3" t="inlineStr">
        <is>
          <t>Gerenciamento de Problemas</t>
        </is>
      </c>
      <c r="F163" s="5">
        <f>IFERROR(INDEX([1]resposta_chat_stream!$B$2:$B$34, MATCH(_xlfn.CONCAT("*#",[1]analise_resposta!A163,"*"), [1]resposta_chat_stream!$C$2:$C$34, 0)), "")</f>
        <v/>
      </c>
      <c r="G163" s="6">
        <f>IF(E163&lt;&gt;"", IF(AND(C163=E163, D163=F163), "ACERTOU", IF(OR(C163=E163, D163=F163, C163=F163, D163=E163), "PARCIALMENTE", IF(OR(E163="Não há recomendação", F163="Não há recomendação", E163="SEM RECOMENDAÇÃO", F163="SEM RECOMENDAÇÃO"), "NÃO RECOMENDOU", "ERROU"))), "")</f>
        <v/>
      </c>
      <c r="H163" s="20">
        <f>IFERROR(INDEX([1]reposta_chat!$A$2:$A$121, MATCH(_xlfn.CONCAT("*#",[1]analise_resposta!A163,"*"), [1]reposta_chat!$C$2:$C$121, 0)), "")</f>
        <v/>
      </c>
      <c r="I163" s="20">
        <f>IFERROR(INDEX([1]reposta_chat!$B$2:$B$121, MATCH(_xlfn.CONCAT("*#",[1]analise_resposta!A163,"*"), [1]reposta_chat!$C$2:$C$121, 0)), "")</f>
        <v/>
      </c>
      <c r="J163" s="20">
        <f>IF(H163&lt;&gt;"", IF(AND(C163=H163, D163=I163), "ACERTOU", IF(OR(C163=H163, D163=I163, C163=I163, D163=H163), "PARCIALMENTE", IF(OR(H163="Não há recomendação", I163="Não há recomendação", H163="SEM RECOMENDAÇÃO", I163="SEM RECOMENDAÇÃO"), "NÃO RECOMENDOU", "ERROU"))), "")</f>
        <v/>
      </c>
      <c r="K163" s="21" t="inlineStr">
        <is>
          <t>Gerenciamento de Incidentes</t>
        </is>
      </c>
      <c r="L163" s="21" t="inlineStr">
        <is>
          <t>Gerenciamento de Nível de Serviço</t>
        </is>
      </c>
      <c r="M163" s="21">
        <f>IF(K163&lt;&gt;"", IF(AND(C163=K163, D163=L163), "ACERTOU", IF(OR(C163=K163, D163=L163, C163=L163, D163=K163), "PARCIALMENTE", IF(OR(K163="Não há recomendação", L163="Não há recomendação", K163="SEM RECOMENDAÇÃO", L163="SEM RECOMENDAÇÃO"), "NÃO RECOMENDOU", "ERROU"))), "")</f>
        <v/>
      </c>
      <c r="N163" s="22">
        <f>IFERROR(INDEX([1]respota_rag_adaptativo!$A$2:$A$853, MATCH(_xlfn.CONCAT("*#",[1]analise_resposta!A163,"*"), [1]respota_rag_adaptativo!$C$2:$C$85, 0)), "")</f>
        <v/>
      </c>
      <c r="O163" s="22" t="n"/>
      <c r="P163" s="22">
        <f>IF(N163&lt;&gt;"", IF(AND(C163=N163, D163=O163), "ACERTOU", IF(OR(C163=N163, D163=O163, C163=O163, D163=N163), "PARCIALMENTE", IF(OR(N163="Não há recomendação", O163="Não há recomendação", N163="SEM RECOMENDAÇÃO", O163="SEM RECOMENDAÇÃO"), "NÃO RECOMENDOU", "ERROU"))), "")</f>
        <v/>
      </c>
      <c r="Q163" s="23">
        <f>IFERROR(INDEX([1]resposta_plan_exec!$A$2:$A$121, MATCH(_xlfn.CONCAT("*",[1]analise_resposta!A163,"*"), [1]resposta_plan_exec!$C$2:$C$121, 0)), "")</f>
        <v/>
      </c>
      <c r="R163" s="23">
        <f>IF([1]analise_resposta!A163="", "",
    _xlfn.LET(_xlpm.resultado, IFERROR(INDEX([1]resposta_plan_exec!$B$2:$B$121,
                           MATCH(_xlfn.CONCAT("*", [1]analise_resposta!A163, "*"),
                                   [1]resposta_plan_exec!$C$2:$C$121, 0)), ""),
        IF(_xlpm.resultado="", "", _xlpm.resultado)))</f>
        <v/>
      </c>
      <c r="S163" s="23" t="n"/>
    </row>
    <row r="164">
      <c r="A164" t="n">
        <v>1420</v>
      </c>
      <c r="B164" s="3" t="inlineStr">
        <is>
          <t>Consulta sobre Pacotes de Consultoria e Preços</t>
        </is>
      </c>
      <c r="C164" s="3" t="inlineStr">
        <is>
          <t>Solicitação de Serviço</t>
        </is>
      </c>
      <c r="D164" s="3" t="inlineStr">
        <is>
          <t>Gerenciamento Financeiro</t>
        </is>
      </c>
      <c r="F164" s="5">
        <f>IFERROR(INDEX([1]resposta_chat_stream!$B$2:$B$34, MATCH(_xlfn.CONCAT("*#",[1]analise_resposta!A164,"*"), [1]resposta_chat_stream!$C$2:$C$34, 0)), "")</f>
        <v/>
      </c>
      <c r="G164" s="6">
        <f>IF(E164&lt;&gt;"", IF(AND(C164=E164, D164=F164), "ACERTOU", IF(OR(C164=E164, D164=F164, C164=F164, D164=E164), "PARCIALMENTE", IF(OR(E164="Não há recomendação", F164="Não há recomendação", E164="SEM RECOMENDAÇÃO", F164="SEM RECOMENDAÇÃO"), "NÃO RECOMENDOU", "ERROU"))), "")</f>
        <v/>
      </c>
      <c r="H164" s="20">
        <f>IFERROR(INDEX([1]reposta_chat!$A$2:$A$121, MATCH(_xlfn.CONCAT("*#",[1]analise_resposta!A164,"*"), [1]reposta_chat!$C$2:$C$121, 0)), "")</f>
        <v/>
      </c>
      <c r="I164" s="20">
        <f>IFERROR(INDEX([1]reposta_chat!$B$2:$B$121, MATCH(_xlfn.CONCAT("*#",[1]analise_resposta!A164,"*"), [1]reposta_chat!$C$2:$C$121, 0)), "")</f>
        <v/>
      </c>
      <c r="J164" s="20">
        <f>IF(H164&lt;&gt;"", IF(AND(C164=H164, D164=I164), "ACERTOU", IF(OR(C164=H164, D164=I164, C164=I164, D164=H164), "PARCIALMENTE", IF(OR(H164="Não há recomendação", I164="Não há recomendação", H164="SEM RECOMENDAÇÃO", I164="SEM RECOMENDAÇÃO"), "NÃO RECOMENDOU", "ERROU"))), "")</f>
        <v/>
      </c>
      <c r="K164" s="21" t="inlineStr">
        <is>
          <t>Gerenciamento de Relacionamento</t>
        </is>
      </c>
      <c r="L164" s="21" t="inlineStr">
        <is>
          <t>Gerenciamento de Catálogo de Serviço</t>
        </is>
      </c>
      <c r="M164" s="21">
        <f>IF(K164&lt;&gt;"", IF(AND(C164=K164, D164=L164), "ACERTOU", IF(OR(C164=K164, D164=L164, C164=L164, D164=K164), "PARCIALMENTE", IF(OR(K164="Não há recomendação", L164="Não há recomendação", K164="SEM RECOMENDAÇÃO", L164="SEM RECOMENDAÇÃO"), "NÃO RECOMENDOU", "ERROU"))), "")</f>
        <v/>
      </c>
      <c r="N164" s="22">
        <f>IFERROR(INDEX([1]respota_rag_adaptativo!$A$2:$A$853, MATCH(_xlfn.CONCAT("*#",[1]analise_resposta!A164,"*"), [1]respota_rag_adaptativo!$C$2:$C$85, 0)), "")</f>
        <v/>
      </c>
      <c r="O164" s="22" t="n"/>
      <c r="P164" s="22">
        <f>IF(N164&lt;&gt;"", IF(AND(C164=N164, D164=O164), "ACERTOU", IF(OR(C164=N164, D164=O164, C164=O164, D164=N164), "PARCIALMENTE", IF(OR(N164="Não há recomendação", O164="Não há recomendação", N164="SEM RECOMENDAÇÃO", O164="SEM RECOMENDAÇÃO"), "NÃO RECOMENDOU", "ERROU"))), "")</f>
        <v/>
      </c>
      <c r="Q164" s="23">
        <f>IFERROR(INDEX([1]resposta_plan_exec!$A$2:$A$121, MATCH(_xlfn.CONCAT("*",[1]analise_resposta!A164,"*"), [1]resposta_plan_exec!$C$2:$C$121, 0)), "")</f>
        <v/>
      </c>
      <c r="R164" s="23">
        <f>IF([1]analise_resposta!A164="", "",
    _xlfn.LET(_xlpm.resultado, IFERROR(INDEX([1]resposta_plan_exec!$B$2:$B$121,
                           MATCH(_xlfn.CONCAT("*", [1]analise_resposta!A164, "*"),
                                   [1]resposta_plan_exec!$C$2:$C$121, 0)), ""),
        IF(_xlpm.resultado="", "", _xlpm.resultado)))</f>
        <v/>
      </c>
      <c r="S164" s="23" t="n"/>
    </row>
    <row r="165">
      <c r="A165" t="n">
        <v>1426</v>
      </c>
      <c r="B165" s="3" t="inlineStr">
        <is>
          <t>Ação Imediata Necessária para Interrupção do Serviço AWS</t>
        </is>
      </c>
      <c r="C165" s="3" t="inlineStr">
        <is>
          <t>Gerenciamento de Incidentes</t>
        </is>
      </c>
      <c r="D165" s="3" t="inlineStr">
        <is>
          <t>Gerenciamento de Disponibilidade</t>
        </is>
      </c>
      <c r="F165" s="5">
        <f>IFERROR(INDEX([1]resposta_chat_stream!$B$2:$B$34, MATCH(_xlfn.CONCAT("*#",[1]analise_resposta!A165,"*"), [1]resposta_chat_stream!$C$2:$C$34, 0)), "")</f>
        <v/>
      </c>
      <c r="G165" s="6">
        <f>IF(E165&lt;&gt;"", IF(AND(C165=E165, D165=F165), "ACERTOU", IF(OR(C165=E165, D165=F165, C165=F165, D165=E165), "PARCIALMENTE", IF(OR(E165="Não há recomendação", F165="Não há recomendação", E165="SEM RECOMENDAÇÃO", F165="SEM RECOMENDAÇÃO"), "NÃO RECOMENDOU", "ERROU"))), "")</f>
        <v/>
      </c>
      <c r="H165" s="20">
        <f>IFERROR(INDEX([1]reposta_chat!$A$2:$A$121, MATCH(_xlfn.CONCAT("*#",[1]analise_resposta!A165,"*"), [1]reposta_chat!$C$2:$C$121, 0)), "")</f>
        <v/>
      </c>
      <c r="I165" s="20">
        <f>IFERROR(INDEX([1]reposta_chat!$B$2:$B$121, MATCH(_xlfn.CONCAT("*#",[1]analise_resposta!A165,"*"), [1]reposta_chat!$C$2:$C$121, 0)), "")</f>
        <v/>
      </c>
      <c r="J165" s="20">
        <f>IF(H165&lt;&gt;"", IF(AND(C165=H165, D165=I165), "ACERTOU", IF(OR(C165=H165, D165=I165, C165=I165, D165=H165), "PARCIALMENTE", IF(OR(H165="Não há recomendação", I165="Não há recomendação", H165="SEM RECOMENDAÇÃO", I165="SEM RECOMENDAÇÃO"), "NÃO RECOMENDOU", "ERROU"))), "")</f>
        <v/>
      </c>
      <c r="K165" s="21" t="inlineStr">
        <is>
          <t>Gerenciamento de Incidentes</t>
        </is>
      </c>
      <c r="L165" s="21" t="inlineStr">
        <is>
          <t>Gerenciamento de Infraestrutura e Plataforma</t>
        </is>
      </c>
      <c r="M165" s="21">
        <f>IF(K165&lt;&gt;"", IF(AND(C165=K165, D165=L165), "ACERTOU", IF(OR(C165=K165, D165=L165, C165=L165, D165=K165), "PARCIALMENTE", IF(OR(K165="Não há recomendação", L165="Não há recomendação", K165="SEM RECOMENDAÇÃO", L165="SEM RECOMENDAÇÃO"), "NÃO RECOMENDOU", "ERROU"))), "")</f>
        <v/>
      </c>
      <c r="N165" s="22">
        <f>IFERROR(INDEX([1]respota_rag_adaptativo!$A$2:$A$853, MATCH(_xlfn.CONCAT("*#",[1]analise_resposta!A165,"*"), [1]respota_rag_adaptativo!$C$2:$C$85, 0)), "")</f>
        <v/>
      </c>
      <c r="O165" s="22" t="n"/>
      <c r="P165" s="22">
        <f>IF(N165&lt;&gt;"", IF(AND(C165=N165, D165=O165), "ACERTOU", IF(OR(C165=N165, D165=O165, C165=O165, D165=N165), "PARCIALMENTE", IF(OR(N165="Não há recomendação", O165="Não há recomendação", N165="SEM RECOMENDAÇÃO", O165="SEM RECOMENDAÇÃO"), "NÃO RECOMENDOU", "ERROU"))), "")</f>
        <v/>
      </c>
      <c r="Q165" s="23">
        <f>IFERROR(INDEX([1]resposta_plan_exec!$A$2:$A$121, MATCH(_xlfn.CONCAT("*",[1]analise_resposta!A165,"*"), [1]resposta_plan_exec!$C$2:$C$121, 0)), "")</f>
        <v/>
      </c>
      <c r="R165" s="23">
        <f>IF([1]analise_resposta!A165="", "",
    _xlfn.LET(_xlpm.resultado, IFERROR(INDEX([1]resposta_plan_exec!$B$2:$B$121,
                           MATCH(_xlfn.CONCAT("*", [1]analise_resposta!A165, "*"),
                                   [1]resposta_plan_exec!$C$2:$C$121, 0)), ""),
        IF(_xlpm.resultado="", "", _xlpm.resultado)))</f>
        <v/>
      </c>
      <c r="S165" s="23" t="n"/>
    </row>
    <row r="166">
      <c r="A166" t="n">
        <v>1432</v>
      </c>
      <c r="B166" s="3" t="inlineStr">
        <is>
          <t>Assistência com Configuração da Samsung QLED</t>
        </is>
      </c>
      <c r="C166" s="3" t="inlineStr">
        <is>
          <t>Solicitação de Serviço</t>
        </is>
      </c>
      <c r="D166" s="3" t="inlineStr">
        <is>
          <t>Gerenciamento de Incidentes</t>
        </is>
      </c>
      <c r="F166" s="5">
        <f>IFERROR(INDEX([1]resposta_chat_stream!$B$2:$B$34, MATCH(_xlfn.CONCAT("*#",[1]analise_resposta!A166,"*"), [1]resposta_chat_stream!$C$2:$C$34, 0)), "")</f>
        <v/>
      </c>
      <c r="G166" s="6">
        <f>IF(E166&lt;&gt;"", IF(AND(C166=E166, D166=F166), "ACERTOU", IF(OR(C166=E166, D166=F166, C166=F166, D166=E166), "PARCIALMENTE", IF(OR(E166="Não há recomendação", F166="Não há recomendação", E166="SEM RECOMENDAÇÃO", F166="SEM RECOMENDAÇÃO"), "NÃO RECOMENDOU", "ERROU"))), "")</f>
        <v/>
      </c>
      <c r="H166" s="20">
        <f>IFERROR(INDEX([1]reposta_chat!$A$2:$A$121, MATCH(_xlfn.CONCAT("*#",[1]analise_resposta!A166,"*"), [1]reposta_chat!$C$2:$C$121, 0)), "")</f>
        <v/>
      </c>
      <c r="I166" s="20">
        <f>IFERROR(INDEX([1]reposta_chat!$B$2:$B$121, MATCH(_xlfn.CONCAT("*#",[1]analise_resposta!A166,"*"), [1]reposta_chat!$C$2:$C$121, 0)), "")</f>
        <v/>
      </c>
      <c r="J166" s="20">
        <f>IF(H166&lt;&gt;"", IF(AND(C166=H166, D166=I166), "ACERTOU", IF(OR(C166=H166, D166=I166, C166=I166, D166=H166), "PARCIALMENTE", IF(OR(H166="Não há recomendação", I166="Não há recomendação", H166="SEM RECOMENDAÇÃO", I166="SEM RECOMENDAÇÃO"), "NÃO RECOMENDOU", "ERROU"))), "")</f>
        <v/>
      </c>
      <c r="K166" s="21" t="inlineStr">
        <is>
          <t>Gerenciamento de Requisição de Serviço</t>
        </is>
      </c>
      <c r="L166" s="21" t="inlineStr">
        <is>
          <t>Central de Serviço</t>
        </is>
      </c>
      <c r="M166" s="21">
        <f>IF(K166&lt;&gt;"", IF(AND(C166=K166, D166=L166), "ACERTOU", IF(OR(C166=K166, D166=L166, C166=L166, D166=K166), "PARCIALMENTE", IF(OR(K166="Não há recomendação", L166="Não há recomendação", K166="SEM RECOMENDAÇÃO", L166="SEM RECOMENDAÇÃO"), "NÃO RECOMENDOU", "ERROU"))), "")</f>
        <v/>
      </c>
      <c r="N166" s="22">
        <f>IFERROR(INDEX([1]respota_rag_adaptativo!$A$2:$A$853, MATCH(_xlfn.CONCAT("*#",[1]analise_resposta!A166,"*"), [1]respota_rag_adaptativo!$C$2:$C$85, 0)), "")</f>
        <v/>
      </c>
      <c r="O166" s="22" t="n"/>
      <c r="P166" s="22">
        <f>IF(N166&lt;&gt;"", IF(AND(C166=N166, D166=O166), "ACERTOU", IF(OR(C166=N166, D166=O166, C166=O166, D166=N166), "PARCIALMENTE", IF(OR(N166="Não há recomendação", O166="Não há recomendação", N166="SEM RECOMENDAÇÃO", O166="SEM RECOMENDAÇÃO"), "NÃO RECOMENDOU", "ERROU"))), "")</f>
        <v/>
      </c>
      <c r="Q166" s="23">
        <f>IFERROR(INDEX([1]resposta_plan_exec!$A$2:$A$121, MATCH(_xlfn.CONCAT("*",[1]analise_resposta!A166,"*"), [1]resposta_plan_exec!$C$2:$C$121, 0)), "")</f>
        <v/>
      </c>
      <c r="R166" s="23">
        <f>IF([1]analise_resposta!A166="", "",
    _xlfn.LET(_xlpm.resultado, IFERROR(INDEX([1]resposta_plan_exec!$B$2:$B$121,
                           MATCH(_xlfn.CONCAT("*", [1]analise_resposta!A166, "*"),
                                   [1]resposta_plan_exec!$C$2:$C$121, 0)), ""),
        IF(_xlpm.resultado="", "", _xlpm.resultado)))</f>
        <v/>
      </c>
      <c r="S166" s="23" t="n"/>
    </row>
    <row r="167">
      <c r="A167" t="n">
        <v>1443</v>
      </c>
      <c r="B167" s="3" t="inlineStr">
        <is>
          <t>Solicitação de Troca: Problema com a Tela Touchscreen do Dell XPS 13 9310</t>
        </is>
      </c>
      <c r="C167" s="3" t="inlineStr">
        <is>
          <t>Solicitação de Serviço</t>
        </is>
      </c>
      <c r="D167" s="3" t="inlineStr">
        <is>
          <t>Gerenciamento de Ativos de TI</t>
        </is>
      </c>
      <c r="F167" s="5">
        <f>IFERROR(INDEX([1]resposta_chat_stream!$B$2:$B$34, MATCH(_xlfn.CONCAT("*#",[1]analise_resposta!A167,"*"), [1]resposta_chat_stream!$C$2:$C$34, 0)), "")</f>
        <v/>
      </c>
      <c r="G167" s="6">
        <f>IF(E167&lt;&gt;"", IF(AND(C167=E167, D167=F167), "ACERTOU", IF(OR(C167=E167, D167=F167, C167=F167, D167=E167), "PARCIALMENTE", IF(OR(E167="Não há recomendação", F167="Não há recomendação", E167="SEM RECOMENDAÇÃO", F167="SEM RECOMENDAÇÃO"), "NÃO RECOMENDOU", "ERROU"))), "")</f>
        <v/>
      </c>
      <c r="H167" s="20">
        <f>IFERROR(INDEX([1]reposta_chat!$A$2:$A$121, MATCH(_xlfn.CONCAT("*#",[1]analise_resposta!A167,"*"), [1]reposta_chat!$C$2:$C$121, 0)), "")</f>
        <v/>
      </c>
      <c r="I167" s="20">
        <f>IFERROR(INDEX([1]reposta_chat!$B$2:$B$121, MATCH(_xlfn.CONCAT("*#",[1]analise_resposta!A167,"*"), [1]reposta_chat!$C$2:$C$121, 0)), "")</f>
        <v/>
      </c>
      <c r="J167" s="20">
        <f>IF(H167&lt;&gt;"", IF(AND(C167=H167, D167=I167), "ACERTOU", IF(OR(C167=H167, D167=I167, C167=I167, D167=H167), "PARCIALMENTE", IF(OR(H167="Não há recomendação", I167="Não há recomendação", H167="SEM RECOMENDAÇÃO", I167="SEM RECOMENDAÇÃO"), "NÃO RECOMENDOU", "ERROU"))), "")</f>
        <v/>
      </c>
      <c r="K167" s="21" t="inlineStr">
        <is>
          <t>Gerenciamento de Requisição de Serviço</t>
        </is>
      </c>
      <c r="L167" s="21" t="inlineStr">
        <is>
          <t>Gerenciamento de Ativos de TI</t>
        </is>
      </c>
      <c r="M167" s="21">
        <f>IF(K167&lt;&gt;"", IF(AND(C167=K167, D167=L167), "ACERTOU", IF(OR(C167=K167, D167=L167, C167=L167, D167=K167), "PARCIALMENTE", IF(OR(K167="Não há recomendação", L167="Não há recomendação", K167="SEM RECOMENDAÇÃO", L167="SEM RECOMENDAÇÃO"), "NÃO RECOMENDOU", "ERROU"))), "")</f>
        <v/>
      </c>
      <c r="N167" s="22">
        <f>IFERROR(INDEX([1]respota_rag_adaptativo!$A$2:$A$853, MATCH(_xlfn.CONCAT("*#",[1]analise_resposta!A167,"*"), [1]respota_rag_adaptativo!$C$2:$C$85, 0)), "")</f>
        <v/>
      </c>
      <c r="O167" s="22" t="n"/>
      <c r="P167" s="22">
        <f>IF(N167&lt;&gt;"", IF(AND(C167=N167, D167=O167), "ACERTOU", IF(OR(C167=N167, D167=O167, C167=O167, D167=N167), "PARCIALMENTE", IF(OR(N167="Não há recomendação", O167="Não há recomendação", N167="SEM RECOMENDAÇÃO", O167="SEM RECOMENDAÇÃO"), "NÃO RECOMENDOU", "ERROU"))), "")</f>
        <v/>
      </c>
      <c r="Q167" s="23">
        <f>IFERROR(INDEX([1]resposta_plan_exec!$A$2:$A$121, MATCH(_xlfn.CONCAT("*",[1]analise_resposta!A167,"*"), [1]resposta_plan_exec!$C$2:$C$121, 0)), "")</f>
        <v/>
      </c>
      <c r="R167" s="23">
        <f>IF([1]analise_resposta!A167="", "",
    _xlfn.LET(_xlpm.resultado, IFERROR(INDEX([1]resposta_plan_exec!$B$2:$B$121,
                           MATCH(_xlfn.CONCAT("*", [1]analise_resposta!A167, "*"),
                                   [1]resposta_plan_exec!$C$2:$C$121, 0)), ""),
        IF(_xlpm.resultado="", "", _xlpm.resultado)))</f>
        <v/>
      </c>
      <c r="S167" s="23" t="n"/>
    </row>
    <row r="168">
      <c r="A168" t="n">
        <v>1461</v>
      </c>
      <c r="B168" s="3" t="inlineStr">
        <is>
          <t>Erro SQL recorrente impactando a recuperação de dados para projetos</t>
        </is>
      </c>
      <c r="C168" s="3" t="inlineStr">
        <is>
          <t>Gerenciamento de Incidentes</t>
        </is>
      </c>
      <c r="D168" s="3" t="inlineStr">
        <is>
          <t>Gerenciamento de Problemas</t>
        </is>
      </c>
      <c r="F168" s="5">
        <f>IFERROR(INDEX([1]resposta_chat_stream!$B$2:$B$34, MATCH(_xlfn.CONCAT("*#",[1]analise_resposta!A168,"*"), [1]resposta_chat_stream!$C$2:$C$34, 0)), "")</f>
        <v/>
      </c>
      <c r="G168" s="6">
        <f>IF(E168&lt;&gt;"", IF(AND(C168=E168, D168=F168), "ACERTOU", IF(OR(C168=E168, D168=F168, C168=F168, D168=E168), "PARCIALMENTE", IF(OR(E168="Não há recomendação", F168="Não há recomendação", E168="SEM RECOMENDAÇÃO", F168="SEM RECOMENDAÇÃO"), "NÃO RECOMENDOU", "ERROU"))), "")</f>
        <v/>
      </c>
      <c r="H168" s="20">
        <f>IFERROR(INDEX([1]reposta_chat!$A$2:$A$121, MATCH(_xlfn.CONCAT("*#",[1]analise_resposta!A168,"*"), [1]reposta_chat!$C$2:$C$121, 0)), "")</f>
        <v/>
      </c>
      <c r="I168" s="20">
        <f>IFERROR(INDEX([1]reposta_chat!$B$2:$B$121, MATCH(_xlfn.CONCAT("*#",[1]analise_resposta!A168,"*"), [1]reposta_chat!$C$2:$C$121, 0)), "")</f>
        <v/>
      </c>
      <c r="J168" s="20">
        <f>IF(H168&lt;&gt;"", IF(AND(C168=H168, D168=I168), "ACERTOU", IF(OR(C168=H168, D168=I168, C168=I168, D168=H168), "PARCIALMENTE", IF(OR(H168="Não há recomendação", I168="Não há recomendação", H168="SEM RECOMENDAÇÃO", I168="SEM RECOMENDAÇÃO"), "NÃO RECOMENDOU", "ERROU"))), "")</f>
        <v/>
      </c>
      <c r="K168" s="21" t="inlineStr">
        <is>
          <t>Gerenciamento de Problemas</t>
        </is>
      </c>
      <c r="L168" s="21" t="inlineStr">
        <is>
          <t>Gerenciamento de Incidentes</t>
        </is>
      </c>
      <c r="M168" s="21">
        <f>IF(K168&lt;&gt;"", IF(AND(C168=K168, D168=L168), "ACERTOU", IF(OR(C168=K168, D168=L168, C168=L168, D168=K168), "PARCIALMENTE", IF(OR(K168="Não há recomendação", L168="Não há recomendação", K168="SEM RECOMENDAÇÃO", L168="SEM RECOMENDAÇÃO"), "NÃO RECOMENDOU", "ERROU"))), "")</f>
        <v/>
      </c>
      <c r="N168" s="22">
        <f>IFERROR(INDEX([1]respota_rag_adaptativo!$A$2:$A$853, MATCH(_xlfn.CONCAT("*#",[1]analise_resposta!A168,"*"), [1]respota_rag_adaptativo!$C$2:$C$85, 0)), "")</f>
        <v/>
      </c>
      <c r="O168" s="22" t="n"/>
      <c r="P168" s="22">
        <f>IF(N168&lt;&gt;"", IF(AND(C168=N168, D168=O168), "ACERTOU", IF(OR(C168=N168, D168=O168, C168=O168, D168=N168), "PARCIALMENTE", IF(OR(N168="Não há recomendação", O168="Não há recomendação", N168="SEM RECOMENDAÇÃO", O168="SEM RECOMENDAÇÃO"), "NÃO RECOMENDOU", "ERROU"))), "")</f>
        <v/>
      </c>
      <c r="Q168" s="23">
        <f>IFERROR(INDEX([1]resposta_plan_exec!$A$2:$A$121, MATCH(_xlfn.CONCAT("*",[1]analise_resposta!A168,"*"), [1]resposta_plan_exec!$C$2:$C$121, 0)), "")</f>
        <v/>
      </c>
      <c r="R168" s="23">
        <f>IF([1]analise_resposta!A168="", "",
    _xlfn.LET(_xlpm.resultado, IFERROR(INDEX([1]resposta_plan_exec!$B$2:$B$121,
                           MATCH(_xlfn.CONCAT("*", [1]analise_resposta!A168, "*"),
                                   [1]resposta_plan_exec!$C$2:$C$121, 0)), ""),
        IF(_xlpm.resultado="", "", _xlpm.resultado)))</f>
        <v/>
      </c>
      <c r="S168" s="23" t="n"/>
    </row>
    <row r="169">
      <c r="A169" t="n">
        <v>1462</v>
      </c>
      <c r="B169" s="3" t="inlineStr">
        <is>
          <t>Assistência Urgente Necessária: Interruptão de Serviço da AWS</t>
        </is>
      </c>
      <c r="C169" s="3" t="inlineStr">
        <is>
          <t>Gerenciamento de Incidentes</t>
        </is>
      </c>
      <c r="D169" s="3" t="inlineStr">
        <is>
          <t>Gerenciamento de Disponibilidade</t>
        </is>
      </c>
      <c r="F169" s="5">
        <f>IFERROR(INDEX([1]resposta_chat_stream!$B$2:$B$34, MATCH(_xlfn.CONCAT("*#",[1]analise_resposta!A169,"*"), [1]resposta_chat_stream!$C$2:$C$34, 0)), "")</f>
        <v/>
      </c>
      <c r="G169" s="6">
        <f>IF(E169&lt;&gt;"", IF(AND(C169=E169, D169=F169), "ACERTOU", IF(OR(C169=E169, D169=F169, C169=F169, D169=E169), "PARCIALMENTE", IF(OR(E169="Não há recomendação", F169="Não há recomendação", E169="SEM RECOMENDAÇÃO", F169="SEM RECOMENDAÇÃO"), "NÃO RECOMENDOU", "ERROU"))), "")</f>
        <v/>
      </c>
      <c r="H169" s="20">
        <f>IFERROR(INDEX([1]reposta_chat!$A$2:$A$121, MATCH(_xlfn.CONCAT("*#",[1]analise_resposta!A169,"*"), [1]reposta_chat!$C$2:$C$121, 0)), "")</f>
        <v/>
      </c>
      <c r="I169" s="20">
        <f>IFERROR(INDEX([1]reposta_chat!$B$2:$B$121, MATCH(_xlfn.CONCAT("*#",[1]analise_resposta!A169,"*"), [1]reposta_chat!$C$2:$C$121, 0)), "")</f>
        <v/>
      </c>
      <c r="J169" s="20">
        <f>IF(H169&lt;&gt;"", IF(AND(C169=H169, D169=I169), "ACERTOU", IF(OR(C169=H169, D169=I169, C169=I169, D169=H169), "PARCIALMENTE", IF(OR(H169="Não há recomendação", I169="Não há recomendação", H169="SEM RECOMENDAÇÃO", I169="SEM RECOMENDAÇÃO"), "NÃO RECOMENDOU", "ERROU"))), "")</f>
        <v/>
      </c>
      <c r="K169" s="21" t="inlineStr">
        <is>
          <t>Gerenciamento de Incidentes</t>
        </is>
      </c>
      <c r="L169" s="21" t="inlineStr">
        <is>
          <t>Gerenciamento de Continuidade de Serviço</t>
        </is>
      </c>
      <c r="M169" s="21">
        <f>IF(K169&lt;&gt;"", IF(AND(C169=K169, D169=L169), "ACERTOU", IF(OR(C169=K169, D169=L169, C169=L169, D169=K169), "PARCIALMENTE", IF(OR(K169="Não há recomendação", L169="Não há recomendação", K169="SEM RECOMENDAÇÃO", L169="SEM RECOMENDAÇÃO"), "NÃO RECOMENDOU", "ERROU"))), "")</f>
        <v/>
      </c>
      <c r="N169" s="22">
        <f>IFERROR(INDEX([1]respota_rag_adaptativo!$A$2:$A$853, MATCH(_xlfn.CONCAT("*#",[1]analise_resposta!A169,"*"), [1]respota_rag_adaptativo!$C$2:$C$85, 0)), "")</f>
        <v/>
      </c>
      <c r="O169" s="22" t="n"/>
      <c r="P169" s="22">
        <f>IF(N169&lt;&gt;"", IF(AND(C169=N169, D169=O169), "ACERTOU", IF(OR(C169=N169, D169=O169, C169=O169, D169=N169), "PARCIALMENTE", IF(OR(N169="Não há recomendação", O169="Não há recomendação", N169="SEM RECOMENDAÇÃO", O169="SEM RECOMENDAÇÃO"), "NÃO RECOMENDOU", "ERROU"))), "")</f>
        <v/>
      </c>
      <c r="Q169" s="23">
        <f>IFERROR(INDEX([1]resposta_plan_exec!$A$2:$A$121, MATCH(_xlfn.CONCAT("*",[1]analise_resposta!A169,"*"), [1]resposta_plan_exec!$C$2:$C$121, 0)), "")</f>
        <v/>
      </c>
      <c r="R169" s="23">
        <f>IF([1]analise_resposta!A169="", "",
    _xlfn.LET(_xlpm.resultado, IFERROR(INDEX([1]resposta_plan_exec!$B$2:$B$121,
                           MATCH(_xlfn.CONCAT("*", [1]analise_resposta!A169, "*"),
                                   [1]resposta_plan_exec!$C$2:$C$121, 0)), ""),
        IF(_xlpm.resultado="", "", _xlpm.resultado)))</f>
        <v/>
      </c>
      <c r="S169" s="23" t="n"/>
    </row>
    <row r="170">
      <c r="A170" t="n">
        <v>1484</v>
      </c>
      <c r="B170" s="3" t="inlineStr">
        <is>
          <t>Problema de Cobrança Inconsistente com o AWS Management</t>
        </is>
      </c>
      <c r="C170" s="3" t="inlineStr">
        <is>
          <t>Gerenciamento Financeiro</t>
        </is>
      </c>
      <c r="D170" s="3" t="inlineStr">
        <is>
          <t>Gerenciamento de Capacidade</t>
        </is>
      </c>
      <c r="F170" s="5">
        <f>IFERROR(INDEX([1]resposta_chat_stream!$B$2:$B$34, MATCH(_xlfn.CONCAT("*#",[1]analise_resposta!A170,"*"), [1]resposta_chat_stream!$C$2:$C$34, 0)), "")</f>
        <v/>
      </c>
      <c r="G170" s="6">
        <f>IF(E170&lt;&gt;"", IF(AND(C170=E170, D170=F170), "ACERTOU", IF(OR(C170=E170, D170=F170, C170=F170, D170=E170), "PARCIALMENTE", IF(OR(E170="Não há recomendação", F170="Não há recomendação", E170="SEM RECOMENDAÇÃO", F170="SEM RECOMENDAÇÃO"), "NÃO RECOMENDOU", "ERROU"))), "")</f>
        <v/>
      </c>
      <c r="H170" s="20">
        <f>IFERROR(INDEX([1]reposta_chat!$A$2:$A$121, MATCH(_xlfn.CONCAT("*#",[1]analise_resposta!A170,"*"), [1]reposta_chat!$C$2:$C$121, 0)), "")</f>
        <v/>
      </c>
      <c r="I170" s="20">
        <f>IFERROR(INDEX([1]reposta_chat!$B$2:$B$121, MATCH(_xlfn.CONCAT("*#",[1]analise_resposta!A170,"*"), [1]reposta_chat!$C$2:$C$121, 0)), "")</f>
        <v/>
      </c>
      <c r="J170" s="20">
        <f>IF(H170&lt;&gt;"", IF(AND(C170=H170, D170=I170), "ACERTOU", IF(OR(C170=H170, D170=I170, C170=I170, D170=H170), "PARCIALMENTE", IF(OR(H170="Não há recomendação", I170="Não há recomendação", H170="SEM RECOMENDAÇÃO", I170="SEM RECOMENDAÇÃO"), "NÃO RECOMENDOU", "ERROU"))), "")</f>
        <v/>
      </c>
      <c r="K170" s="21" t="inlineStr">
        <is>
          <t>Gerenciamento Financeiro de Serviço</t>
        </is>
      </c>
      <c r="L170" s="21" t="inlineStr">
        <is>
          <t>Gerenciamento de Capacidade e Desempenho</t>
        </is>
      </c>
      <c r="M170" s="21">
        <f>IF(K170&lt;&gt;"", IF(AND(C170=K170, D170=L170), "ACERTOU", IF(OR(C170=K170, D170=L170, C170=L170, D170=K170), "PARCIALMENTE", IF(OR(K170="Não há recomendação", L170="Não há recomendação", K170="SEM RECOMENDAÇÃO", L170="SEM RECOMENDAÇÃO"), "NÃO RECOMENDOU", "ERROU"))), "")</f>
        <v/>
      </c>
      <c r="N170" s="22">
        <f>IFERROR(INDEX([1]respota_rag_adaptativo!$A$2:$A$853, MATCH(_xlfn.CONCAT("*#",[1]analise_resposta!A170,"*"), [1]respota_rag_adaptativo!$C$2:$C$85, 0)), "")</f>
        <v/>
      </c>
      <c r="O170" s="22" t="n"/>
      <c r="P170" s="22">
        <f>IF(N170&lt;&gt;"", IF(AND(C170=N170, D170=O170), "ACERTOU", IF(OR(C170=N170, D170=O170, C170=O170, D170=N170), "PARCIALMENTE", IF(OR(N170="Não há recomendação", O170="Não há recomendação", N170="SEM RECOMENDAÇÃO", O170="SEM RECOMENDAÇÃO"), "NÃO RECOMENDOU", "ERROU"))), "")</f>
        <v/>
      </c>
      <c r="Q170" s="23">
        <f>IFERROR(INDEX([1]resposta_plan_exec!$A$2:$A$121, MATCH(_xlfn.CONCAT("*",[1]analise_resposta!A170,"*"), [1]resposta_plan_exec!$C$2:$C$121, 0)), "")</f>
        <v/>
      </c>
      <c r="R170" s="23">
        <f>IF([1]analise_resposta!A170="", "",
    _xlfn.LET(_xlpm.resultado, IFERROR(INDEX([1]resposta_plan_exec!$B$2:$B$121,
                           MATCH(_xlfn.CONCAT("*", [1]analise_resposta!A170, "*"),
                                   [1]resposta_plan_exec!$C$2:$C$121, 0)), ""),
        IF(_xlpm.resultado="", "", _xlpm.resultado)))</f>
        <v/>
      </c>
      <c r="S170" s="23" t="n"/>
    </row>
    <row r="171">
      <c r="A171" t="n">
        <v>1486</v>
      </c>
      <c r="B171" s="3" t="inlineStr">
        <is>
          <t>Problema ao Criar Tickets no Jira</t>
        </is>
      </c>
      <c r="C171" s="3" t="inlineStr">
        <is>
          <t>Gerenciamento de Incidentes</t>
        </is>
      </c>
      <c r="D171" s="3" t="inlineStr">
        <is>
          <t>Gerenciamento de Problemas</t>
        </is>
      </c>
      <c r="F171" s="5">
        <f>IFERROR(INDEX([1]resposta_chat_stream!$B$2:$B$34, MATCH(_xlfn.CONCAT("*#",[1]analise_resposta!A171,"*"), [1]resposta_chat_stream!$C$2:$C$34, 0)), "")</f>
        <v/>
      </c>
      <c r="G171" s="6">
        <f>IF(E171&lt;&gt;"", IF(AND(C171=E171, D171=F171), "ACERTOU", IF(OR(C171=E171, D171=F171, C171=F171, D171=E171), "PARCIALMENTE", IF(OR(E171="Não há recomendação", F171="Não há recomendação", E171="SEM RECOMENDAÇÃO", F171="SEM RECOMENDAÇÃO"), "NÃO RECOMENDOU", "ERROU"))), "")</f>
        <v/>
      </c>
      <c r="H171" s="20">
        <f>IFERROR(INDEX([1]reposta_chat!$A$2:$A$121, MATCH(_xlfn.CONCAT("*#",[1]analise_resposta!A171,"*"), [1]reposta_chat!$C$2:$C$121, 0)), "")</f>
        <v/>
      </c>
      <c r="I171" s="20">
        <f>IFERROR(INDEX([1]reposta_chat!$B$2:$B$121, MATCH(_xlfn.CONCAT("*#",[1]analise_resposta!A171,"*"), [1]reposta_chat!$C$2:$C$121, 0)), "")</f>
        <v/>
      </c>
      <c r="J171" s="20">
        <f>IF(H171&lt;&gt;"", IF(AND(C171=H171, D171=I171), "ACERTOU", IF(OR(C171=H171, D171=I171, C171=I171, D171=H171), "PARCIALMENTE", IF(OR(H171="Não há recomendação", I171="Não há recomendação", H171="SEM RECOMENDAÇÃO", I171="SEM RECOMENDAÇÃO"), "NÃO RECOMENDOU", "ERROU"))), "")</f>
        <v/>
      </c>
      <c r="K171" s="21" t="inlineStr">
        <is>
          <t>Gerenciamento de Incidentes</t>
        </is>
      </c>
      <c r="L171" s="21" t="inlineStr">
        <is>
          <t>Gerenciamento de Problemas</t>
        </is>
      </c>
      <c r="M171" s="21">
        <f>IF(K171&lt;&gt;"", IF(AND(C171=K171, D171=L171), "ACERTOU", IF(OR(C171=K171, D171=L171, C171=L171, D171=K171), "PARCIALMENTE", IF(OR(K171="Não há recomendação", L171="Não há recomendação", K171="SEM RECOMENDAÇÃO", L171="SEM RECOMENDAÇÃO"), "NÃO RECOMENDOU", "ERROU"))), "")</f>
        <v/>
      </c>
      <c r="N171" s="22">
        <f>IFERROR(INDEX([1]respota_rag_adaptativo!$A$2:$A$853, MATCH(_xlfn.CONCAT("*#",[1]analise_resposta!A171,"*"), [1]respota_rag_adaptativo!$C$2:$C$85, 0)), "")</f>
        <v/>
      </c>
      <c r="O171" s="22" t="n"/>
      <c r="P171" s="22">
        <f>IF(N171&lt;&gt;"", IF(AND(C171=N171, D171=O171), "ACERTOU", IF(OR(C171=N171, D171=O171, C171=O171, D171=N171), "PARCIALMENTE", IF(OR(N171="Não há recomendação", O171="Não há recomendação", N171="SEM RECOMENDAÇÃO", O171="SEM RECOMENDAÇÃO"), "NÃO RECOMENDOU", "ERROU"))), "")</f>
        <v/>
      </c>
      <c r="Q171" s="23">
        <f>IFERROR(INDEX([1]resposta_plan_exec!$A$2:$A$121, MATCH(_xlfn.CONCAT("*",[1]analise_resposta!A171,"*"), [1]resposta_plan_exec!$C$2:$C$121, 0)), "")</f>
        <v/>
      </c>
      <c r="R171" s="23">
        <f>IF([1]analise_resposta!A171="", "",
    _xlfn.LET(_xlpm.resultado, IFERROR(INDEX([1]resposta_plan_exec!$B$2:$B$121,
                           MATCH(_xlfn.CONCAT("*", [1]analise_resposta!A171, "*"),
                                   [1]resposta_plan_exec!$C$2:$C$121, 0)), ""),
        IF(_xlpm.resultado="", "", _xlpm.resultado)))</f>
        <v/>
      </c>
      <c r="S171" s="23" t="n"/>
    </row>
    <row r="172">
      <c r="A172" t="n">
        <v>1487</v>
      </c>
      <c r="B172" s="3" t="inlineStr">
        <is>
          <t>Urgente: Problema de Inicialização do Dell XPS 13</t>
        </is>
      </c>
      <c r="C172" s="3" t="inlineStr">
        <is>
          <t>Gerenciamento de Incidentes</t>
        </is>
      </c>
      <c r="D172" s="3" t="inlineStr">
        <is>
          <t>Gerenciamento de Problemas</t>
        </is>
      </c>
      <c r="F172" s="5">
        <f>IFERROR(INDEX([1]resposta_chat_stream!$B$2:$B$34, MATCH(_xlfn.CONCAT("*#",[1]analise_resposta!A172,"*"), [1]resposta_chat_stream!$C$2:$C$34, 0)), "")</f>
        <v/>
      </c>
      <c r="G172" s="6">
        <f>IF(E172&lt;&gt;"", IF(AND(C172=E172, D172=F172), "ACERTOU", IF(OR(C172=E172, D172=F172, C172=F172, D172=E172), "PARCIALMENTE", IF(OR(E172="Não há recomendação", F172="Não há recomendação", E172="SEM RECOMENDAÇÃO", F172="SEM RECOMENDAÇÃO"), "NÃO RECOMENDOU", "ERROU"))), "")</f>
        <v/>
      </c>
      <c r="H172" s="20">
        <f>IFERROR(INDEX([1]reposta_chat!$A$2:$A$121, MATCH(_xlfn.CONCAT("*#",[1]analise_resposta!A172,"*"), [1]reposta_chat!$C$2:$C$121, 0)), "")</f>
        <v/>
      </c>
      <c r="I172" s="20">
        <f>IFERROR(INDEX([1]reposta_chat!$B$2:$B$121, MATCH(_xlfn.CONCAT("*#",[1]analise_resposta!A172,"*"), [1]reposta_chat!$C$2:$C$121, 0)), "")</f>
        <v/>
      </c>
      <c r="J172" s="20">
        <f>IF(H172&lt;&gt;"", IF(AND(C172=H172, D172=I172), "ACERTOU", IF(OR(C172=H172, D172=I172, C172=I172, D172=H172), "PARCIALMENTE", IF(OR(H172="Não há recomendação", I172="Não há recomendação", H172="SEM RECOMENDAÇÃO", I172="SEM RECOMENDAÇÃO"), "NÃO RECOMENDOU", "ERROU"))), "")</f>
        <v/>
      </c>
      <c r="K172" s="21" t="inlineStr">
        <is>
          <t>Gerenciamento de Incidentes</t>
        </is>
      </c>
      <c r="L172" s="21" t="inlineStr">
        <is>
          <t>Gerenciamento de Ativos de TI</t>
        </is>
      </c>
      <c r="M172" s="21">
        <f>IF(K172&lt;&gt;"", IF(AND(C172=K172, D172=L172), "ACERTOU", IF(OR(C172=K172, D172=L172, C172=L172, D172=K172), "PARCIALMENTE", IF(OR(K172="Não há recomendação", L172="Não há recomendação", K172="SEM RECOMENDAÇÃO", L172="SEM RECOMENDAÇÃO"), "NÃO RECOMENDOU", "ERROU"))), "")</f>
        <v/>
      </c>
      <c r="N172" s="22">
        <f>IFERROR(INDEX([1]respota_rag_adaptativo!$A$2:$A$853, MATCH(_xlfn.CONCAT("*#",[1]analise_resposta!A172,"*"), [1]respota_rag_adaptativo!$C$2:$C$85, 0)), "")</f>
        <v/>
      </c>
      <c r="O172" s="22" t="n"/>
      <c r="P172" s="22">
        <f>IF(N172&lt;&gt;"", IF(AND(C172=N172, D172=O172), "ACERTOU", IF(OR(C172=N172, D172=O172, C172=O172, D172=N172), "PARCIALMENTE", IF(OR(N172="Não há recomendação", O172="Não há recomendação", N172="SEM RECOMENDAÇÃO", O172="SEM RECOMENDAÇÃO"), "NÃO RECOMENDOU", "ERROU"))), "")</f>
        <v/>
      </c>
      <c r="Q172" s="23">
        <f>IFERROR(INDEX([1]resposta_plan_exec!$A$2:$A$121, MATCH(_xlfn.CONCAT("*",[1]analise_resposta!A172,"*"), [1]resposta_plan_exec!$C$2:$C$121, 0)), "")</f>
        <v/>
      </c>
      <c r="R172" s="23">
        <f>IF([1]analise_resposta!A172="", "",
    _xlfn.LET(_xlpm.resultado, IFERROR(INDEX([1]resposta_plan_exec!$B$2:$B$121,
                           MATCH(_xlfn.CONCAT("*", [1]analise_resposta!A172, "*"),
                                   [1]resposta_plan_exec!$C$2:$C$121, 0)), ""),
        IF(_xlpm.resultado="", "", _xlpm.resultado)))</f>
        <v/>
      </c>
      <c r="S172" s="23" t="n"/>
    </row>
    <row r="173">
      <c r="A173" t="n">
        <v>1497</v>
      </c>
      <c r="B173" s="3" t="inlineStr">
        <is>
          <t>Assistência Urgente Necessária</t>
        </is>
      </c>
      <c r="C173" s="3" t="inlineStr">
        <is>
          <t>Gerenciamento de Incidentes</t>
        </is>
      </c>
      <c r="D173" s="3" t="inlineStr">
        <is>
          <t>Gerenciamento de Problemas</t>
        </is>
      </c>
      <c r="F173" s="5">
        <f>IFERROR(INDEX([1]resposta_chat_stream!$B$2:$B$34, MATCH(_xlfn.CONCAT("*#",[1]analise_resposta!A173,"*"), [1]resposta_chat_stream!$C$2:$C$34, 0)), "")</f>
        <v/>
      </c>
      <c r="G173" s="6">
        <f>IF(E173&lt;&gt;"", IF(AND(C173=E173, D173=F173), "ACERTOU", IF(OR(C173=E173, D173=F173, C173=F173, D173=E173), "PARCIALMENTE", IF(OR(E173="Não há recomendação", F173="Não há recomendação", E173="SEM RECOMENDAÇÃO", F173="SEM RECOMENDAÇÃO"), "NÃO RECOMENDOU", "ERROU"))), "")</f>
        <v/>
      </c>
      <c r="H173" s="20">
        <f>IFERROR(INDEX([1]reposta_chat!$A$2:$A$121, MATCH(_xlfn.CONCAT("*#",[1]analise_resposta!A173,"*"), [1]reposta_chat!$C$2:$C$121, 0)), "")</f>
        <v/>
      </c>
      <c r="I173" s="20">
        <f>IFERROR(INDEX([1]reposta_chat!$B$2:$B$121, MATCH(_xlfn.CONCAT("*#",[1]analise_resposta!A173,"*"), [1]reposta_chat!$C$2:$C$121, 0)), "")</f>
        <v/>
      </c>
      <c r="J173" s="20">
        <f>IF(H173&lt;&gt;"", IF(AND(C173=H173, D173=I173), "ACERTOU", IF(OR(C173=H173, D173=I173, C173=I173, D173=H173), "PARCIALMENTE", IF(OR(H173="Não há recomendação", I173="Não há recomendação", H173="SEM RECOMENDAÇÃO", I173="SEM RECOMENDAÇÃO"), "NÃO RECOMENDOU", "ERROU"))), "")</f>
        <v/>
      </c>
      <c r="K173" s="21" t="inlineStr">
        <is>
          <t>Gerenciamento de Incidentes</t>
        </is>
      </c>
      <c r="L173" s="21" t="inlineStr">
        <is>
          <t>Desenvolvimento e Gerenciamento de Software</t>
        </is>
      </c>
      <c r="M173" s="21">
        <f>IF(K173&lt;&gt;"", IF(AND(C173=K173, D173=L173), "ACERTOU", IF(OR(C173=K173, D173=L173, C173=L173, D173=K173), "PARCIALMENTE", IF(OR(K173="Não há recomendação", L173="Não há recomendação", K173="SEM RECOMENDAÇÃO", L173="SEM RECOMENDAÇÃO"), "NÃO RECOMENDOU", "ERROU"))), "")</f>
        <v/>
      </c>
      <c r="N173" s="22">
        <f>IFERROR(INDEX([1]respota_rag_adaptativo!$A$2:$A$853, MATCH(_xlfn.CONCAT("*#",[1]analise_resposta!A173,"*"), [1]respota_rag_adaptativo!$C$2:$C$85, 0)), "")</f>
        <v/>
      </c>
      <c r="O173" s="22" t="n"/>
      <c r="P173" s="22">
        <f>IF(N173&lt;&gt;"", IF(AND(C173=N173, D173=O173), "ACERTOU", IF(OR(C173=N173, D173=O173, C173=O173, D173=N173), "PARCIALMENTE", IF(OR(N173="Não há recomendação", O173="Não há recomendação", N173="SEM RECOMENDAÇÃO", O173="SEM RECOMENDAÇÃO"), "NÃO RECOMENDOU", "ERROU"))), "")</f>
        <v/>
      </c>
      <c r="Q173" s="23">
        <f>IFERROR(INDEX([1]resposta_plan_exec!$A$2:$A$121, MATCH(_xlfn.CONCAT("*",[1]analise_resposta!A173,"*"), [1]resposta_plan_exec!$C$2:$C$121, 0)), "")</f>
        <v/>
      </c>
      <c r="R173" s="23">
        <f>IF([1]analise_resposta!A173="", "",
    _xlfn.LET(_xlpm.resultado, IFERROR(INDEX([1]resposta_plan_exec!$B$2:$B$121,
                           MATCH(_xlfn.CONCAT("*", [1]analise_resposta!A173, "*"),
                                   [1]resposta_plan_exec!$C$2:$C$121, 0)), ""),
        IF(_xlpm.resultado="", "", _xlpm.resultado)))</f>
        <v/>
      </c>
      <c r="S173" s="23" t="n"/>
    </row>
    <row r="174">
      <c r="A174" t="n">
        <v>1512</v>
      </c>
      <c r="B174" s="3" t="inlineStr">
        <is>
          <t>Alta Prioridade: Falha no Serviço do Zoom</t>
        </is>
      </c>
      <c r="C174" s="3" t="inlineStr">
        <is>
          <t>Gerenciamento de Incidentes</t>
        </is>
      </c>
      <c r="D174" s="3" t="inlineStr">
        <is>
          <t>Gerenciamento de Disponibilidade</t>
        </is>
      </c>
      <c r="F174" s="5">
        <f>IFERROR(INDEX([1]resposta_chat_stream!$B$2:$B$34, MATCH(_xlfn.CONCAT("*#",[1]analise_resposta!A174,"*"), [1]resposta_chat_stream!$C$2:$C$34, 0)), "")</f>
        <v/>
      </c>
      <c r="G174" s="6">
        <f>IF(E174&lt;&gt;"", IF(AND(C174=E174, D174=F174), "ACERTOU", IF(OR(C174=E174, D174=F174, C174=F174, D174=E174), "PARCIALMENTE", IF(OR(E174="Não há recomendação", F174="Não há recomendação", E174="SEM RECOMENDAÇÃO", F174="SEM RECOMENDAÇÃO"), "NÃO RECOMENDOU", "ERROU"))), "")</f>
        <v/>
      </c>
      <c r="H174" s="20">
        <f>IFERROR(INDEX([1]reposta_chat!$A$2:$A$121, MATCH(_xlfn.CONCAT("*#",[1]analise_resposta!A174,"*"), [1]reposta_chat!$C$2:$C$121, 0)), "")</f>
        <v/>
      </c>
      <c r="I174" s="20">
        <f>IFERROR(INDEX([1]reposta_chat!$B$2:$B$121, MATCH(_xlfn.CONCAT("*#",[1]analise_resposta!A174,"*"), [1]reposta_chat!$C$2:$C$121, 0)), "")</f>
        <v/>
      </c>
      <c r="J174" s="20">
        <f>IF(H174&lt;&gt;"", IF(AND(C174=H174, D174=I174), "ACERTOU", IF(OR(C174=H174, D174=I174, C174=I174, D174=H174), "PARCIALMENTE", IF(OR(H174="Não há recomendação", I174="Não há recomendação", H174="SEM RECOMENDAÇÃO", I174="SEM RECOMENDAÇÃO"), "NÃO RECOMENDOU", "ERROU"))), "")</f>
        <v/>
      </c>
      <c r="K174" s="21" t="inlineStr">
        <is>
          <t>Gerenciamento de Incidentes</t>
        </is>
      </c>
      <c r="L174" s="21" t="inlineStr">
        <is>
          <t>Gerenciamento de Fornecedor</t>
        </is>
      </c>
      <c r="M174" s="21">
        <f>IF(K174&lt;&gt;"", IF(AND(C174=K174, D174=L174), "ACERTOU", IF(OR(C174=K174, D174=L174, C174=L174, D174=K174), "PARCIALMENTE", IF(OR(K174="Não há recomendação", L174="Não há recomendação", K174="SEM RECOMENDAÇÃO", L174="SEM RECOMENDAÇÃO"), "NÃO RECOMENDOU", "ERROU"))), "")</f>
        <v/>
      </c>
      <c r="N174" s="22">
        <f>IFERROR(INDEX([1]respota_rag_adaptativo!$A$2:$A$853, MATCH(_xlfn.CONCAT("*#",[1]analise_resposta!A174,"*"), [1]respota_rag_adaptativo!$C$2:$C$85, 0)), "")</f>
        <v/>
      </c>
      <c r="O174" s="22" t="n"/>
      <c r="P174" s="22">
        <f>IF(N174&lt;&gt;"", IF(AND(C174=N174, D174=O174), "ACERTOU", IF(OR(C174=N174, D174=O174, C174=O174, D174=N174), "PARCIALMENTE", IF(OR(N174="Não há recomendação", O174="Não há recomendação", N174="SEM RECOMENDAÇÃO", O174="SEM RECOMENDAÇÃO"), "NÃO RECOMENDOU", "ERROU"))), "")</f>
        <v/>
      </c>
      <c r="Q174" s="23">
        <f>IFERROR(INDEX([1]resposta_plan_exec!$A$2:$A$121, MATCH(_xlfn.CONCAT("*",[1]analise_resposta!A174,"*"), [1]resposta_plan_exec!$C$2:$C$121, 0)), "")</f>
        <v/>
      </c>
      <c r="R174" s="23">
        <f>IF([1]analise_resposta!A174="", "",
    _xlfn.LET(_xlpm.resultado, IFERROR(INDEX([1]resposta_plan_exec!$B$2:$B$121,
                           MATCH(_xlfn.CONCAT("*", [1]analise_resposta!A174, "*"),
                                   [1]resposta_plan_exec!$C$2:$C$121, 0)), ""),
        IF(_xlpm.resultado="", "", _xlpm.resultado)))</f>
        <v/>
      </c>
      <c r="S174" s="23" t="n"/>
    </row>
    <row r="175">
      <c r="A175" t="n">
        <v>1518</v>
      </c>
      <c r="B175" s="3" t="inlineStr">
        <is>
          <t>Problema com Atualizações de Tarefas Scrum</t>
        </is>
      </c>
      <c r="C175" s="3" t="inlineStr">
        <is>
          <t>Gerenciamento de Incidentes</t>
        </is>
      </c>
      <c r="D175" s="3" t="inlineStr">
        <is>
          <t>Gerenciamento de Problemas</t>
        </is>
      </c>
      <c r="F175" s="5">
        <f>IFERROR(INDEX([1]resposta_chat_stream!$B$2:$B$34, MATCH(_xlfn.CONCAT("*#",[1]analise_resposta!A175,"*"), [1]resposta_chat_stream!$C$2:$C$34, 0)), "")</f>
        <v/>
      </c>
      <c r="G175" s="6">
        <f>IF(E175&lt;&gt;"", IF(AND(C175=E175, D175=F175), "ACERTOU", IF(OR(C175=E175, D175=F175, C175=F175, D175=E175), "PARCIALMENTE", IF(OR(E175="Não há recomendação", F175="Não há recomendação", E175="SEM RECOMENDAÇÃO", F175="SEM RECOMENDAÇÃO"), "NÃO RECOMENDOU", "ERROU"))), "")</f>
        <v/>
      </c>
      <c r="H175" s="20">
        <f>IFERROR(INDEX([1]reposta_chat!$A$2:$A$121, MATCH(_xlfn.CONCAT("*#",[1]analise_resposta!A175,"*"), [1]reposta_chat!$C$2:$C$121, 0)), "")</f>
        <v/>
      </c>
      <c r="I175" s="20">
        <f>IFERROR(INDEX([1]reposta_chat!$B$2:$B$121, MATCH(_xlfn.CONCAT("*#",[1]analise_resposta!A175,"*"), [1]reposta_chat!$C$2:$C$121, 0)), "")</f>
        <v/>
      </c>
      <c r="J175" s="20">
        <f>IF(H175&lt;&gt;"", IF(AND(C175=H175, D175=I175), "ACERTOU", IF(OR(C175=H175, D175=I175, C175=I175, D175=H175), "PARCIALMENTE", IF(OR(H175="Não há recomendação", I175="Não há recomendação", H175="SEM RECOMENDAÇÃO", I175="SEM RECOMENDAÇÃO"), "NÃO RECOMENDOU", "ERROU"))), "")</f>
        <v/>
      </c>
      <c r="K175" s="21" t="inlineStr">
        <is>
          <t>Gerenciamento de Problemas</t>
        </is>
      </c>
      <c r="L175" s="21" t="inlineStr">
        <is>
          <t>Gerenciamento de Incidentes</t>
        </is>
      </c>
      <c r="M175" s="21">
        <f>IF(K175&lt;&gt;"", IF(AND(C175=K175, D175=L175), "ACERTOU", IF(OR(C175=K175, D175=L175, C175=L175, D175=K175), "PARCIALMENTE", IF(OR(K175="Não há recomendação", L175="Não há recomendação", K175="SEM RECOMENDAÇÃO", L175="SEM RECOMENDAÇÃO"), "NÃO RECOMENDOU", "ERROU"))), "")</f>
        <v/>
      </c>
      <c r="N175" s="22">
        <f>IFERROR(INDEX([1]respota_rag_adaptativo!$A$2:$A$853, MATCH(_xlfn.CONCAT("*#",[1]analise_resposta!A175,"*"), [1]respota_rag_adaptativo!$C$2:$C$85, 0)), "")</f>
        <v/>
      </c>
      <c r="O175" s="22" t="n"/>
      <c r="P175" s="22">
        <f>IF(N175&lt;&gt;"", IF(AND(C175=N175, D175=O175), "ACERTOU", IF(OR(C175=N175, D175=O175, C175=O175, D175=N175), "PARCIALMENTE", IF(OR(N175="Não há recomendação", O175="Não há recomendação", N175="SEM RECOMENDAÇÃO", O175="SEM RECOMENDAÇÃO"), "NÃO RECOMENDOU", "ERROU"))), "")</f>
        <v/>
      </c>
      <c r="Q175" s="23">
        <f>IFERROR(INDEX([1]resposta_plan_exec!$A$2:$A$121, MATCH(_xlfn.CONCAT("*",[1]analise_resposta!A175,"*"), [1]resposta_plan_exec!$C$2:$C$121, 0)), "")</f>
        <v/>
      </c>
      <c r="R175" s="23">
        <f>IF([1]analise_resposta!A175="", "",
    _xlfn.LET(_xlpm.resultado, IFERROR(INDEX([1]resposta_plan_exec!$B$2:$B$121,
                           MATCH(_xlfn.CONCAT("*", [1]analise_resposta!A175, "*"),
                                   [1]resposta_plan_exec!$C$2:$C$121, 0)), ""),
        IF(_xlpm.resultado="", "", _xlpm.resultado)))</f>
        <v/>
      </c>
      <c r="S175" s="23" t="n"/>
    </row>
    <row r="176">
      <c r="A176" t="n">
        <v>1536</v>
      </c>
      <c r="B176" s="3" t="inlineStr">
        <is>
          <t>Problema de Conectividade da Canon PIXMA MG3620</t>
        </is>
      </c>
      <c r="C176" s="3" t="inlineStr">
        <is>
          <t>Gerenciamento de Incidentes</t>
        </is>
      </c>
      <c r="D176" s="3" t="inlineStr">
        <is>
          <t>Gerenciamento de Problemas</t>
        </is>
      </c>
      <c r="F176" s="5">
        <f>IFERROR(INDEX([1]resposta_chat_stream!$B$2:$B$34, MATCH(_xlfn.CONCAT("*#",[1]analise_resposta!A176,"*"), [1]resposta_chat_stream!$C$2:$C$34, 0)), "")</f>
        <v/>
      </c>
      <c r="G176" s="6">
        <f>IF(E176&lt;&gt;"", IF(AND(C176=E176, D176=F176), "ACERTOU", IF(OR(C176=E176, D176=F176, C176=F176, D176=E176), "PARCIALMENTE", IF(OR(E176="Não há recomendação", F176="Não há recomendação", E176="SEM RECOMENDAÇÃO", F176="SEM RECOMENDAÇÃO"), "NÃO RECOMENDOU", "ERROU"))), "")</f>
        <v/>
      </c>
      <c r="H176" s="20">
        <f>IFERROR(INDEX([1]reposta_chat!$A$2:$A$121, MATCH(_xlfn.CONCAT("*#",[1]analise_resposta!A176,"*"), [1]reposta_chat!$C$2:$C$121, 0)), "")</f>
        <v/>
      </c>
      <c r="I176" s="20">
        <f>IFERROR(INDEX([1]reposta_chat!$B$2:$B$121, MATCH(_xlfn.CONCAT("*#",[1]analise_resposta!A176,"*"), [1]reposta_chat!$C$2:$C$121, 0)), "")</f>
        <v/>
      </c>
      <c r="J176" s="20">
        <f>IF(H176&lt;&gt;"", IF(AND(C176=H176, D176=I176), "ACERTOU", IF(OR(C176=H176, D176=I176, C176=I176, D176=H176), "PARCIALMENTE", IF(OR(H176="Não há recomendação", I176="Não há recomendação", H176="SEM RECOMENDAÇÃO", I176="SEM RECOMENDAÇÃO"), "NÃO RECOMENDOU", "ERROU"))), "")</f>
        <v/>
      </c>
      <c r="K176" s="21" t="inlineStr">
        <is>
          <t>Gerenciamento de Problemas</t>
        </is>
      </c>
      <c r="L176" s="21" t="inlineStr">
        <is>
          <t>Gerenciamento de Incidentes</t>
        </is>
      </c>
      <c r="M176" s="21">
        <f>IF(K176&lt;&gt;"", IF(AND(C176=K176, D176=L176), "ACERTOU", IF(OR(C176=K176, D176=L176, C176=L176, D176=K176), "PARCIALMENTE", IF(OR(K176="Não há recomendação", L176="Não há recomendação", K176="SEM RECOMENDAÇÃO", L176="SEM RECOMENDAÇÃO"), "NÃO RECOMENDOU", "ERROU"))), "")</f>
        <v/>
      </c>
      <c r="N176" s="22">
        <f>IFERROR(INDEX([1]respota_rag_adaptativo!$A$2:$A$853, MATCH(_xlfn.CONCAT("*#",[1]analise_resposta!A176,"*"), [1]respota_rag_adaptativo!$C$2:$C$85, 0)), "")</f>
        <v/>
      </c>
      <c r="O176" s="22" t="n"/>
      <c r="P176" s="22">
        <f>IF(N176&lt;&gt;"", IF(AND(C176=N176, D176=O176), "ACERTOU", IF(OR(C176=N176, D176=O176, C176=O176, D176=N176), "PARCIALMENTE", IF(OR(N176="Não há recomendação", O176="Não há recomendação", N176="SEM RECOMENDAÇÃO", O176="SEM RECOMENDAÇÃO"), "NÃO RECOMENDOU", "ERROU"))), "")</f>
        <v/>
      </c>
      <c r="Q176" s="23">
        <f>IFERROR(INDEX([1]resposta_plan_exec!$A$2:$A$121, MATCH(_xlfn.CONCAT("*",[1]analise_resposta!A176,"*"), [1]resposta_plan_exec!$C$2:$C$121, 0)), "")</f>
        <v/>
      </c>
      <c r="R176" s="23">
        <f>IF([1]analise_resposta!A176="", "",
    _xlfn.LET(_xlpm.resultado, IFERROR(INDEX([1]resposta_plan_exec!$B$2:$B$121,
                           MATCH(_xlfn.CONCAT("*", [1]analise_resposta!A176, "*"),
                                   [1]resposta_plan_exec!$C$2:$C$121, 0)), ""),
        IF(_xlpm.resultado="", "", _xlpm.resultado)))</f>
        <v/>
      </c>
      <c r="S176" s="23" t="n"/>
    </row>
    <row r="177">
      <c r="A177" t="n">
        <v>1553</v>
      </c>
      <c r="B177" s="3" t="inlineStr">
        <is>
          <t>Solicitação para Investigar Discrepância na Faturação do Serviço AWS</t>
        </is>
      </c>
      <c r="C177" s="3" t="inlineStr">
        <is>
          <t>Gerenciamento Financeiro</t>
        </is>
      </c>
      <c r="D177" s="3" t="inlineStr">
        <is>
          <t>Gerenciamento de Incidentes</t>
        </is>
      </c>
      <c r="F177" s="5">
        <f>IFERROR(INDEX([1]resposta_chat_stream!$B$2:$B$34, MATCH(_xlfn.CONCAT("*#",[1]analise_resposta!A177,"*"), [1]resposta_chat_stream!$C$2:$C$34, 0)), "")</f>
        <v/>
      </c>
      <c r="G177" s="6">
        <f>IF(E177&lt;&gt;"", IF(AND(C177=E177, D177=F177), "ACERTOU", IF(OR(C177=E177, D177=F177, C177=F177, D177=E177), "PARCIALMENTE", IF(OR(E177="Não há recomendação", F177="Não há recomendação", E177="SEM RECOMENDAÇÃO", F177="SEM RECOMENDAÇÃO"), "NÃO RECOMENDOU", "ERROU"))), "")</f>
        <v/>
      </c>
      <c r="H177" s="20">
        <f>IFERROR(INDEX([1]reposta_chat!$A$2:$A$121, MATCH(_xlfn.CONCAT("*#",[1]analise_resposta!A177,"*"), [1]reposta_chat!$C$2:$C$121, 0)), "")</f>
        <v/>
      </c>
      <c r="I177" s="20">
        <f>IFERROR(INDEX([1]reposta_chat!$B$2:$B$121, MATCH(_xlfn.CONCAT("*#",[1]analise_resposta!A177,"*"), [1]reposta_chat!$C$2:$C$121, 0)), "")</f>
        <v/>
      </c>
      <c r="J177" s="20">
        <f>IF(H177&lt;&gt;"", IF(AND(C177=H177, D177=I177), "ACERTOU", IF(OR(C177=H177, D177=I177, C177=I177, D177=H177), "PARCIALMENTE", IF(OR(H177="Não há recomendação", I177="Não há recomendação", H177="SEM RECOMENDAÇÃO", I177="SEM RECOMENDAÇÃO"), "NÃO RECOMENDOU", "ERROU"))), "")</f>
        <v/>
      </c>
      <c r="K177" s="21" t="inlineStr">
        <is>
          <t>Gerenciamento Financeiro de Serviço</t>
        </is>
      </c>
      <c r="L177" s="21" t="inlineStr">
        <is>
          <t>Gerenciamento de Relacionamento</t>
        </is>
      </c>
      <c r="M177" s="21">
        <f>IF(K177&lt;&gt;"", IF(AND(C177=K177, D177=L177), "ACERTOU", IF(OR(C177=K177, D177=L177, C177=L177, D177=K177), "PARCIALMENTE", IF(OR(K177="Não há recomendação", L177="Não há recomendação", K177="SEM RECOMENDAÇÃO", L177="SEM RECOMENDAÇÃO"), "NÃO RECOMENDOU", "ERROU"))), "")</f>
        <v/>
      </c>
      <c r="N177" s="22">
        <f>IFERROR(INDEX([1]respota_rag_adaptativo!$A$2:$A$853, MATCH(_xlfn.CONCAT("*#",[1]analise_resposta!A177,"*"), [1]respota_rag_adaptativo!$C$2:$C$85, 0)), "")</f>
        <v/>
      </c>
      <c r="O177" s="22" t="n"/>
      <c r="P177" s="22">
        <f>IF(N177&lt;&gt;"", IF(AND(C177=N177, D177=O177), "ACERTOU", IF(OR(C177=N177, D177=O177, C177=O177, D177=N177), "PARCIALMENTE", IF(OR(N177="Não há recomendação", O177="Não há recomendação", N177="SEM RECOMENDAÇÃO", O177="SEM RECOMENDAÇÃO"), "NÃO RECOMENDOU", "ERROU"))), "")</f>
        <v/>
      </c>
      <c r="Q177" s="23">
        <f>IFERROR(INDEX([1]resposta_plan_exec!$A$2:$A$121, MATCH(_xlfn.CONCAT("*",[1]analise_resposta!A177,"*"), [1]resposta_plan_exec!$C$2:$C$121, 0)), "")</f>
        <v/>
      </c>
      <c r="R177" s="23">
        <f>IF([1]analise_resposta!A177="", "",
    _xlfn.LET(_xlpm.resultado, IFERROR(INDEX([1]resposta_plan_exec!$B$2:$B$121,
                           MATCH(_xlfn.CONCAT("*", [1]analise_resposta!A177, "*"),
                                   [1]resposta_plan_exec!$C$2:$C$121, 0)), ""),
        IF(_xlpm.resultado="", "", _xlpm.resultado)))</f>
        <v/>
      </c>
      <c r="S177" s="23" t="n"/>
    </row>
    <row r="178">
      <c r="A178" t="n">
        <v>1565</v>
      </c>
      <c r="B178" s="3" t="inlineStr">
        <is>
          <t>Problema no Roteador Cisco ISR4331</t>
        </is>
      </c>
      <c r="C178" s="3" t="inlineStr">
        <is>
          <t>Gerenciamento de Incidentes</t>
        </is>
      </c>
      <c r="D178" s="3" t="inlineStr">
        <is>
          <t>Gerenciamento de Disponibilidade</t>
        </is>
      </c>
      <c r="F178" s="5">
        <f>IFERROR(INDEX([1]resposta_chat_stream!$B$2:$B$34, MATCH(_xlfn.CONCAT("*#",[1]analise_resposta!A178,"*"), [1]resposta_chat_stream!$C$2:$C$34, 0)), "")</f>
        <v/>
      </c>
      <c r="G178" s="6">
        <f>IF(E178&lt;&gt;"", IF(AND(C178=E178, D178=F178), "ACERTOU", IF(OR(C178=E178, D178=F178, C178=F178, D178=E178), "PARCIALMENTE", IF(OR(E178="Não há recomendação", F178="Não há recomendação", E178="SEM RECOMENDAÇÃO", F178="SEM RECOMENDAÇÃO"), "NÃO RECOMENDOU", "ERROU"))), "")</f>
        <v/>
      </c>
      <c r="H178" s="20">
        <f>IFERROR(INDEX([1]reposta_chat!$A$2:$A$121, MATCH(_xlfn.CONCAT("*#",[1]analise_resposta!A178,"*"), [1]reposta_chat!$C$2:$C$121, 0)), "")</f>
        <v/>
      </c>
      <c r="I178" s="20">
        <f>IFERROR(INDEX([1]reposta_chat!$B$2:$B$121, MATCH(_xlfn.CONCAT("*#",[1]analise_resposta!A178,"*"), [1]reposta_chat!$C$2:$C$121, 0)), "")</f>
        <v/>
      </c>
      <c r="J178" s="20">
        <f>IF(H178&lt;&gt;"", IF(AND(C178=H178, D178=I178), "ACERTOU", IF(OR(C178=H178, D178=I178, C178=I178, D178=H178), "PARCIALMENTE", IF(OR(H178="Não há recomendação", I178="Não há recomendação", H178="SEM RECOMENDAÇÃO", I178="SEM RECOMENDAÇÃO"), "NÃO RECOMENDOU", "ERROU"))), "")</f>
        <v/>
      </c>
      <c r="K178" s="21" t="inlineStr">
        <is>
          <t>Gerenciamento de Incidentes</t>
        </is>
      </c>
      <c r="L178" s="21" t="inlineStr">
        <is>
          <t>Gerenciamento de Capacidade e Desempenho</t>
        </is>
      </c>
      <c r="M178" s="21">
        <f>IF(K178&lt;&gt;"", IF(AND(C178=K178, D178=L178), "ACERTOU", IF(OR(C178=K178, D178=L178, C178=L178, D178=K178), "PARCIALMENTE", IF(OR(K178="Não há recomendação", L178="Não há recomendação", K178="SEM RECOMENDAÇÃO", L178="SEM RECOMENDAÇÃO"), "NÃO RECOMENDOU", "ERROU"))), "")</f>
        <v/>
      </c>
      <c r="N178" s="22">
        <f>IFERROR(INDEX([1]respota_rag_adaptativo!$A$2:$A$853, MATCH(_xlfn.CONCAT("*#",[1]analise_resposta!A178,"*"), [1]respota_rag_adaptativo!$C$2:$C$85, 0)), "")</f>
        <v/>
      </c>
      <c r="O178" s="22" t="n"/>
      <c r="P178" s="22">
        <f>IF(N178&lt;&gt;"", IF(AND(C178=N178, D178=O178), "ACERTOU", IF(OR(C178=N178, D178=O178, C178=O178, D178=N178), "PARCIALMENTE", IF(OR(N178="Não há recomendação", O178="Não há recomendação", N178="SEM RECOMENDAÇÃO", O178="SEM RECOMENDAÇÃO"), "NÃO RECOMENDOU", "ERROU"))), "")</f>
        <v/>
      </c>
      <c r="Q178" s="23">
        <f>IFERROR(INDEX([1]resposta_plan_exec!$A$2:$A$121, MATCH(_xlfn.CONCAT("*",[1]analise_resposta!A178,"*"), [1]resposta_plan_exec!$C$2:$C$121, 0)), "")</f>
        <v/>
      </c>
      <c r="R178" s="23">
        <f>IF([1]analise_resposta!A178="", "",
    _xlfn.LET(_xlpm.resultado, IFERROR(INDEX([1]resposta_plan_exec!$B$2:$B$121,
                           MATCH(_xlfn.CONCAT("*", [1]analise_resposta!A178, "*"),
                                   [1]resposta_plan_exec!$C$2:$C$121, 0)), ""),
        IF(_xlpm.resultado="", "", _xlpm.resultado)))</f>
        <v/>
      </c>
      <c r="S178" s="23" t="n"/>
    </row>
    <row r="179">
      <c r="A179" t="n">
        <v>1573</v>
      </c>
      <c r="B179" s="3" t="inlineStr">
        <is>
          <t>Assistência Necessária para Configuração Sem Fio do Canon PIXMA MG3620</t>
        </is>
      </c>
      <c r="C179" s="3" t="inlineStr">
        <is>
          <t>Solicitação de Serviço</t>
        </is>
      </c>
      <c r="D179" s="3" t="inlineStr">
        <is>
          <t>Gerenciamento de Incidentes</t>
        </is>
      </c>
      <c r="F179" s="5">
        <f>IFERROR(INDEX([1]resposta_chat_stream!$B$2:$B$34, MATCH(_xlfn.CONCAT("*#",[1]analise_resposta!A179,"*"), [1]resposta_chat_stream!$C$2:$C$34, 0)), "")</f>
        <v/>
      </c>
      <c r="G179" s="6">
        <f>IF(E179&lt;&gt;"", IF(AND(C179=E179, D179=F179), "ACERTOU", IF(OR(C179=E179, D179=F179, C179=F179, D179=E179), "PARCIALMENTE", IF(OR(E179="Não há recomendação", F179="Não há recomendação", E179="SEM RECOMENDAÇÃO", F179="SEM RECOMENDAÇÃO"), "NÃO RECOMENDOU", "ERROU"))), "")</f>
        <v/>
      </c>
      <c r="H179" s="20">
        <f>IFERROR(INDEX([1]reposta_chat!$A$2:$A$121, MATCH(_xlfn.CONCAT("*#",[1]analise_resposta!A179,"*"), [1]reposta_chat!$C$2:$C$121, 0)), "")</f>
        <v/>
      </c>
      <c r="I179" s="20">
        <f>IFERROR(INDEX([1]reposta_chat!$B$2:$B$121, MATCH(_xlfn.CONCAT("*#",[1]analise_resposta!A179,"*"), [1]reposta_chat!$C$2:$C$121, 0)), "")</f>
        <v/>
      </c>
      <c r="J179" s="20">
        <f>IF(H179&lt;&gt;"", IF(AND(C179=H179, D179=I179), "ACERTOU", IF(OR(C179=H179, D179=I179, C179=I179, D179=H179), "PARCIALMENTE", IF(OR(H179="Não há recomendação", I179="Não há recomendação", H179="SEM RECOMENDAÇÃO", I179="SEM RECOMENDAÇÃO"), "NÃO RECOMENDOU", "ERROU"))), "")</f>
        <v/>
      </c>
      <c r="K179" s="21" t="inlineStr">
        <is>
          <t>Gerenciamento de Requisição de Serviço</t>
        </is>
      </c>
      <c r="L179" s="21" t="inlineStr">
        <is>
          <t>Central de Serviço</t>
        </is>
      </c>
      <c r="M179" s="21">
        <f>IF(K179&lt;&gt;"", IF(AND(C179=K179, D179=L179), "ACERTOU", IF(OR(C179=K179, D179=L179, C179=L179, D179=K179), "PARCIALMENTE", IF(OR(K179="Não há recomendação", L179="Não há recomendação", K179="SEM RECOMENDAÇÃO", L179="SEM RECOMENDAÇÃO"), "NÃO RECOMENDOU", "ERROU"))), "")</f>
        <v/>
      </c>
      <c r="N179" s="22">
        <f>IFERROR(INDEX([1]respota_rag_adaptativo!$A$2:$A$853, MATCH(_xlfn.CONCAT("*#",[1]analise_resposta!A179,"*"), [1]respota_rag_adaptativo!$C$2:$C$85, 0)), "")</f>
        <v/>
      </c>
      <c r="O179" s="22" t="n"/>
      <c r="P179" s="22">
        <f>IF(N179&lt;&gt;"", IF(AND(C179=N179, D179=O179), "ACERTOU", IF(OR(C179=N179, D179=O179, C179=O179, D179=N179), "PARCIALMENTE", IF(OR(N179="Não há recomendação", O179="Não há recomendação", N179="SEM RECOMENDAÇÃO", O179="SEM RECOMENDAÇÃO"), "NÃO RECOMENDOU", "ERROU"))), "")</f>
        <v/>
      </c>
      <c r="Q179" s="23">
        <f>IFERROR(INDEX([1]resposta_plan_exec!$A$2:$A$121, MATCH(_xlfn.CONCAT("*",[1]analise_resposta!A179,"*"), [1]resposta_plan_exec!$C$2:$C$121, 0)), "")</f>
        <v/>
      </c>
      <c r="R179" s="23">
        <f>IF([1]analise_resposta!A179="", "",
    _xlfn.LET(_xlpm.resultado, IFERROR(INDEX([1]resposta_plan_exec!$B$2:$B$121,
                           MATCH(_xlfn.CONCAT("*", [1]analise_resposta!A179, "*"),
                                   [1]resposta_plan_exec!$C$2:$C$121, 0)), ""),
        IF(_xlpm.resultado="", "", _xlpm.resultado)))</f>
        <v/>
      </c>
      <c r="S179" s="23" t="n"/>
    </row>
    <row r="180">
      <c r="A180" t="n">
        <v>1577</v>
      </c>
      <c r="B180" s="3" t="inlineStr">
        <is>
          <t>Solicitação de Campos Personalizados Adicionais no Jira</t>
        </is>
      </c>
      <c r="C180" s="3" t="inlineStr">
        <is>
          <t>Solicitação de Serviço</t>
        </is>
      </c>
      <c r="D180" s="3" t="inlineStr">
        <is>
          <t>Gerenciamento de Mudanças</t>
        </is>
      </c>
      <c r="F180" s="5">
        <f>IFERROR(INDEX([1]resposta_chat_stream!$B$2:$B$34, MATCH(_xlfn.CONCAT("*#",[1]analise_resposta!A180,"*"), [1]resposta_chat_stream!$C$2:$C$34, 0)), "")</f>
        <v/>
      </c>
      <c r="G180" s="6">
        <f>IF(E180&lt;&gt;"", IF(AND(C180=E180, D180=F180), "ACERTOU", IF(OR(C180=E180, D180=F180, C180=F180, D180=E180), "PARCIALMENTE", IF(OR(E180="Não há recomendação", F180="Não há recomendação", E180="SEM RECOMENDAÇÃO", F180="SEM RECOMENDAÇÃO"), "NÃO RECOMENDOU", "ERROU"))), "")</f>
        <v/>
      </c>
      <c r="H180" s="20">
        <f>IFERROR(INDEX([1]reposta_chat!$A$2:$A$121, MATCH(_xlfn.CONCAT("*#",[1]analise_resposta!A180,"*"), [1]reposta_chat!$C$2:$C$121, 0)), "")</f>
        <v/>
      </c>
      <c r="I180" s="20">
        <f>IFERROR(INDEX([1]reposta_chat!$B$2:$B$121, MATCH(_xlfn.CONCAT("*#",[1]analise_resposta!A180,"*"), [1]reposta_chat!$C$2:$C$121, 0)), "")</f>
        <v/>
      </c>
      <c r="J180" s="20">
        <f>IF(H180&lt;&gt;"", IF(AND(C180=H180, D180=I180), "ACERTOU", IF(OR(C180=H180, D180=I180, C180=I180, D180=H180), "PARCIALMENTE", IF(OR(H180="Não há recomendação", I180="Não há recomendação", H180="SEM RECOMENDAÇÃO", I180="SEM RECOMENDAÇÃO"), "NÃO RECOMENDOU", "ERROU"))), "")</f>
        <v/>
      </c>
      <c r="K180" s="21" t="inlineStr">
        <is>
          <t>Gerenciamento de Requisição de Serviço</t>
        </is>
      </c>
      <c r="L180" s="21" t="inlineStr">
        <is>
          <t>Habilitação de Mudança</t>
        </is>
      </c>
      <c r="M180" s="21">
        <f>IF(K180&lt;&gt;"", IF(AND(C180=K180, D180=L180), "ACERTOU", IF(OR(C180=K180, D180=L180, C180=L180, D180=K180), "PARCIALMENTE", IF(OR(K180="Não há recomendação", L180="Não há recomendação", K180="SEM RECOMENDAÇÃO", L180="SEM RECOMENDAÇÃO"), "NÃO RECOMENDOU", "ERROU"))), "")</f>
        <v/>
      </c>
      <c r="N180" s="22">
        <f>IFERROR(INDEX([1]respota_rag_adaptativo!$A$2:$A$853, MATCH(_xlfn.CONCAT("*#",[1]analise_resposta!A180,"*"), [1]respota_rag_adaptativo!$C$2:$C$85, 0)), "")</f>
        <v/>
      </c>
      <c r="O180" s="22" t="n"/>
      <c r="P180" s="22">
        <f>IF(N180&lt;&gt;"", IF(AND(C180=N180, D180=O180), "ACERTOU", IF(OR(C180=N180, D180=O180, C180=O180, D180=N180), "PARCIALMENTE", IF(OR(N180="Não há recomendação", O180="Não há recomendação", N180="SEM RECOMENDAÇÃO", O180="SEM RECOMENDAÇÃO"), "NÃO RECOMENDOU", "ERROU"))), "")</f>
        <v/>
      </c>
      <c r="Q180" s="23">
        <f>IFERROR(INDEX([1]resposta_plan_exec!$A$2:$A$121, MATCH(_xlfn.CONCAT("*",[1]analise_resposta!A180,"*"), [1]resposta_plan_exec!$C$2:$C$121, 0)), "")</f>
        <v/>
      </c>
      <c r="R180" s="23">
        <f>IF([1]analise_resposta!A180="", "",
    _xlfn.LET(_xlpm.resultado, IFERROR(INDEX([1]resposta_plan_exec!$B$2:$B$121,
                           MATCH(_xlfn.CONCAT("*", [1]analise_resposta!A180, "*"),
                                   [1]resposta_plan_exec!$C$2:$C$121, 0)), ""),
        IF(_xlpm.resultado="", "", _xlpm.resultado)))</f>
        <v/>
      </c>
      <c r="S180" s="23" t="n"/>
    </row>
    <row r="181">
      <c r="A181" t="n">
        <v>1595</v>
      </c>
      <c r="B181" s="3" t="inlineStr">
        <is>
          <t>Solicitação Urgente para Modificação de Ticket Jira</t>
        </is>
      </c>
      <c r="C181" s="3" t="inlineStr">
        <is>
          <t>Gerenciamento de Mudanças</t>
        </is>
      </c>
      <c r="D181" s="3" t="inlineStr">
        <is>
          <t>Solicitação de Serviço</t>
        </is>
      </c>
      <c r="F181" s="5">
        <f>IFERROR(INDEX([1]resposta_chat_stream!$B$2:$B$34, MATCH(_xlfn.CONCAT("*#",[1]analise_resposta!A181,"*"), [1]resposta_chat_stream!$C$2:$C$34, 0)), "")</f>
        <v/>
      </c>
      <c r="G181" s="6">
        <f>IF(E181&lt;&gt;"", IF(AND(C181=E181, D181=F181), "ACERTOU", IF(OR(C181=E181, D181=F181, C181=F181, D181=E181), "PARCIALMENTE", IF(OR(E181="Não há recomendação", F181="Não há recomendação", E181="SEM RECOMENDAÇÃO", F181="SEM RECOMENDAÇÃO"), "NÃO RECOMENDOU", "ERROU"))), "")</f>
        <v/>
      </c>
      <c r="H181" s="20">
        <f>IFERROR(INDEX([1]reposta_chat!$A$2:$A$121, MATCH(_xlfn.CONCAT("*#",[1]analise_resposta!A181,"*"), [1]reposta_chat!$C$2:$C$121, 0)), "")</f>
        <v/>
      </c>
      <c r="I181" s="20">
        <f>IFERROR(INDEX([1]reposta_chat!$B$2:$B$121, MATCH(_xlfn.CONCAT("*#",[1]analise_resposta!A181,"*"), [1]reposta_chat!$C$2:$C$121, 0)), "")</f>
        <v/>
      </c>
      <c r="J181" s="20">
        <f>IF(H181&lt;&gt;"", IF(AND(C181=H181, D181=I181), "ACERTOU", IF(OR(C181=H181, D181=I181, C181=I181, D181=H181), "PARCIALMENTE", IF(OR(H181="Não há recomendação", I181="Não há recomendação", H181="SEM RECOMENDAÇÃO", I181="SEM RECOMENDAÇÃO"), "NÃO RECOMENDOU", "ERROU"))), "")</f>
        <v/>
      </c>
      <c r="K181" s="21" t="inlineStr">
        <is>
          <t>Habilitação de Mudança</t>
        </is>
      </c>
      <c r="L181" s="21" t="inlineStr">
        <is>
          <t>Gerenciamento de Configuração de Serviço</t>
        </is>
      </c>
      <c r="M181" s="21">
        <f>IF(K181&lt;&gt;"", IF(AND(C181=K181, D181=L181), "ACERTOU", IF(OR(C181=K181, D181=L181, C181=L181, D181=K181), "PARCIALMENTE", IF(OR(K181="Não há recomendação", L181="Não há recomendação", K181="SEM RECOMENDAÇÃO", L181="SEM RECOMENDAÇÃO"), "NÃO RECOMENDOU", "ERROU"))), "")</f>
        <v/>
      </c>
      <c r="N181" s="22">
        <f>IFERROR(INDEX([1]respota_rag_adaptativo!$A$2:$A$853, MATCH(_xlfn.CONCAT("*#",[1]analise_resposta!A181,"*"), [1]respota_rag_adaptativo!$C$2:$C$85, 0)), "")</f>
        <v/>
      </c>
      <c r="O181" s="22" t="n"/>
      <c r="P181" s="22">
        <f>IF(N181&lt;&gt;"", IF(AND(C181=N181, D181=O181), "ACERTOU", IF(OR(C181=N181, D181=O181, C181=O181, D181=N181), "PARCIALMENTE", IF(OR(N181="Não há recomendação", O181="Não há recomendação", N181="SEM RECOMENDAÇÃO", O181="SEM RECOMENDAÇÃO"), "NÃO RECOMENDOU", "ERROU"))), "")</f>
        <v/>
      </c>
      <c r="Q181" s="23">
        <f>IFERROR(INDEX([1]resposta_plan_exec!$A$2:$A$121, MATCH(_xlfn.CONCAT("*",[1]analise_resposta!A181,"*"), [1]resposta_plan_exec!$C$2:$C$121, 0)), "")</f>
        <v/>
      </c>
      <c r="R181" s="23">
        <f>IF([1]analise_resposta!A181="", "",
    _xlfn.LET(_xlpm.resultado, IFERROR(INDEX([1]resposta_plan_exec!$B$2:$B$121,
                           MATCH(_xlfn.CONCAT("*", [1]analise_resposta!A181, "*"),
                                   [1]resposta_plan_exec!$C$2:$C$121, 0)), ""),
        IF(_xlpm.resultado="", "", _xlpm.resultado)))</f>
        <v/>
      </c>
      <c r="S181" s="23" t="n"/>
    </row>
    <row r="182">
      <c r="A182" t="n">
        <v>1600</v>
      </c>
      <c r="B182" s="3" t="inlineStr">
        <is>
          <t>Assistência Urgente Necessária para Problemas de Serviço da AWS</t>
        </is>
      </c>
      <c r="C182" s="3" t="inlineStr">
        <is>
          <t>Gerenciamento de Incidentes</t>
        </is>
      </c>
      <c r="D182" s="3" t="inlineStr">
        <is>
          <t>Gerenciamento de Disponibilidade</t>
        </is>
      </c>
      <c r="F182" s="5">
        <f>IFERROR(INDEX([1]resposta_chat_stream!$B$2:$B$34, MATCH(_xlfn.CONCAT("*#",[1]analise_resposta!A182,"*"), [1]resposta_chat_stream!$C$2:$C$34, 0)), "")</f>
        <v/>
      </c>
      <c r="G182" s="6">
        <f>IF(E182&lt;&gt;"", IF(AND(C182=E182, D182=F182), "ACERTOU", IF(OR(C182=E182, D182=F182, C182=F182, D182=E182), "PARCIALMENTE", IF(OR(E182="Não há recomendação", F182="Não há recomendação", E182="SEM RECOMENDAÇÃO", F182="SEM RECOMENDAÇÃO"), "NÃO RECOMENDOU", "ERROU"))), "")</f>
        <v/>
      </c>
      <c r="H182" s="20">
        <f>IFERROR(INDEX([1]reposta_chat!$A$2:$A$121, MATCH(_xlfn.CONCAT("*#",[1]analise_resposta!A182,"*"), [1]reposta_chat!$C$2:$C$121, 0)), "")</f>
        <v/>
      </c>
      <c r="I182" s="20">
        <f>IFERROR(INDEX([1]reposta_chat!$B$2:$B$121, MATCH(_xlfn.CONCAT("*#",[1]analise_resposta!A182,"*"), [1]reposta_chat!$C$2:$C$121, 0)), "")</f>
        <v/>
      </c>
      <c r="J182" s="20">
        <f>IF(H182&lt;&gt;"", IF(AND(C182=H182, D182=I182), "ACERTOU", IF(OR(C182=H182, D182=I182, C182=I182, D182=H182), "PARCIALMENTE", IF(OR(H182="Não há recomendação", I182="Não há recomendação", H182="SEM RECOMENDAÇÃO", I182="SEM RECOMENDAÇÃO"), "NÃO RECOMENDOU", "ERROU"))), "")</f>
        <v/>
      </c>
      <c r="K182" s="21" t="inlineStr">
        <is>
          <t>Gerenciamento de Disponibilidade</t>
        </is>
      </c>
      <c r="L182" s="21" t="inlineStr">
        <is>
          <t>Gerenciamento de Capacidade e Desempenho</t>
        </is>
      </c>
      <c r="M182" s="21">
        <f>IF(K182&lt;&gt;"", IF(AND(C182=K182, D182=L182), "ACERTOU", IF(OR(C182=K182, D182=L182, C182=L182, D182=K182), "PARCIALMENTE", IF(OR(K182="Não há recomendação", L182="Não há recomendação", K182="SEM RECOMENDAÇÃO", L182="SEM RECOMENDAÇÃO"), "NÃO RECOMENDOU", "ERROU"))), "")</f>
        <v/>
      </c>
      <c r="N182" s="22">
        <f>IFERROR(INDEX([1]respota_rag_adaptativo!$A$2:$A$853, MATCH(_xlfn.CONCAT("*#",[1]analise_resposta!A182,"*"), [1]respota_rag_adaptativo!$C$2:$C$85, 0)), "")</f>
        <v/>
      </c>
      <c r="O182" s="22" t="n"/>
      <c r="P182" s="22">
        <f>IF(N182&lt;&gt;"", IF(AND(C182=N182, D182=O182), "ACERTOU", IF(OR(C182=N182, D182=O182, C182=O182, D182=N182), "PARCIALMENTE", IF(OR(N182="Não há recomendação", O182="Não há recomendação", N182="SEM RECOMENDAÇÃO", O182="SEM RECOMENDAÇÃO"), "NÃO RECOMENDOU", "ERROU"))), "")</f>
        <v/>
      </c>
      <c r="Q182" s="23">
        <f>IFERROR(INDEX([1]resposta_plan_exec!$A$2:$A$121, MATCH(_xlfn.CONCAT("*",[1]analise_resposta!A182,"*"), [1]resposta_plan_exec!$C$2:$C$121, 0)), "")</f>
        <v/>
      </c>
      <c r="R182" s="23">
        <f>IF([1]analise_resposta!A182="", "",
    _xlfn.LET(_xlpm.resultado, IFERROR(INDEX([1]resposta_plan_exec!$B$2:$B$121,
                           MATCH(_xlfn.CONCAT("*", [1]analise_resposta!A182, "*"),
                                   [1]resposta_plan_exec!$C$2:$C$121, 0)), ""),
        IF(_xlpm.resultado="", "", _xlpm.resultado)))</f>
        <v/>
      </c>
      <c r="S182" s="23" t="n"/>
    </row>
    <row r="183">
      <c r="A183" t="n">
        <v>1606</v>
      </c>
      <c r="B183" s="3" t="inlineStr">
        <is>
          <t>Solicitação de Assistência: Problema de Configuração Sem Fio para Impressora HP</t>
        </is>
      </c>
      <c r="C183" s="3" t="inlineStr">
        <is>
          <t>Solicitação de Serviço</t>
        </is>
      </c>
      <c r="D183" s="3" t="inlineStr">
        <is>
          <t>Gerenciamento de Incidentes</t>
        </is>
      </c>
      <c r="F183" s="5">
        <f>IFERROR(INDEX([1]resposta_chat_stream!$B$2:$B$34, MATCH(_xlfn.CONCAT("*#",[1]analise_resposta!A183,"*"), [1]resposta_chat_stream!$C$2:$C$34, 0)), "")</f>
        <v/>
      </c>
      <c r="G183" s="6">
        <f>IF(E183&lt;&gt;"", IF(AND(C183=E183, D183=F183), "ACERTOU", IF(OR(C183=E183, D183=F183, C183=F183, D183=E183), "PARCIALMENTE", IF(OR(E183="Não há recomendação", F183="Não há recomendação", E183="SEM RECOMENDAÇÃO", F183="SEM RECOMENDAÇÃO"), "NÃO RECOMENDOU", "ERROU"))), "")</f>
        <v/>
      </c>
      <c r="H183" s="20">
        <f>IFERROR(INDEX([1]reposta_chat!$A$2:$A$121, MATCH(_xlfn.CONCAT("*#",[1]analise_resposta!A183,"*"), [1]reposta_chat!$C$2:$C$121, 0)), "")</f>
        <v/>
      </c>
      <c r="I183" s="20">
        <f>IFERROR(INDEX([1]reposta_chat!$B$2:$B$121, MATCH(_xlfn.CONCAT("*#",[1]analise_resposta!A183,"*"), [1]reposta_chat!$C$2:$C$121, 0)), "")</f>
        <v/>
      </c>
      <c r="J183" s="20">
        <f>IF(H183&lt;&gt;"", IF(AND(C183=H183, D183=I183), "ACERTOU", IF(OR(C183=H183, D183=I183, C183=I183, D183=H183), "PARCIALMENTE", IF(OR(H183="Não há recomendação", I183="Não há recomendação", H183="SEM RECOMENDAÇÃO", I183="SEM RECOMENDAÇÃO"), "NÃO RECOMENDOU", "ERROU"))), "")</f>
        <v/>
      </c>
      <c r="K183" s="21" t="inlineStr">
        <is>
          <t>Gerenciamento de Requisição de Serviço</t>
        </is>
      </c>
      <c r="L183" s="21" t="inlineStr">
        <is>
          <t>Gerenciamento de Conhecimento</t>
        </is>
      </c>
      <c r="M183" s="21">
        <f>IF(K183&lt;&gt;"", IF(AND(C183=K183, D183=L183), "ACERTOU", IF(OR(C183=K183, D183=L183, C183=L183, D183=K183), "PARCIALMENTE", IF(OR(K183="Não há recomendação", L183="Não há recomendação", K183="SEM RECOMENDAÇÃO", L183="SEM RECOMENDAÇÃO"), "NÃO RECOMENDOU", "ERROU"))), "")</f>
        <v/>
      </c>
      <c r="N183" s="22">
        <f>IFERROR(INDEX([1]respota_rag_adaptativo!$A$2:$A$853, MATCH(_xlfn.CONCAT("*#",[1]analise_resposta!A183,"*"), [1]respota_rag_adaptativo!$C$2:$C$85, 0)), "")</f>
        <v/>
      </c>
      <c r="O183" s="22" t="n"/>
      <c r="P183" s="22">
        <f>IF(N183&lt;&gt;"", IF(AND(C183=N183, D183=O183), "ACERTOU", IF(OR(C183=N183, D183=O183, C183=O183, D183=N183), "PARCIALMENTE", IF(OR(N183="Não há recomendação", O183="Não há recomendação", N183="SEM RECOMENDAÇÃO", O183="SEM RECOMENDAÇÃO"), "NÃO RECOMENDOU", "ERROU"))), "")</f>
        <v/>
      </c>
      <c r="Q183" s="23">
        <f>IFERROR(INDEX([1]resposta_plan_exec!$A$2:$A$121, MATCH(_xlfn.CONCAT("*",[1]analise_resposta!A183,"*"), [1]resposta_plan_exec!$C$2:$C$121, 0)), "")</f>
        <v/>
      </c>
      <c r="R183" s="23">
        <f>IF([1]analise_resposta!A183="", "",
    _xlfn.LET(_xlpm.resultado, IFERROR(INDEX([1]resposta_plan_exec!$B$2:$B$121,
                           MATCH(_xlfn.CONCAT("*", [1]analise_resposta!A183, "*"),
                                   [1]resposta_plan_exec!$C$2:$C$121, 0)), ""),
        IF(_xlpm.resultado="", "", _xlpm.resultado)))</f>
        <v/>
      </c>
      <c r="S183" s="23" t="n"/>
    </row>
    <row r="184">
      <c r="A184" t="n">
        <v>1614</v>
      </c>
      <c r="B184" s="3" t="inlineStr">
        <is>
          <t>Problema de Interrupção Urgente</t>
        </is>
      </c>
      <c r="C184" s="3" t="inlineStr">
        <is>
          <t>Gerenciamento de Incidentes</t>
        </is>
      </c>
      <c r="D184" s="3" t="inlineStr">
        <is>
          <t>Gerenciamento de Disponibilidade</t>
        </is>
      </c>
      <c r="F184" s="5">
        <f>IFERROR(INDEX([1]resposta_chat_stream!$B$2:$B$34, MATCH(_xlfn.CONCAT("*#",[1]analise_resposta!A184,"*"), [1]resposta_chat_stream!$C$2:$C$34, 0)), "")</f>
        <v/>
      </c>
      <c r="G184" s="6">
        <f>IF(E184&lt;&gt;"", IF(AND(C184=E184, D184=F184), "ACERTOU", IF(OR(C184=E184, D184=F184, C184=F184, D184=E184), "PARCIALMENTE", IF(OR(E184="Não há recomendação", F184="Não há recomendação", E184="SEM RECOMENDAÇÃO", F184="SEM RECOMENDAÇÃO"), "NÃO RECOMENDOU", "ERROU"))), "")</f>
        <v/>
      </c>
      <c r="H184" s="20">
        <f>IFERROR(INDEX([1]reposta_chat!$A$2:$A$121, MATCH(_xlfn.CONCAT("*#",[1]analise_resposta!A184,"*"), [1]reposta_chat!$C$2:$C$121, 0)), "")</f>
        <v/>
      </c>
      <c r="I184" s="20">
        <f>IFERROR(INDEX([1]reposta_chat!$B$2:$B$121, MATCH(_xlfn.CONCAT("*#",[1]analise_resposta!A184,"*"), [1]reposta_chat!$C$2:$C$121, 0)), "")</f>
        <v/>
      </c>
      <c r="J184" s="20">
        <f>IF(H184&lt;&gt;"", IF(AND(C184=H184, D184=I184), "ACERTOU", IF(OR(C184=H184, D184=I184, C184=I184, D184=H184), "PARCIALMENTE", IF(OR(H184="Não há recomendação", I184="Não há recomendação", H184="SEM RECOMENDAÇÃO", I184="SEM RECOMENDAÇÃO"), "NÃO RECOMENDOU", "ERROU"))), "")</f>
        <v/>
      </c>
      <c r="K184" s="21" t="inlineStr">
        <is>
          <t>Gerenciamento de Problemas</t>
        </is>
      </c>
      <c r="L184" s="21" t="inlineStr">
        <is>
          <t>Gerenciamento de Continuidade de Serviço de TI</t>
        </is>
      </c>
      <c r="M184" s="21">
        <f>IF(K184&lt;&gt;"", IF(AND(C184=K184, D184=L184), "ACERTOU", IF(OR(C184=K184, D184=L184, C184=L184, D184=K184), "PARCIALMENTE", IF(OR(K184="Não há recomendação", L184="Não há recomendação", K184="SEM RECOMENDAÇÃO", L184="SEM RECOMENDAÇÃO"), "NÃO RECOMENDOU", "ERROU"))), "")</f>
        <v/>
      </c>
      <c r="N184" s="22">
        <f>IFERROR(INDEX([1]respota_rag_adaptativo!$A$2:$A$853, MATCH(_xlfn.CONCAT("*#",[1]analise_resposta!A184,"*"), [1]respota_rag_adaptativo!$C$2:$C$85, 0)), "")</f>
        <v/>
      </c>
      <c r="O184" s="22" t="n"/>
      <c r="P184" s="22">
        <f>IF(N184&lt;&gt;"", IF(AND(C184=N184, D184=O184), "ACERTOU", IF(OR(C184=N184, D184=O184, C184=O184, D184=N184), "PARCIALMENTE", IF(OR(N184="Não há recomendação", O184="Não há recomendação", N184="SEM RECOMENDAÇÃO", O184="SEM RECOMENDAÇÃO"), "NÃO RECOMENDOU", "ERROU"))), "")</f>
        <v/>
      </c>
      <c r="Q184" s="23">
        <f>IFERROR(INDEX([1]resposta_plan_exec!$A$2:$A$121, MATCH(_xlfn.CONCAT("*",[1]analise_resposta!A184,"*"), [1]resposta_plan_exec!$C$2:$C$121, 0)), "")</f>
        <v/>
      </c>
      <c r="R184" s="23">
        <f>IF([1]analise_resposta!A184="", "",
    _xlfn.LET(_xlpm.resultado, IFERROR(INDEX([1]resposta_plan_exec!$B$2:$B$121,
                           MATCH(_xlfn.CONCAT("*", [1]analise_resposta!A184, "*"),
                                   [1]resposta_plan_exec!$C$2:$C$121, 0)), ""),
        IF(_xlpm.resultado="", "", _xlpm.resultado)))</f>
        <v/>
      </c>
      <c r="S184" s="23" t="n"/>
    </row>
    <row r="185">
      <c r="A185" t="n">
        <v>1627</v>
      </c>
      <c r="B185" s="3" t="inlineStr">
        <is>
          <t>Problemas com as funcionalidades de refatoração do IntelliJ IDEA 2024.1</t>
        </is>
      </c>
      <c r="C185" s="3" t="inlineStr">
        <is>
          <t>Gerenciamento de Problemas</t>
        </is>
      </c>
      <c r="D185" s="3" t="inlineStr">
        <is>
          <t>Gerenciamento de Mudanças</t>
        </is>
      </c>
      <c r="F185" s="5">
        <f>IFERROR(INDEX([1]resposta_chat_stream!$B$2:$B$34, MATCH(_xlfn.CONCAT("*#",[1]analise_resposta!A185,"*"), [1]resposta_chat_stream!$C$2:$C$34, 0)), "")</f>
        <v/>
      </c>
      <c r="G185" s="6">
        <f>IF(E185&lt;&gt;"", IF(AND(C185=E185, D185=F185), "ACERTOU", IF(OR(C185=E185, D185=F185, C185=F185, D185=E185), "PARCIALMENTE", IF(OR(E185="Não há recomendação", F185="Não há recomendação", E185="SEM RECOMENDAÇÃO", F185="SEM RECOMENDAÇÃO"), "NÃO RECOMENDOU", "ERROU"))), "")</f>
        <v/>
      </c>
      <c r="H185" s="20">
        <f>IFERROR(INDEX([1]reposta_chat!$A$2:$A$121, MATCH(_xlfn.CONCAT("*#",[1]analise_resposta!A185,"*"), [1]reposta_chat!$C$2:$C$121, 0)), "")</f>
        <v/>
      </c>
      <c r="I185" s="20">
        <f>IFERROR(INDEX([1]reposta_chat!$B$2:$B$121, MATCH(_xlfn.CONCAT("*#",[1]analise_resposta!A185,"*"), [1]reposta_chat!$C$2:$C$121, 0)), "")</f>
        <v/>
      </c>
      <c r="J185" s="20">
        <f>IF(H185&lt;&gt;"", IF(AND(C185=H185, D185=I185), "ACERTOU", IF(OR(C185=H185, D185=I185, C185=I185, D185=H185), "PARCIALMENTE", IF(OR(H185="Não há recomendação", I185="Não há recomendação", H185="SEM RECOMENDAÇÃO", I185="SEM RECOMENDAÇÃO"), "NÃO RECOMENDOU", "ERROU"))), "")</f>
        <v/>
      </c>
      <c r="K185" s="21" t="inlineStr">
        <is>
          <t>Gerenciamento de Liberação</t>
        </is>
      </c>
      <c r="L185" s="21" t="inlineStr">
        <is>
          <t>Gerenciamento de Problemas</t>
        </is>
      </c>
      <c r="M185" s="21">
        <f>IF(K185&lt;&gt;"", IF(AND(C185=K185, D185=L185), "ACERTOU", IF(OR(C185=K185, D185=L185, C185=L185, D185=K185), "PARCIALMENTE", IF(OR(K185="Não há recomendação", L185="Não há recomendação", K185="SEM RECOMENDAÇÃO", L185="SEM RECOMENDAÇÃO"), "NÃO RECOMENDOU", "ERROU"))), "")</f>
        <v/>
      </c>
      <c r="N185" s="22">
        <f>IFERROR(INDEX([1]respota_rag_adaptativo!$A$2:$A$853, MATCH(_xlfn.CONCAT("*#",[1]analise_resposta!A185,"*"), [1]respota_rag_adaptativo!$C$2:$C$85, 0)), "")</f>
        <v/>
      </c>
      <c r="O185" s="22" t="n"/>
      <c r="P185" s="22">
        <f>IF(N185&lt;&gt;"", IF(AND(C185=N185, D185=O185), "ACERTOU", IF(OR(C185=N185, D185=O185, C185=O185, D185=N185), "PARCIALMENTE", IF(OR(N185="Não há recomendação", O185="Não há recomendação", N185="SEM RECOMENDAÇÃO", O185="SEM RECOMENDAÇÃO"), "NÃO RECOMENDOU", "ERROU"))), "")</f>
        <v/>
      </c>
      <c r="Q185" s="23">
        <f>IFERROR(INDEX([1]resposta_plan_exec!$A$2:$A$121, MATCH(_xlfn.CONCAT("*",[1]analise_resposta!A185,"*"), [1]resposta_plan_exec!$C$2:$C$121, 0)), "")</f>
        <v/>
      </c>
      <c r="R185" s="23">
        <f>IF([1]analise_resposta!A185="", "",
    _xlfn.LET(_xlpm.resultado, IFERROR(INDEX([1]resposta_plan_exec!$B$2:$B$121,
                           MATCH(_xlfn.CONCAT("*", [1]analise_resposta!A185, "*"),
                                   [1]resposta_plan_exec!$C$2:$C$121, 0)), ""),
        IF(_xlpm.resultado="", "", _xlpm.resultado)))</f>
        <v/>
      </c>
      <c r="S185" s="23" t="n"/>
    </row>
    <row r="186">
      <c r="A186" t="n">
        <v>1629</v>
      </c>
      <c r="B186" s="3" t="inlineStr">
        <is>
          <t>Consulta sobre compra em grande quantidade do MacBook Air M1</t>
        </is>
      </c>
      <c r="C186" s="3" t="inlineStr">
        <is>
          <t>Solicitação de Serviço</t>
        </is>
      </c>
      <c r="D186" s="3" t="inlineStr">
        <is>
          <t>Gerenciamento Financeiro</t>
        </is>
      </c>
      <c r="F186" s="5">
        <f>IFERROR(INDEX([1]resposta_chat_stream!$B$2:$B$34, MATCH(_xlfn.CONCAT("*#",[1]analise_resposta!A186,"*"), [1]resposta_chat_stream!$C$2:$C$34, 0)), "")</f>
        <v/>
      </c>
      <c r="G186" s="6">
        <f>IF(E186&lt;&gt;"", IF(AND(C186=E186, D186=F186), "ACERTOU", IF(OR(C186=E186, D186=F186, C186=F186, D186=E186), "PARCIALMENTE", IF(OR(E186="Não há recomendação", F186="Não há recomendação", E186="SEM RECOMENDAÇÃO", F186="SEM RECOMENDAÇÃO"), "NÃO RECOMENDOU", "ERROU"))), "")</f>
        <v/>
      </c>
      <c r="H186" s="20">
        <f>IFERROR(INDEX([1]reposta_chat!$A$2:$A$121, MATCH(_xlfn.CONCAT("*#",[1]analise_resposta!A186,"*"), [1]reposta_chat!$C$2:$C$121, 0)), "")</f>
        <v/>
      </c>
      <c r="I186" s="20">
        <f>IFERROR(INDEX([1]reposta_chat!$B$2:$B$121, MATCH(_xlfn.CONCAT("*#",[1]analise_resposta!A186,"*"), [1]reposta_chat!$C$2:$C$121, 0)), "")</f>
        <v/>
      </c>
      <c r="J186" s="20">
        <f>IF(H186&lt;&gt;"", IF(AND(C186=H186, D186=I186), "ACERTOU", IF(OR(C186=H186, D186=I186, C186=I186, D186=H186), "PARCIALMENTE", IF(OR(H186="Não há recomendação", I186="Não há recomendação", H186="SEM RECOMENDAÇÃO", I186="SEM RECOMENDAÇÃO"), "NÃO RECOMENDOU", "ERROU"))), "")</f>
        <v/>
      </c>
      <c r="K186" s="21" t="inlineStr">
        <is>
          <t>Gerenciamento de Relacionamento</t>
        </is>
      </c>
      <c r="L186" s="21" t="inlineStr">
        <is>
          <t>Gerenciamento Financeiro de Serviços</t>
        </is>
      </c>
      <c r="M186" s="21">
        <f>IF(K186&lt;&gt;"", IF(AND(C186=K186, D186=L186), "ACERTOU", IF(OR(C186=K186, D186=L186, C186=L186, D186=K186), "PARCIALMENTE", IF(OR(K186="Não há recomendação", L186="Não há recomendação", K186="SEM RECOMENDAÇÃO", L186="SEM RECOMENDAÇÃO"), "NÃO RECOMENDOU", "ERROU"))), "")</f>
        <v/>
      </c>
      <c r="N186" s="22">
        <f>IFERROR(INDEX([1]respota_rag_adaptativo!$A$2:$A$853, MATCH(_xlfn.CONCAT("*#",[1]analise_resposta!A186,"*"), [1]respota_rag_adaptativo!$C$2:$C$85, 0)), "")</f>
        <v/>
      </c>
      <c r="O186" s="22" t="n"/>
      <c r="P186" s="22">
        <f>IF(N186&lt;&gt;"", IF(AND(C186=N186, D186=O186), "ACERTOU", IF(OR(C186=N186, D186=O186, C186=O186, D186=N186), "PARCIALMENTE", IF(OR(N186="Não há recomendação", O186="Não há recomendação", N186="SEM RECOMENDAÇÃO", O186="SEM RECOMENDAÇÃO"), "NÃO RECOMENDOU", "ERROU"))), "")</f>
        <v/>
      </c>
      <c r="Q186" s="23">
        <f>IFERROR(INDEX([1]resposta_plan_exec!$A$2:$A$121, MATCH(_xlfn.CONCAT("*",[1]analise_resposta!A186,"*"), [1]resposta_plan_exec!$C$2:$C$121, 0)), "")</f>
        <v/>
      </c>
      <c r="R186" s="23">
        <f>IF([1]analise_resposta!A186="", "",
    _xlfn.LET(_xlpm.resultado, IFERROR(INDEX([1]resposta_plan_exec!$B$2:$B$121,
                           MATCH(_xlfn.CONCAT("*", [1]analise_resposta!A186, "*"),
                                   [1]resposta_plan_exec!$C$2:$C$121, 0)), ""),
        IF(_xlpm.resultado="", "", _xlpm.resultado)))</f>
        <v/>
      </c>
      <c r="S186" s="23" t="n"/>
    </row>
    <row r="187">
      <c r="A187" t="n">
        <v>1641</v>
      </c>
      <c r="B187" s="3" t="inlineStr">
        <is>
          <t>Interrupção do Serviço de Gerenciamento da AWS</t>
        </is>
      </c>
      <c r="C187" s="3" t="inlineStr">
        <is>
          <t>Gerenciamento de Incidentes</t>
        </is>
      </c>
      <c r="D187" s="3" t="inlineStr">
        <is>
          <t>Gerenciamento de Disponibilidade</t>
        </is>
      </c>
      <c r="F187" s="5">
        <f>IFERROR(INDEX([1]resposta_chat_stream!$B$2:$B$34, MATCH(_xlfn.CONCAT("*#",[1]analise_resposta!A187,"*"), [1]resposta_chat_stream!$C$2:$C$34, 0)), "")</f>
        <v/>
      </c>
      <c r="G187" s="6">
        <f>IF(E187&lt;&gt;"", IF(AND(C187=E187, D187=F187), "ACERTOU", IF(OR(C187=E187, D187=F187, C187=F187, D187=E187), "PARCIALMENTE", IF(OR(E187="Não há recomendação", F187="Não há recomendação", E187="SEM RECOMENDAÇÃO", F187="SEM RECOMENDAÇÃO"), "NÃO RECOMENDOU", "ERROU"))), "")</f>
        <v/>
      </c>
      <c r="H187" s="20">
        <f>IFERROR(INDEX([1]reposta_chat!$A$2:$A$121, MATCH(_xlfn.CONCAT("*#",[1]analise_resposta!A187,"*"), [1]reposta_chat!$C$2:$C$121, 0)), "")</f>
        <v/>
      </c>
      <c r="I187" s="20">
        <f>IFERROR(INDEX([1]reposta_chat!$B$2:$B$121, MATCH(_xlfn.CONCAT("*#",[1]analise_resposta!A187,"*"), [1]reposta_chat!$C$2:$C$121, 0)), "")</f>
        <v/>
      </c>
      <c r="J187" s="20">
        <f>IF(H187&lt;&gt;"", IF(AND(C187=H187, D187=I187), "ACERTOU", IF(OR(C187=H187, D187=I187, C187=I187, D187=H187), "PARCIALMENTE", IF(OR(H187="Não há recomendação", I187="Não há recomendação", H187="SEM RECOMENDAÇÃO", I187="SEM RECOMENDAÇÃO"), "NÃO RECOMENDOU", "ERROU"))), "")</f>
        <v/>
      </c>
      <c r="K187" s="21" t="inlineStr">
        <is>
          <t>Gerenciamento de Disponibilidade</t>
        </is>
      </c>
      <c r="L187" s="21" t="inlineStr">
        <is>
          <t>Gerenciamento de Monitoração e Gerenciamento de Eventos</t>
        </is>
      </c>
      <c r="M187" s="21">
        <f>IF(K187&lt;&gt;"", IF(AND(C187=K187, D187=L187), "ACERTOU", IF(OR(C187=K187, D187=L187, C187=L187, D187=K187), "PARCIALMENTE", IF(OR(K187="Não há recomendação", L187="Não há recomendação", K187="SEM RECOMENDAÇÃO", L187="SEM RECOMENDAÇÃO"), "NÃO RECOMENDOU", "ERROU"))), "")</f>
        <v/>
      </c>
      <c r="N187" s="22">
        <f>IFERROR(INDEX([1]respota_rag_adaptativo!$A$2:$A$853, MATCH(_xlfn.CONCAT("*#",[1]analise_resposta!A187,"*"), [1]respota_rag_adaptativo!$C$2:$C$85, 0)), "")</f>
        <v/>
      </c>
      <c r="O187" s="22" t="n"/>
      <c r="P187" s="22">
        <f>IF(N187&lt;&gt;"", IF(AND(C187=N187, D187=O187), "ACERTOU", IF(OR(C187=N187, D187=O187, C187=O187, D187=N187), "PARCIALMENTE", IF(OR(N187="Não há recomendação", O187="Não há recomendação", N187="SEM RECOMENDAÇÃO", O187="SEM RECOMENDAÇÃO"), "NÃO RECOMENDOU", "ERROU"))), "")</f>
        <v/>
      </c>
      <c r="Q187" s="23">
        <f>IFERROR(INDEX([1]resposta_plan_exec!$A$2:$A$121, MATCH(_xlfn.CONCAT("*",[1]analise_resposta!A187,"*"), [1]resposta_plan_exec!$C$2:$C$121, 0)), "")</f>
        <v/>
      </c>
      <c r="R187" s="23">
        <f>IF([1]analise_resposta!A187="", "",
    _xlfn.LET(_xlpm.resultado, IFERROR(INDEX([1]resposta_plan_exec!$B$2:$B$121,
                           MATCH(_xlfn.CONCAT("*", [1]analise_resposta!A187, "*"),
                                   [1]resposta_plan_exec!$C$2:$C$121, 0)), ""),
        IF(_xlpm.resultado="", "", _xlpm.resultado)))</f>
        <v/>
      </c>
      <c r="S187" s="23" t="n"/>
    </row>
    <row r="188">
      <c r="A188" t="n">
        <v>1647</v>
      </c>
      <c r="B188" s="3" t="inlineStr">
        <is>
          <t>Solicitação de Mudança de Permissões de Acesso</t>
        </is>
      </c>
      <c r="C188" s="3" t="inlineStr">
        <is>
          <t>Solicitação de Serviço</t>
        </is>
      </c>
      <c r="D188" s="3" t="inlineStr">
        <is>
          <t>Gerenciamento de Acesso</t>
        </is>
      </c>
      <c r="F188" s="5">
        <f>IFERROR(INDEX([1]resposta_chat_stream!$B$2:$B$34, MATCH(_xlfn.CONCAT("*#",[1]analise_resposta!A188,"*"), [1]resposta_chat_stream!$C$2:$C$34, 0)), "")</f>
        <v/>
      </c>
      <c r="G188" s="6">
        <f>IF(E188&lt;&gt;"", IF(AND(C188=E188, D188=F188), "ACERTOU", IF(OR(C188=E188, D188=F188, C188=F188, D188=E188), "PARCIALMENTE", IF(OR(E188="Não há recomendação", F188="Não há recomendação", E188="SEM RECOMENDAÇÃO", F188="SEM RECOMENDAÇÃO"), "NÃO RECOMENDOU", "ERROU"))), "")</f>
        <v/>
      </c>
      <c r="H188" s="20">
        <f>IFERROR(INDEX([1]reposta_chat!$A$2:$A$121, MATCH(_xlfn.CONCAT("*#",[1]analise_resposta!A188,"*"), [1]reposta_chat!$C$2:$C$121, 0)), "")</f>
        <v/>
      </c>
      <c r="I188" s="20">
        <f>IFERROR(INDEX([1]reposta_chat!$B$2:$B$121, MATCH(_xlfn.CONCAT("*#",[1]analise_resposta!A188,"*"), [1]reposta_chat!$C$2:$C$121, 0)), "")</f>
        <v/>
      </c>
      <c r="J188" s="20">
        <f>IF(H188&lt;&gt;"", IF(AND(C188=H188, D188=I188), "ACERTOU", IF(OR(C188=H188, D188=I188, C188=I188, D188=H188), "PARCIALMENTE", IF(OR(H188="Não há recomendação", I188="Não há recomendação", H188="SEM RECOMENDAÇÃO", I188="SEM RECOMENDAÇÃO"), "NÃO RECOMENDOU", "ERROU"))), "")</f>
        <v/>
      </c>
      <c r="K188" s="21" t="inlineStr">
        <is>
          <t>Gerenciamento de Requisição de Serviço</t>
        </is>
      </c>
      <c r="L188" s="21" t="inlineStr">
        <is>
          <t>Gerenciamento de Segurança da Informação</t>
        </is>
      </c>
      <c r="M188" s="21">
        <f>IF(K188&lt;&gt;"", IF(AND(C188=K188, D188=L188), "ACERTOU", IF(OR(C188=K188, D188=L188, C188=L188, D188=K188), "PARCIALMENTE", IF(OR(K188="Não há recomendação", L188="Não há recomendação", K188="SEM RECOMENDAÇÃO", L188="SEM RECOMENDAÇÃO"), "NÃO RECOMENDOU", "ERROU"))), "")</f>
        <v/>
      </c>
      <c r="N188" s="22">
        <f>IFERROR(INDEX([1]respota_rag_adaptativo!$A$2:$A$853, MATCH(_xlfn.CONCAT("*#",[1]analise_resposta!A188,"*"), [1]respota_rag_adaptativo!$C$2:$C$85, 0)), "")</f>
        <v/>
      </c>
      <c r="O188" s="22" t="n"/>
      <c r="P188" s="22">
        <f>IF(N188&lt;&gt;"", IF(AND(C188=N188, D188=O188), "ACERTOU", IF(OR(C188=N188, D188=O188, C188=O188, D188=N188), "PARCIALMENTE", IF(OR(N188="Não há recomendação", O188="Não há recomendação", N188="SEM RECOMENDAÇÃO", O188="SEM RECOMENDAÇÃO"), "NÃO RECOMENDOU", "ERROU"))), "")</f>
        <v/>
      </c>
      <c r="Q188" s="23">
        <f>IFERROR(INDEX([1]resposta_plan_exec!$A$2:$A$121, MATCH(_xlfn.CONCAT("*",[1]analise_resposta!A188,"*"), [1]resposta_plan_exec!$C$2:$C$121, 0)), "")</f>
        <v/>
      </c>
      <c r="R188" s="23">
        <f>IF([1]analise_resposta!A188="", "",
    _xlfn.LET(_xlpm.resultado, IFERROR(INDEX([1]resposta_plan_exec!$B$2:$B$121,
                           MATCH(_xlfn.CONCAT("*", [1]analise_resposta!A188, "*"),
                                   [1]resposta_plan_exec!$C$2:$C$121, 0)), ""),
        IF(_xlpm.resultado="", "", _xlpm.resultado)))</f>
        <v/>
      </c>
      <c r="S188" s="23" t="n"/>
    </row>
    <row r="189">
      <c r="A189" t="n">
        <v>1651</v>
      </c>
      <c r="B189" s="3" t="inlineStr">
        <is>
          <t>Problemas de Login com o Office 365</t>
        </is>
      </c>
      <c r="C189" s="3" t="inlineStr">
        <is>
          <t>Gerenciamento de Incidentes</t>
        </is>
      </c>
      <c r="D189" s="3" t="inlineStr">
        <is>
          <t>Gerenciamento de Acesso</t>
        </is>
      </c>
      <c r="F189" s="5">
        <f>IFERROR(INDEX([1]resposta_chat_stream!$B$2:$B$34, MATCH(_xlfn.CONCAT("*#",[1]analise_resposta!A189,"*"), [1]resposta_chat_stream!$C$2:$C$34, 0)), "")</f>
        <v/>
      </c>
      <c r="G189" s="6">
        <f>IF(E189&lt;&gt;"", IF(AND(C189=E189, D189=F189), "ACERTOU", IF(OR(C189=E189, D189=F189, C189=F189, D189=E189), "PARCIALMENTE", IF(OR(E189="Não há recomendação", F189="Não há recomendação", E189="SEM RECOMENDAÇÃO", F189="SEM RECOMENDAÇÃO"), "NÃO RECOMENDOU", "ERROU"))), "")</f>
        <v/>
      </c>
      <c r="H189" s="20">
        <f>IFERROR(INDEX([1]reposta_chat!$A$2:$A$121, MATCH(_xlfn.CONCAT("*#",[1]analise_resposta!A189,"*"), [1]reposta_chat!$C$2:$C$121, 0)), "")</f>
        <v/>
      </c>
      <c r="I189" s="20">
        <f>IFERROR(INDEX([1]reposta_chat!$B$2:$B$121, MATCH(_xlfn.CONCAT("*#",[1]analise_resposta!A189,"*"), [1]reposta_chat!$C$2:$C$121, 0)), "")</f>
        <v/>
      </c>
      <c r="J189" s="20">
        <f>IF(H189&lt;&gt;"", IF(AND(C189=H189, D189=I189), "ACERTOU", IF(OR(C189=H189, D189=I189, C189=I189, D189=H189), "PARCIALMENTE", IF(OR(H189="Não há recomendação", I189="Não há recomendação", H189="SEM RECOMENDAÇÃO", I189="SEM RECOMENDAÇÃO"), "NÃO RECOMENDOU", "ERROU"))), "")</f>
        <v/>
      </c>
      <c r="K189" s="21" t="inlineStr">
        <is>
          <t>Gerenciamento de Segurança da Informação</t>
        </is>
      </c>
      <c r="L189" s="21" t="inlineStr">
        <is>
          <t>Gerenciamento de Requisição de Serviço</t>
        </is>
      </c>
      <c r="M189" s="21">
        <f>IF(K189&lt;&gt;"", IF(AND(C189=K189, D189=L189), "ACERTOU", IF(OR(C189=K189, D189=L189, C189=L189, D189=K189), "PARCIALMENTE", IF(OR(K189="Não há recomendação", L189="Não há recomendação", K189="SEM RECOMENDAÇÃO", L189="SEM RECOMENDAÇÃO"), "NÃO RECOMENDOU", "ERROU"))), "")</f>
        <v/>
      </c>
      <c r="N189" s="22">
        <f>IFERROR(INDEX([1]respota_rag_adaptativo!$A$2:$A$853, MATCH(_xlfn.CONCAT("*#",[1]analise_resposta!A189,"*"), [1]respota_rag_adaptativo!$C$2:$C$85, 0)), "")</f>
        <v/>
      </c>
      <c r="O189" s="22" t="n"/>
      <c r="P189" s="22">
        <f>IF(N189&lt;&gt;"", IF(AND(C189=N189, D189=O189), "ACERTOU", IF(OR(C189=N189, D189=O189, C189=O189, D189=N189), "PARCIALMENTE", IF(OR(N189="Não há recomendação", O189="Não há recomendação", N189="SEM RECOMENDAÇÃO", O189="SEM RECOMENDAÇÃO"), "NÃO RECOMENDOU", "ERROU"))), "")</f>
        <v/>
      </c>
      <c r="Q189" s="23">
        <f>IFERROR(INDEX([1]resposta_plan_exec!$A$2:$A$121, MATCH(_xlfn.CONCAT("*",[1]analise_resposta!A189,"*"), [1]resposta_plan_exec!$C$2:$C$121, 0)), "")</f>
        <v/>
      </c>
      <c r="R189" s="23">
        <f>IF([1]analise_resposta!A189="", "",
    _xlfn.LET(_xlpm.resultado, IFERROR(INDEX([1]resposta_plan_exec!$B$2:$B$121,
                           MATCH(_xlfn.CONCAT("*", [1]analise_resposta!A189, "*"),
                                   [1]resposta_plan_exec!$C$2:$C$121, 0)), ""),
        IF(_xlpm.resultado="", "", _xlpm.resultado)))</f>
        <v/>
      </c>
      <c r="S189" s="23" t="n"/>
    </row>
    <row r="190">
      <c r="A190" t="n">
        <v>1658</v>
      </c>
      <c r="B190" s="3" t="inlineStr">
        <is>
          <t>Solicitação de troca do Dell XPS 13 com defeito</t>
        </is>
      </c>
      <c r="C190" s="3" t="inlineStr">
        <is>
          <t>Solicitação de Serviço</t>
        </is>
      </c>
      <c r="D190" s="3" t="inlineStr">
        <is>
          <t>Gerenciamento de Ativos de TI</t>
        </is>
      </c>
      <c r="F190" s="5">
        <f>IFERROR(INDEX([1]resposta_chat_stream!$B$2:$B$34, MATCH(_xlfn.CONCAT("*#",[1]analise_resposta!A190,"*"), [1]resposta_chat_stream!$C$2:$C$34, 0)), "")</f>
        <v/>
      </c>
      <c r="G190" s="6">
        <f>IF(E190&lt;&gt;"", IF(AND(C190=E190, D190=F190), "ACERTOU", IF(OR(C190=E190, D190=F190, C190=F190, D190=E190), "PARCIALMENTE", IF(OR(E190="Não há recomendação", F190="Não há recomendação", E190="SEM RECOMENDAÇÃO", F190="SEM RECOMENDAÇÃO"), "NÃO RECOMENDOU", "ERROU"))), "")</f>
        <v/>
      </c>
      <c r="H190" s="20">
        <f>IFERROR(INDEX([1]reposta_chat!$A$2:$A$121, MATCH(_xlfn.CONCAT("*#",[1]analise_resposta!A190,"*"), [1]reposta_chat!$C$2:$C$121, 0)), "")</f>
        <v/>
      </c>
      <c r="I190" s="20">
        <f>IFERROR(INDEX([1]reposta_chat!$B$2:$B$121, MATCH(_xlfn.CONCAT("*#",[1]analise_resposta!A190,"*"), [1]reposta_chat!$C$2:$C$121, 0)), "")</f>
        <v/>
      </c>
      <c r="J190" s="20">
        <f>IF(H190&lt;&gt;"", IF(AND(C190=H190, D190=I190), "ACERTOU", IF(OR(C190=H190, D190=I190, C190=I190, D190=H190), "PARCIALMENTE", IF(OR(H190="Não há recomendação", I190="Não há recomendação", H190="SEM RECOMENDAÇÃO", I190="SEM RECOMENDAÇÃO"), "NÃO RECOMENDOU", "ERROU"))), "")</f>
        <v/>
      </c>
      <c r="K190" s="21" t="inlineStr">
        <is>
          <t>Gerenciamento de Fornecedor</t>
        </is>
      </c>
      <c r="L190" s="21" t="inlineStr">
        <is>
          <t>Gerenciamento de Ativos de TI</t>
        </is>
      </c>
      <c r="M190" s="21">
        <f>IF(K190&lt;&gt;"", IF(AND(C190=K190, D190=L190), "ACERTOU", IF(OR(C190=K190, D190=L190, C190=L190, D190=K190), "PARCIALMENTE", IF(OR(K190="Não há recomendação", L190="Não há recomendação", K190="SEM RECOMENDAÇÃO", L190="SEM RECOMENDAÇÃO"), "NÃO RECOMENDOU", "ERROU"))), "")</f>
        <v/>
      </c>
      <c r="N190" s="22">
        <f>IFERROR(INDEX([1]respota_rag_adaptativo!$A$2:$A$853, MATCH(_xlfn.CONCAT("*#",[1]analise_resposta!A190,"*"), [1]respota_rag_adaptativo!$C$2:$C$85, 0)), "")</f>
        <v/>
      </c>
      <c r="O190" s="22" t="n"/>
      <c r="P190" s="22">
        <f>IF(N190&lt;&gt;"", IF(AND(C190=N190, D190=O190), "ACERTOU", IF(OR(C190=N190, D190=O190, C190=O190, D190=N190), "PARCIALMENTE", IF(OR(N190="Não há recomendação", O190="Não há recomendação", N190="SEM RECOMENDAÇÃO", O190="SEM RECOMENDAÇÃO"), "NÃO RECOMENDOU", "ERROU"))), "")</f>
        <v/>
      </c>
      <c r="Q190" s="23">
        <f>IFERROR(INDEX([1]resposta_plan_exec!$A$2:$A$121, MATCH(_xlfn.CONCAT("*",[1]analise_resposta!A190,"*"), [1]resposta_plan_exec!$C$2:$C$121, 0)), "")</f>
        <v/>
      </c>
      <c r="R190" s="23">
        <f>IF([1]analise_resposta!A190="", "",
    _xlfn.LET(_xlpm.resultado, IFERROR(INDEX([1]resposta_plan_exec!$B$2:$B$121,
                           MATCH(_xlfn.CONCAT("*", [1]analise_resposta!A190, "*"),
                                   [1]resposta_plan_exec!$C$2:$C$121, 0)), ""),
        IF(_xlpm.resultado="", "", _xlpm.resultado)))</f>
        <v/>
      </c>
      <c r="S190" s="23" t="n"/>
    </row>
    <row r="191">
      <c r="A191" t="n">
        <v>1660</v>
      </c>
      <c r="B191" s="3" t="inlineStr">
        <is>
          <t>Conexão Sem Fio Defeituosa da Canon PIXMA MG3620</t>
        </is>
      </c>
      <c r="C191" s="3" t="inlineStr">
        <is>
          <t>Solicitação de Serviço</t>
        </is>
      </c>
      <c r="D191" s="3" t="inlineStr">
        <is>
          <t>Gerenciamento de Ativos de TI</t>
        </is>
      </c>
      <c r="F191" s="5">
        <f>IFERROR(INDEX([1]resposta_chat_stream!$B$2:$B$34, MATCH(_xlfn.CONCAT("*#",[1]analise_resposta!A191,"*"), [1]resposta_chat_stream!$C$2:$C$34, 0)), "")</f>
        <v/>
      </c>
      <c r="G191" s="6">
        <f>IF(E191&lt;&gt;"", IF(AND(C191=E191, D191=F191), "ACERTOU", IF(OR(C191=E191, D191=F191, C191=F191, D191=E191), "PARCIALMENTE", IF(OR(E191="Não há recomendação", F191="Não há recomendação", E191="SEM RECOMENDAÇÃO", F191="SEM RECOMENDAÇÃO"), "NÃO RECOMENDOU", "ERROU"))), "")</f>
        <v/>
      </c>
      <c r="H191" s="20">
        <f>IFERROR(INDEX([1]reposta_chat!$A$2:$A$121, MATCH(_xlfn.CONCAT("*#",[1]analise_resposta!A191,"*"), [1]reposta_chat!$C$2:$C$121, 0)), "")</f>
        <v/>
      </c>
      <c r="I191" s="20">
        <f>IFERROR(INDEX([1]reposta_chat!$B$2:$B$121, MATCH(_xlfn.CONCAT("*#",[1]analise_resposta!A191,"*"), [1]reposta_chat!$C$2:$C$121, 0)), "")</f>
        <v/>
      </c>
      <c r="J191" s="20">
        <f>IF(H191&lt;&gt;"", IF(AND(C191=H191, D191=I191), "ACERTOU", IF(OR(C191=H191, D191=I191, C191=I191, D191=H191), "PARCIALMENTE", IF(OR(H191="Não há recomendação", I191="Não há recomendação", H191="SEM RECOMENDAÇÃO", I191="SEM RECOMENDAÇÃO"), "NÃO RECOMENDOU", "ERROU"))), "")</f>
        <v/>
      </c>
      <c r="K191" s="21" t="inlineStr">
        <is>
          <t>Gerenciamento de Problemas</t>
        </is>
      </c>
      <c r="L191" s="21" t="inlineStr">
        <is>
          <t>Gerenciamento de Fornecedor</t>
        </is>
      </c>
      <c r="M191" s="21">
        <f>IF(K191&lt;&gt;"", IF(AND(C191=K191, D191=L191), "ACERTOU", IF(OR(C191=K191, D191=L191, C191=L191, D191=K191), "PARCIALMENTE", IF(OR(K191="Não há recomendação", L191="Não há recomendação", K191="SEM RECOMENDAÇÃO", L191="SEM RECOMENDAÇÃO"), "NÃO RECOMENDOU", "ERROU"))), "")</f>
        <v/>
      </c>
      <c r="N191" s="22">
        <f>IFERROR(INDEX([1]respota_rag_adaptativo!$A$2:$A$853, MATCH(_xlfn.CONCAT("*#",[1]analise_resposta!A191,"*"), [1]respota_rag_adaptativo!$C$2:$C$85, 0)), "")</f>
        <v/>
      </c>
      <c r="O191" s="22" t="n"/>
      <c r="P191" s="22">
        <f>IF(N191&lt;&gt;"", IF(AND(C191=N191, D191=O191), "ACERTOU", IF(OR(C191=N191, D191=O191, C191=O191, D191=N191), "PARCIALMENTE", IF(OR(N191="Não há recomendação", O191="Não há recomendação", N191="SEM RECOMENDAÇÃO", O191="SEM RECOMENDAÇÃO"), "NÃO RECOMENDOU", "ERROU"))), "")</f>
        <v/>
      </c>
      <c r="Q191" s="23">
        <f>IFERROR(INDEX([1]resposta_plan_exec!$A$2:$A$121, MATCH(_xlfn.CONCAT("*",[1]analise_resposta!A191,"*"), [1]resposta_plan_exec!$C$2:$C$121, 0)), "")</f>
        <v/>
      </c>
      <c r="R191" s="23">
        <f>IF([1]analise_resposta!A191="", "",
    _xlfn.LET(_xlpm.resultado, IFERROR(INDEX([1]resposta_plan_exec!$B$2:$B$121,
                           MATCH(_xlfn.CONCAT("*", [1]analise_resposta!A191, "*"),
                                   [1]resposta_plan_exec!$C$2:$C$121, 0)), ""),
        IF(_xlpm.resultado="", "", _xlpm.resultado)))</f>
        <v/>
      </c>
      <c r="S191" s="23" t="n"/>
    </row>
    <row r="192">
      <c r="A192" t="n">
        <v>1661</v>
      </c>
      <c r="B192" s="3" t="inlineStr">
        <is>
          <t>Solicitação de Alterações nas Permissões de Acesso</t>
        </is>
      </c>
      <c r="C192" s="3" t="inlineStr">
        <is>
          <t>Solicitação de Serviço</t>
        </is>
      </c>
      <c r="D192" s="3" t="inlineStr">
        <is>
          <t>Gerenciamento de Acesso</t>
        </is>
      </c>
      <c r="F192" s="5">
        <f>IFERROR(INDEX([1]resposta_chat_stream!$B$2:$B$34, MATCH(_xlfn.CONCAT("*#",[1]analise_resposta!A192,"*"), [1]resposta_chat_stream!$C$2:$C$34, 0)), "")</f>
        <v/>
      </c>
      <c r="G192" s="6">
        <f>IF(E192&lt;&gt;"", IF(AND(C192=E192, D192=F192), "ACERTOU", IF(OR(C192=E192, D192=F192, C192=F192, D192=E192), "PARCIALMENTE", IF(OR(E192="Não há recomendação", F192="Não há recomendação", E192="SEM RECOMENDAÇÃO", F192="SEM RECOMENDAÇÃO"), "NÃO RECOMENDOU", "ERROU"))), "")</f>
        <v/>
      </c>
      <c r="H192" s="20">
        <f>IFERROR(INDEX([1]reposta_chat!$A$2:$A$121, MATCH(_xlfn.CONCAT("*#",[1]analise_resposta!A192,"*"), [1]reposta_chat!$C$2:$C$121, 0)), "")</f>
        <v/>
      </c>
      <c r="I192" s="20">
        <f>IFERROR(INDEX([1]reposta_chat!$B$2:$B$121, MATCH(_xlfn.CONCAT("*#",[1]analise_resposta!A192,"*"), [1]reposta_chat!$C$2:$C$121, 0)), "")</f>
        <v/>
      </c>
      <c r="J192" s="20">
        <f>IF(H192&lt;&gt;"", IF(AND(C192=H192, D192=I192), "ACERTOU", IF(OR(C192=H192, D192=I192, C192=I192, D192=H192), "PARCIALMENTE", IF(OR(H192="Não há recomendação", I192="Não há recomendação", H192="SEM RECOMENDAÇÃO", I192="SEM RECOMENDAÇÃO"), "NÃO RECOMENDOU", "ERROU"))), "")</f>
        <v/>
      </c>
      <c r="K192" s="21" t="inlineStr">
        <is>
          <t>Gerenciamento de Requisição de Serviço</t>
        </is>
      </c>
      <c r="L192" s="21" t="inlineStr">
        <is>
          <t>Gerenciamento de Configuração de Serviço</t>
        </is>
      </c>
      <c r="M192" s="21">
        <f>IF(K192&lt;&gt;"", IF(AND(C192=K192, D192=L192), "ACERTOU", IF(OR(C192=K192, D192=L192, C192=L192, D192=K192), "PARCIALMENTE", IF(OR(K192="Não há recomendação", L192="Não há recomendação", K192="SEM RECOMENDAÇÃO", L192="SEM RECOMENDAÇÃO"), "NÃO RECOMENDOU", "ERROU"))), "")</f>
        <v/>
      </c>
      <c r="N192" s="22">
        <f>IFERROR(INDEX([1]respota_rag_adaptativo!$A$2:$A$853, MATCH(_xlfn.CONCAT("*#",[1]analise_resposta!A192,"*"), [1]respota_rag_adaptativo!$C$2:$C$85, 0)), "")</f>
        <v/>
      </c>
      <c r="O192" s="22" t="n"/>
      <c r="P192" s="22">
        <f>IF(N192&lt;&gt;"", IF(AND(C192=N192, D192=O192), "ACERTOU", IF(OR(C192=N192, D192=O192, C192=O192, D192=N192), "PARCIALMENTE", IF(OR(N192="Não há recomendação", O192="Não há recomendação", N192="SEM RECOMENDAÇÃO", O192="SEM RECOMENDAÇÃO"), "NÃO RECOMENDOU", "ERROU"))), "")</f>
        <v/>
      </c>
      <c r="Q192" s="23">
        <f>IFERROR(INDEX([1]resposta_plan_exec!$A$2:$A$121, MATCH(_xlfn.CONCAT("*",[1]analise_resposta!A192,"*"), [1]resposta_plan_exec!$C$2:$C$121, 0)), "")</f>
        <v/>
      </c>
      <c r="R192" s="23">
        <f>IF([1]analise_resposta!A192="", "",
    _xlfn.LET(_xlpm.resultado, IFERROR(INDEX([1]resposta_plan_exec!$B$2:$B$121,
                           MATCH(_xlfn.CONCAT("*", [1]analise_resposta!A192, "*"),
                                   [1]resposta_plan_exec!$C$2:$C$121, 0)), ""),
        IF(_xlpm.resultado="", "", _xlpm.resultado)))</f>
        <v/>
      </c>
      <c r="S192" s="23" t="n"/>
    </row>
    <row r="193">
      <c r="A193" t="n">
        <v>1667</v>
      </c>
      <c r="B193" s="3" t="inlineStr">
        <is>
          <t>Problema na Impressora Epson</t>
        </is>
      </c>
      <c r="C193" s="3" t="inlineStr">
        <is>
          <t>Gerenciamento de Incidentes</t>
        </is>
      </c>
      <c r="D193" s="3" t="inlineStr">
        <is>
          <t>Gerenciamento de Problemas</t>
        </is>
      </c>
      <c r="F193" s="5">
        <f>IFERROR(INDEX([1]resposta_chat_stream!$B$2:$B$34, MATCH(_xlfn.CONCAT("*#",[1]analise_resposta!A193,"*"), [1]resposta_chat_stream!$C$2:$C$34, 0)), "")</f>
        <v/>
      </c>
      <c r="G193" s="6">
        <f>IF(E193&lt;&gt;"", IF(AND(C193=E193, D193=F193), "ACERTOU", IF(OR(C193=E193, D193=F193, C193=F193, D193=E193), "PARCIALMENTE", IF(OR(E193="Não há recomendação", F193="Não há recomendação", E193="SEM RECOMENDAÇÃO", F193="SEM RECOMENDAÇÃO"), "NÃO RECOMENDOU", "ERROU"))), "")</f>
        <v/>
      </c>
      <c r="H193" s="20">
        <f>IFERROR(INDEX([1]reposta_chat!$A$2:$A$121, MATCH(_xlfn.CONCAT("*#",[1]analise_resposta!A193,"*"), [1]reposta_chat!$C$2:$C$121, 0)), "")</f>
        <v/>
      </c>
      <c r="I193" s="20">
        <f>IFERROR(INDEX([1]reposta_chat!$B$2:$B$121, MATCH(_xlfn.CONCAT("*#",[1]analise_resposta!A193,"*"), [1]reposta_chat!$C$2:$C$121, 0)), "")</f>
        <v/>
      </c>
      <c r="J193" s="20">
        <f>IF(H193&lt;&gt;"", IF(AND(C193=H193, D193=I193), "ACERTOU", IF(OR(C193=H193, D193=I193, C193=I193, D193=H193), "PARCIALMENTE", IF(OR(H193="Não há recomendação", I193="Não há recomendação", H193="SEM RECOMENDAÇÃO", I193="SEM RECOMENDAÇÃO"), "NÃO RECOMENDOU", "ERROU"))), "")</f>
        <v/>
      </c>
      <c r="K193" s="21" t="inlineStr">
        <is>
          <t>Gerenciamento de Problemas</t>
        </is>
      </c>
      <c r="L193" s="21" t="inlineStr">
        <is>
          <t>Gerenciamento de Ativos de TI</t>
        </is>
      </c>
      <c r="M193" s="21">
        <f>IF(K193&lt;&gt;"", IF(AND(C193=K193, D193=L193), "ACERTOU", IF(OR(C193=K193, D193=L193, C193=L193, D193=K193), "PARCIALMENTE", IF(OR(K193="Não há recomendação", L193="Não há recomendação", K193="SEM RECOMENDAÇÃO", L193="SEM RECOMENDAÇÃO"), "NÃO RECOMENDOU", "ERROU"))), "")</f>
        <v/>
      </c>
      <c r="N193" s="22">
        <f>IFERROR(INDEX([1]respota_rag_adaptativo!$A$2:$A$853, MATCH(_xlfn.CONCAT("*#",[1]analise_resposta!A193,"*"), [1]respota_rag_adaptativo!$C$2:$C$85, 0)), "")</f>
        <v/>
      </c>
      <c r="O193" s="22" t="n"/>
      <c r="P193" s="22">
        <f>IF(N193&lt;&gt;"", IF(AND(C193=N193, D193=O193), "ACERTOU", IF(OR(C193=N193, D193=O193, C193=O193, D193=N193), "PARCIALMENTE", IF(OR(N193="Não há recomendação", O193="Não há recomendação", N193="SEM RECOMENDAÇÃO", O193="SEM RECOMENDAÇÃO"), "NÃO RECOMENDOU", "ERROU"))), "")</f>
        <v/>
      </c>
      <c r="Q193" s="23">
        <f>IFERROR(INDEX([1]resposta_plan_exec!$A$2:$A$121, MATCH(_xlfn.CONCAT("*",[1]analise_resposta!A193,"*"), [1]resposta_plan_exec!$C$2:$C$121, 0)), "")</f>
        <v/>
      </c>
      <c r="R193" s="23">
        <f>IF([1]analise_resposta!A193="", "",
    _xlfn.LET(_xlpm.resultado, IFERROR(INDEX([1]resposta_plan_exec!$B$2:$B$121,
                           MATCH(_xlfn.CONCAT("*", [1]analise_resposta!A193, "*"),
                                   [1]resposta_plan_exec!$C$2:$C$121, 0)), ""),
        IF(_xlpm.resultado="", "", _xlpm.resultado)))</f>
        <v/>
      </c>
      <c r="S193" s="23" t="n"/>
    </row>
    <row r="194">
      <c r="A194" t="n">
        <v>1674</v>
      </c>
      <c r="B194" s="3" t="inlineStr">
        <is>
          <t>Assistência Necessária: Configuração da Epson EcoTank ET-4760</t>
        </is>
      </c>
      <c r="C194" s="3" t="inlineStr">
        <is>
          <t>Solicitação de Serviço</t>
        </is>
      </c>
      <c r="D194" s="3" t="inlineStr">
        <is>
          <t>Gerenciamento de Incidentes</t>
        </is>
      </c>
      <c r="F194" s="5">
        <f>IFERROR(INDEX([1]resposta_chat_stream!$B$2:$B$34, MATCH(_xlfn.CONCAT("*#",[1]analise_resposta!A194,"*"), [1]resposta_chat_stream!$C$2:$C$34, 0)), "")</f>
        <v/>
      </c>
      <c r="G194" s="6">
        <f>IF(E194&lt;&gt;"", IF(AND(C194=E194, D194=F194), "ACERTOU", IF(OR(C194=E194, D194=F194, C194=F194, D194=E194), "PARCIALMENTE", IF(OR(E194="Não há recomendação", F194="Não há recomendação", E194="SEM RECOMENDAÇÃO", F194="SEM RECOMENDAÇÃO"), "NÃO RECOMENDOU", "ERROU"))), "")</f>
        <v/>
      </c>
      <c r="H194" s="20">
        <f>IFERROR(INDEX([1]reposta_chat!$A$2:$A$121, MATCH(_xlfn.CONCAT("*#",[1]analise_resposta!A194,"*"), [1]reposta_chat!$C$2:$C$121, 0)), "")</f>
        <v/>
      </c>
      <c r="I194" s="20">
        <f>IFERROR(INDEX([1]reposta_chat!$B$2:$B$121, MATCH(_xlfn.CONCAT("*#",[1]analise_resposta!A194,"*"), [1]reposta_chat!$C$2:$C$121, 0)), "")</f>
        <v/>
      </c>
      <c r="J194" s="20">
        <f>IF(H194&lt;&gt;"", IF(AND(C194=H194, D194=I194), "ACERTOU", IF(OR(C194=H194, D194=I194, C194=I194, D194=H194), "PARCIALMENTE", IF(OR(H194="Não há recomendação", I194="Não há recomendação", H194="SEM RECOMENDAÇÃO", I194="SEM RECOMENDAÇÃO"), "NÃO RECOMENDOU", "ERROU"))), "")</f>
        <v/>
      </c>
      <c r="K194" s="21" t="inlineStr">
        <is>
          <t>Gerenciamento de Conhecimento</t>
        </is>
      </c>
      <c r="L194" s="21" t="inlineStr">
        <is>
          <t>Gerenciamento de Requisição de Serviço</t>
        </is>
      </c>
      <c r="M194" s="21">
        <f>IF(K194&lt;&gt;"", IF(AND(C194=K194, D194=L194), "ACERTOU", IF(OR(C194=K194, D194=L194, C194=L194, D194=K194), "PARCIALMENTE", IF(OR(K194="Não há recomendação", L194="Não há recomendação", K194="SEM RECOMENDAÇÃO", L194="SEM RECOMENDAÇÃO"), "NÃO RECOMENDOU", "ERROU"))), "")</f>
        <v/>
      </c>
      <c r="N194" s="22">
        <f>IFERROR(INDEX([1]respota_rag_adaptativo!$A$2:$A$853, MATCH(_xlfn.CONCAT("*#",[1]analise_resposta!A194,"*"), [1]respota_rag_adaptativo!$C$2:$C$85, 0)), "")</f>
        <v/>
      </c>
      <c r="O194" s="22" t="n"/>
      <c r="P194" s="22">
        <f>IF(N194&lt;&gt;"", IF(AND(C194=N194, D194=O194), "ACERTOU", IF(OR(C194=N194, D194=O194, C194=O194, D194=N194), "PARCIALMENTE", IF(OR(N194="Não há recomendação", O194="Não há recomendação", N194="SEM RECOMENDAÇÃO", O194="SEM RECOMENDAÇÃO"), "NÃO RECOMENDOU", "ERROU"))), "")</f>
        <v/>
      </c>
      <c r="Q194" s="23">
        <f>IFERROR(INDEX([1]resposta_plan_exec!$A$2:$A$121, MATCH(_xlfn.CONCAT("*",[1]analise_resposta!A194,"*"), [1]resposta_plan_exec!$C$2:$C$121, 0)), "")</f>
        <v/>
      </c>
      <c r="R194" s="23">
        <f>IF([1]analise_resposta!A194="", "",
    _xlfn.LET(_xlpm.resultado, IFERROR(INDEX([1]resposta_plan_exec!$B$2:$B$121,
                           MATCH(_xlfn.CONCAT("*", [1]analise_resposta!A194, "*"),
                                   [1]resposta_plan_exec!$C$2:$C$121, 0)), ""),
        IF(_xlpm.resultado="", "", _xlpm.resultado)))</f>
        <v/>
      </c>
      <c r="S194" s="23" t="n"/>
    </row>
    <row r="195">
      <c r="A195" t="n">
        <v>1685</v>
      </c>
      <c r="B195" s="3" t="inlineStr">
        <is>
          <t>Mudança de Configuração Urgente</t>
        </is>
      </c>
      <c r="C195" s="3" t="inlineStr">
        <is>
          <t>Gerenciamento de Mudanças</t>
        </is>
      </c>
      <c r="D195" s="3" t="inlineStr">
        <is>
          <t>Gerenciamento de Incidentes</t>
        </is>
      </c>
      <c r="F195" s="5">
        <f>IFERROR(INDEX([1]resposta_chat_stream!$B$2:$B$34, MATCH(_xlfn.CONCAT("*#",[1]analise_resposta!A195,"*"), [1]resposta_chat_stream!$C$2:$C$34, 0)), "")</f>
        <v/>
      </c>
      <c r="G195" s="6">
        <f>IF(E195&lt;&gt;"", IF(AND(C195=E195, D195=F195), "ACERTOU", IF(OR(C195=E195, D195=F195, C195=F195, D195=E195), "PARCIALMENTE", IF(OR(E195="Não há recomendação", F195="Não há recomendação", E195="SEM RECOMENDAÇÃO", F195="SEM RECOMENDAÇÃO"), "NÃO RECOMENDOU", "ERROU"))), "")</f>
        <v/>
      </c>
      <c r="H195" s="20">
        <f>IFERROR(INDEX([1]reposta_chat!$A$2:$A$121, MATCH(_xlfn.CONCAT("*#",[1]analise_resposta!A195,"*"), [1]reposta_chat!$C$2:$C$121, 0)), "")</f>
        <v/>
      </c>
      <c r="I195" s="20">
        <f>IFERROR(INDEX([1]reposta_chat!$B$2:$B$121, MATCH(_xlfn.CONCAT("*#",[1]analise_resposta!A195,"*"), [1]reposta_chat!$C$2:$C$121, 0)), "")</f>
        <v/>
      </c>
      <c r="J195" s="20">
        <f>IF(H195&lt;&gt;"", IF(AND(C195=H195, D195=I195), "ACERTOU", IF(OR(C195=H195, D195=I195, C195=I195, D195=H195), "PARCIALMENTE", IF(OR(H195="Não há recomendação", I195="Não há recomendação", H195="SEM RECOMENDAÇÃO", I195="SEM RECOMENDAÇÃO"), "NÃO RECOMENDOU", "ERROU"))), "")</f>
        <v/>
      </c>
      <c r="K195" s="21" t="inlineStr">
        <is>
          <t>Habilitação de Mudança</t>
        </is>
      </c>
      <c r="L195" s="21" t="inlineStr">
        <is>
          <t>Gerenciamento de Configuração de Serviço</t>
        </is>
      </c>
      <c r="M195" s="21">
        <f>IF(K195&lt;&gt;"", IF(AND(C195=K195, D195=L195), "ACERTOU", IF(OR(C195=K195, D195=L195, C195=L195, D195=K195), "PARCIALMENTE", IF(OR(K195="Não há recomendação", L195="Não há recomendação", K195="SEM RECOMENDAÇÃO", L195="SEM RECOMENDAÇÃO"), "NÃO RECOMENDOU", "ERROU"))), "")</f>
        <v/>
      </c>
      <c r="N195" s="22">
        <f>IFERROR(INDEX([1]respota_rag_adaptativo!$A$2:$A$853, MATCH(_xlfn.CONCAT("*#",[1]analise_resposta!A195,"*"), [1]respota_rag_adaptativo!$C$2:$C$85, 0)), "")</f>
        <v/>
      </c>
      <c r="O195" s="22" t="n"/>
      <c r="P195" s="22">
        <f>IF(N195&lt;&gt;"", IF(AND(C195=N195, D195=O195), "ACERTOU", IF(OR(C195=N195, D195=O195, C195=O195, D195=N195), "PARCIALMENTE", IF(OR(N195="Não há recomendação", O195="Não há recomendação", N195="SEM RECOMENDAÇÃO", O195="SEM RECOMENDAÇÃO"), "NÃO RECOMENDOU", "ERROU"))), "")</f>
        <v/>
      </c>
      <c r="Q195" s="23">
        <f>IFERROR(INDEX([1]resposta_plan_exec!$A$2:$A$121, MATCH(_xlfn.CONCAT("*",[1]analise_resposta!A195,"*"), [1]resposta_plan_exec!$C$2:$C$121, 0)), "")</f>
        <v/>
      </c>
      <c r="R195" s="23">
        <f>IF([1]analise_resposta!A195="", "",
    _xlfn.LET(_xlpm.resultado, IFERROR(INDEX([1]resposta_plan_exec!$B$2:$B$121,
                           MATCH(_xlfn.CONCAT("*", [1]analise_resposta!A195, "*"),
                                   [1]resposta_plan_exec!$C$2:$C$121, 0)), ""),
        IF(_xlpm.resultado="", "", _xlpm.resultado)))</f>
        <v/>
      </c>
      <c r="S195" s="23" t="n"/>
    </row>
    <row r="196">
      <c r="A196" t="n">
        <v>1703</v>
      </c>
      <c r="B196" s="3" t="inlineStr">
        <is>
          <t>Assistência Necessária para Gerenciamento da AWS</t>
        </is>
      </c>
      <c r="C196" s="3" t="inlineStr">
        <is>
          <t>Solicitação de Serviço</t>
        </is>
      </c>
      <c r="D196" s="3" t="inlineStr">
        <is>
          <t>Gerenciamento Financeiro</t>
        </is>
      </c>
      <c r="F196" s="5">
        <f>IFERROR(INDEX([1]resposta_chat_stream!$B$2:$B$34, MATCH(_xlfn.CONCAT("*#",[1]analise_resposta!A196,"*"), [1]resposta_chat_stream!$C$2:$C$34, 0)), "")</f>
        <v/>
      </c>
      <c r="G196" s="6">
        <f>IF(E196&lt;&gt;"", IF(AND(C196=E196, D196=F196), "ACERTOU", IF(OR(C196=E196, D196=F196, C196=F196, D196=E196), "PARCIALMENTE", IF(OR(E196="Não há recomendação", F196="Não há recomendação", E196="SEM RECOMENDAÇÃO", F196="SEM RECOMENDAÇÃO"), "NÃO RECOMENDOU", "ERROU"))), "")</f>
        <v/>
      </c>
      <c r="H196" s="20">
        <f>IFERROR(INDEX([1]reposta_chat!$A$2:$A$121, MATCH(_xlfn.CONCAT("*#",[1]analise_resposta!A196,"*"), [1]reposta_chat!$C$2:$C$121, 0)), "")</f>
        <v/>
      </c>
      <c r="I196" s="20">
        <f>IFERROR(INDEX([1]reposta_chat!$B$2:$B$121, MATCH(_xlfn.CONCAT("*#",[1]analise_resposta!A196,"*"), [1]reposta_chat!$C$2:$C$121, 0)), "")</f>
        <v/>
      </c>
      <c r="J196" s="20">
        <f>IF(H196&lt;&gt;"", IF(AND(C196=H196, D196=I196), "ACERTOU", IF(OR(C196=H196, D196=I196, C196=I196, D196=H196), "PARCIALMENTE", IF(OR(H196="Não há recomendação", I196="Não há recomendação", H196="SEM RECOMENDAÇÃO", I196="SEM RECOMENDAÇÃO"), "NÃO RECOMENDOU", "ERROU"))), "")</f>
        <v/>
      </c>
      <c r="K196" s="21" t="inlineStr">
        <is>
          <t>Gerenciamento Financeiro de Serviços</t>
        </is>
      </c>
      <c r="L196" s="21" t="inlineStr">
        <is>
          <t>Gerenciamento de Capacidade e Desempenho</t>
        </is>
      </c>
      <c r="M196" s="21">
        <f>IF(K196&lt;&gt;"", IF(AND(C196=K196, D196=L196), "ACERTOU", IF(OR(C196=K196, D196=L196, C196=L196, D196=K196), "PARCIALMENTE", IF(OR(K196="Não há recomendação", L196="Não há recomendação", K196="SEM RECOMENDAÇÃO", L196="SEM RECOMENDAÇÃO"), "NÃO RECOMENDOU", "ERROU"))), "")</f>
        <v/>
      </c>
      <c r="N196" s="22">
        <f>IFERROR(INDEX([1]respota_rag_adaptativo!$A$2:$A$853, MATCH(_xlfn.CONCAT("*#",[1]analise_resposta!A196,"*"), [1]respota_rag_adaptativo!$C$2:$C$85, 0)), "")</f>
        <v/>
      </c>
      <c r="O196" s="22" t="n"/>
      <c r="P196" s="22">
        <f>IF(N196&lt;&gt;"", IF(AND(C196=N196, D196=O196), "ACERTOU", IF(OR(C196=N196, D196=O196, C196=O196, D196=N196), "PARCIALMENTE", IF(OR(N196="Não há recomendação", O196="Não há recomendação", N196="SEM RECOMENDAÇÃO", O196="SEM RECOMENDAÇÃO"), "NÃO RECOMENDOU", "ERROU"))), "")</f>
        <v/>
      </c>
      <c r="Q196" s="23">
        <f>IFERROR(INDEX([1]resposta_plan_exec!$A$2:$A$121, MATCH(_xlfn.CONCAT("*",[1]analise_resposta!A196,"*"), [1]resposta_plan_exec!$C$2:$C$121, 0)), "")</f>
        <v/>
      </c>
      <c r="R196" s="23">
        <f>IF([1]analise_resposta!A196="", "",
    _xlfn.LET(_xlpm.resultado, IFERROR(INDEX([1]resposta_plan_exec!$B$2:$B$121,
                           MATCH(_xlfn.CONCAT("*", [1]analise_resposta!A196, "*"),
                                   [1]resposta_plan_exec!$C$2:$C$121, 0)), ""),
        IF(_xlpm.resultado="", "", _xlpm.resultado)))</f>
        <v/>
      </c>
      <c r="S196" s="23" t="n"/>
    </row>
    <row r="197">
      <c r="A197" t="n">
        <v>1713</v>
      </c>
      <c r="B197" s="3" t="inlineStr">
        <is>
          <t>Solicitação de Mudança de Faturamento para o Google Workspace</t>
        </is>
      </c>
      <c r="C197" s="3" t="inlineStr">
        <is>
          <t>Solicitação de Serviço</t>
        </is>
      </c>
      <c r="D197" s="3" t="inlineStr">
        <is>
          <t>Gerenciamento Financeiro</t>
        </is>
      </c>
      <c r="F197" s="5">
        <f>IFERROR(INDEX([1]resposta_chat_stream!$B$2:$B$34, MATCH(_xlfn.CONCAT("*#",[1]analise_resposta!A197,"*"), [1]resposta_chat_stream!$C$2:$C$34, 0)), "")</f>
        <v/>
      </c>
      <c r="G197" s="6">
        <f>IF(E197&lt;&gt;"", IF(AND(C197=E197, D197=F197), "ACERTOU", IF(OR(C197=E197, D197=F197, C197=F197, D197=E197), "PARCIALMENTE", IF(OR(E197="Não há recomendação", F197="Não há recomendação", E197="SEM RECOMENDAÇÃO", F197="SEM RECOMENDAÇÃO"), "NÃO RECOMENDOU", "ERROU"))), "")</f>
        <v/>
      </c>
      <c r="H197" s="20">
        <f>IFERROR(INDEX([1]reposta_chat!$A$2:$A$121, MATCH(_xlfn.CONCAT("*#",[1]analise_resposta!A197,"*"), [1]reposta_chat!$C$2:$C$121, 0)), "")</f>
        <v/>
      </c>
      <c r="I197" s="20">
        <f>IFERROR(INDEX([1]reposta_chat!$B$2:$B$121, MATCH(_xlfn.CONCAT("*#",[1]analise_resposta!A197,"*"), [1]reposta_chat!$C$2:$C$121, 0)), "")</f>
        <v/>
      </c>
      <c r="J197" s="20">
        <f>IF(H197&lt;&gt;"", IF(AND(C197=H197, D197=I197), "ACERTOU", IF(OR(C197=H197, D197=I197, C197=I197, D197=H197), "PARCIALMENTE", IF(OR(H197="Não há recomendação", I197="Não há recomendação", H197="SEM RECOMENDAÇÃO", I197="SEM RECOMENDAÇÃO"), "NÃO RECOMENDOU", "ERROU"))), "")</f>
        <v/>
      </c>
      <c r="K197" s="21" t="inlineStr">
        <is>
          <t>Gerenciamento de Relacionamento</t>
        </is>
      </c>
      <c r="L197" s="21" t="inlineStr">
        <is>
          <t>Gerenciamento Financeiro de Serviços</t>
        </is>
      </c>
      <c r="M197" s="21">
        <f>IF(K197&lt;&gt;"", IF(AND(C197=K197, D197=L197), "ACERTOU", IF(OR(C197=K197, D197=L197, C197=L197, D197=K197), "PARCIALMENTE", IF(OR(K197="Não há recomendação", L197="Não há recomendação", K197="SEM RECOMENDAÇÃO", L197="SEM RECOMENDAÇÃO"), "NÃO RECOMENDOU", "ERROU"))), "")</f>
        <v/>
      </c>
      <c r="N197" s="22">
        <f>IFERROR(INDEX([1]respota_rag_adaptativo!$A$2:$A$853, MATCH(_xlfn.CONCAT("*#",[1]analise_resposta!A197,"*"), [1]respota_rag_adaptativo!$C$2:$C$85, 0)), "")</f>
        <v/>
      </c>
      <c r="O197" s="22" t="n"/>
      <c r="P197" s="22">
        <f>IF(N197&lt;&gt;"", IF(AND(C197=N197, D197=O197), "ACERTOU", IF(OR(C197=N197, D197=O197, C197=O197, D197=N197), "PARCIALMENTE", IF(OR(N197="Não há recomendação", O197="Não há recomendação", N197="SEM RECOMENDAÇÃO", O197="SEM RECOMENDAÇÃO"), "NÃO RECOMENDOU", "ERROU"))), "")</f>
        <v/>
      </c>
      <c r="Q197" s="23">
        <f>IFERROR(INDEX([1]resposta_plan_exec!$A$2:$A$121, MATCH(_xlfn.CONCAT("*",[1]analise_resposta!A197,"*"), [1]resposta_plan_exec!$C$2:$C$121, 0)), "")</f>
        <v/>
      </c>
      <c r="R197" s="23">
        <f>IF([1]analise_resposta!A197="", "",
    _xlfn.LET(_xlpm.resultado, IFERROR(INDEX([1]resposta_plan_exec!$B$2:$B$121,
                           MATCH(_xlfn.CONCAT("*", [1]analise_resposta!A197, "*"),
                                   [1]resposta_plan_exec!$C$2:$C$121, 0)), ""),
        IF(_xlpm.resultado="", "", _xlpm.resultado)))</f>
        <v/>
      </c>
      <c r="S197" s="23" t="n"/>
    </row>
    <row r="198">
      <c r="A198" t="n">
        <v>1718</v>
      </c>
      <c r="B198" s="3" t="inlineStr">
        <is>
          <t>Urgente: problema com Dell XPS 13 9310</t>
        </is>
      </c>
      <c r="C198" s="3" t="inlineStr">
        <is>
          <t>Gerenciamento de Incidentes</t>
        </is>
      </c>
      <c r="D198" s="3" t="inlineStr">
        <is>
          <t>Gerenciamento de Problemas</t>
        </is>
      </c>
      <c r="F198" s="5">
        <f>IFERROR(INDEX([1]resposta_chat_stream!$B$2:$B$34, MATCH(_xlfn.CONCAT("*#",[1]analise_resposta!A198,"*"), [1]resposta_chat_stream!$C$2:$C$34, 0)), "")</f>
        <v/>
      </c>
      <c r="G198" s="6">
        <f>IF(E198&lt;&gt;"", IF(AND(C198=E198, D198=F198), "ACERTOU", IF(OR(C198=E198, D198=F198, C198=F198, D198=E198), "PARCIALMENTE", IF(OR(E198="Não há recomendação", F198="Não há recomendação", E198="SEM RECOMENDAÇÃO", F198="SEM RECOMENDAÇÃO"), "NÃO RECOMENDOU", "ERROU"))), "")</f>
        <v/>
      </c>
      <c r="H198" s="20">
        <f>IFERROR(INDEX([1]reposta_chat!$A$2:$A$121, MATCH(_xlfn.CONCAT("*#",[1]analise_resposta!A198,"*"), [1]reposta_chat!$C$2:$C$121, 0)), "")</f>
        <v/>
      </c>
      <c r="I198" s="20">
        <f>IFERROR(INDEX([1]reposta_chat!$B$2:$B$121, MATCH(_xlfn.CONCAT("*#",[1]analise_resposta!A198,"*"), [1]reposta_chat!$C$2:$C$121, 0)), "")</f>
        <v/>
      </c>
      <c r="J198" s="20">
        <f>IF(H198&lt;&gt;"", IF(AND(C198=H198, D198=I198), "ACERTOU", IF(OR(C198=H198, D198=I198, C198=I198, D198=H198), "PARCIALMENTE", IF(OR(H198="Não há recomendação", I198="Não há recomendação", H198="SEM RECOMENDAÇÃO", I198="SEM RECOMENDAÇÃO"), "NÃO RECOMENDOU", "ERROU"))), "")</f>
        <v/>
      </c>
      <c r="K198" s="21" t="inlineStr">
        <is>
          <t>Gerenciamento de Problemas</t>
        </is>
      </c>
      <c r="L198" s="21" t="inlineStr">
        <is>
          <t>Gerenciamento de Configuração de Serviço</t>
        </is>
      </c>
      <c r="M198" s="21">
        <f>IF(K198&lt;&gt;"", IF(AND(C198=K198, D198=L198), "ACERTOU", IF(OR(C198=K198, D198=L198, C198=L198, D198=K198), "PARCIALMENTE", IF(OR(K198="Não há recomendação", L198="Não há recomendação", K198="SEM RECOMENDAÇÃO", L198="SEM RECOMENDAÇÃO"), "NÃO RECOMENDOU", "ERROU"))), "")</f>
        <v/>
      </c>
      <c r="N198" s="22">
        <f>IFERROR(INDEX([1]respota_rag_adaptativo!$A$2:$A$853, MATCH(_xlfn.CONCAT("*#",[1]analise_resposta!A198,"*"), [1]respota_rag_adaptativo!$C$2:$C$85, 0)), "")</f>
        <v/>
      </c>
      <c r="O198" s="22" t="n"/>
      <c r="P198" s="22">
        <f>IF(N198&lt;&gt;"", IF(AND(C198=N198, D198=O198), "ACERTOU", IF(OR(C198=N198, D198=O198, C198=O198, D198=N198), "PARCIALMENTE", IF(OR(N198="Não há recomendação", O198="Não há recomendação", N198="SEM RECOMENDAÇÃO", O198="SEM RECOMENDAÇÃO"), "NÃO RECOMENDOU", "ERROU"))), "")</f>
        <v/>
      </c>
      <c r="Q198" s="23">
        <f>IFERROR(INDEX([1]resposta_plan_exec!$A$2:$A$121, MATCH(_xlfn.CONCAT("*",[1]analise_resposta!A198,"*"), [1]resposta_plan_exec!$C$2:$C$121, 0)), "")</f>
        <v/>
      </c>
      <c r="R198" s="23">
        <f>IF([1]analise_resposta!A198="", "",
    _xlfn.LET(_xlpm.resultado, IFERROR(INDEX([1]resposta_plan_exec!$B$2:$B$121,
                           MATCH(_xlfn.CONCAT("*", [1]analise_resposta!A198, "*"),
                                   [1]resposta_plan_exec!$C$2:$C$121, 0)), ""),
        IF(_xlpm.resultado="", "", _xlpm.resultado)))</f>
        <v/>
      </c>
      <c r="S198" s="23" t="n"/>
    </row>
    <row r="199">
      <c r="A199" t="n">
        <v>1723</v>
      </c>
      <c r="B199" s="3" t="inlineStr">
        <is>
          <t>Consulta sobre a compra do Microsoft Surface Pro 7</t>
        </is>
      </c>
      <c r="C199" s="3" t="inlineStr">
        <is>
          <t>Solicitação de Serviço</t>
        </is>
      </c>
      <c r="D199" s="3" t="inlineStr">
        <is>
          <t>Gerenciamento de Ativos de TI</t>
        </is>
      </c>
      <c r="F199" s="5">
        <f>IFERROR(INDEX([1]resposta_chat_stream!$B$2:$B$34, MATCH(_xlfn.CONCAT("*#",[1]analise_resposta!A199,"*"), [1]resposta_chat_stream!$C$2:$C$34, 0)), "")</f>
        <v/>
      </c>
      <c r="G199" s="6">
        <f>IF(E199&lt;&gt;"", IF(AND(C199=E199, D199=F199), "ACERTOU", IF(OR(C199=E199, D199=F199, C199=F199, D199=E199), "PARCIALMENTE", IF(OR(E199="Não há recomendação", F199="Não há recomendação", E199="SEM RECOMENDAÇÃO", F199="SEM RECOMENDAÇÃO"), "NÃO RECOMENDOU", "ERROU"))), "")</f>
        <v/>
      </c>
      <c r="H199" s="20">
        <f>IFERROR(INDEX([1]reposta_chat!$A$2:$A$121, MATCH(_xlfn.CONCAT("*#",[1]analise_resposta!A199,"*"), [1]reposta_chat!$C$2:$C$121, 0)), "")</f>
        <v/>
      </c>
      <c r="I199" s="20">
        <f>IFERROR(INDEX([1]reposta_chat!$B$2:$B$121, MATCH(_xlfn.CONCAT("*#",[1]analise_resposta!A199,"*"), [1]reposta_chat!$C$2:$C$121, 0)), "")</f>
        <v/>
      </c>
      <c r="J199" s="20">
        <f>IF(H199&lt;&gt;"", IF(AND(C199=H199, D199=I199), "ACERTOU", IF(OR(C199=H199, D199=I199, C199=I199, D199=H199), "PARCIALMENTE", IF(OR(H199="Não há recomendação", I199="Não há recomendação", H199="SEM RECOMENDAÇÃO", I199="SEM RECOMENDAÇÃO"), "NÃO RECOMENDOU", "ERROU"))), "")</f>
        <v/>
      </c>
      <c r="K199" s="21" t="inlineStr">
        <is>
          <t>Gerenciamento de Catálogo de Serviço</t>
        </is>
      </c>
      <c r="L199" s="21" t="inlineStr">
        <is>
          <t>Gerenciamento de Relacionamento</t>
        </is>
      </c>
      <c r="M199" s="21">
        <f>IF(K199&lt;&gt;"", IF(AND(C199=K199, D199=L199), "ACERTOU", IF(OR(C199=K199, D199=L199, C199=L199, D199=K199), "PARCIALMENTE", IF(OR(K199="Não há recomendação", L199="Não há recomendação", K199="SEM RECOMENDAÇÃO", L199="SEM RECOMENDAÇÃO"), "NÃO RECOMENDOU", "ERROU"))), "")</f>
        <v/>
      </c>
      <c r="N199" s="22">
        <f>IFERROR(INDEX([1]respota_rag_adaptativo!$A$2:$A$853, MATCH(_xlfn.CONCAT("*#",[1]analise_resposta!A199,"*"), [1]respota_rag_adaptativo!$C$2:$C$85, 0)), "")</f>
        <v/>
      </c>
      <c r="O199" s="22" t="n"/>
      <c r="P199" s="22">
        <f>IF(N199&lt;&gt;"", IF(AND(C199=N199, D199=O199), "ACERTOU", IF(OR(C199=N199, D199=O199, C199=O199, D199=N199), "PARCIALMENTE", IF(OR(N199="Não há recomendação", O199="Não há recomendação", N199="SEM RECOMENDAÇÃO", O199="SEM RECOMENDAÇÃO"), "NÃO RECOMENDOU", "ERROU"))), "")</f>
        <v/>
      </c>
      <c r="Q199" s="23">
        <f>IFERROR(INDEX([1]resposta_plan_exec!$A$2:$A$121, MATCH(_xlfn.CONCAT("*",[1]analise_resposta!A199,"*"), [1]resposta_plan_exec!$C$2:$C$121, 0)), "")</f>
        <v/>
      </c>
      <c r="R199" s="23">
        <f>IF([1]analise_resposta!A199="", "",
    _xlfn.LET(_xlpm.resultado, IFERROR(INDEX([1]resposta_plan_exec!$B$2:$B$121,
                           MATCH(_xlfn.CONCAT("*", [1]analise_resposta!A199, "*"),
                                   [1]resposta_plan_exec!$C$2:$C$121, 0)), ""),
        IF(_xlpm.resultado="", "", _xlpm.resultado)))</f>
        <v/>
      </c>
      <c r="S199" s="23" t="n"/>
    </row>
    <row r="200">
      <c r="A200" t="n">
        <v>1741</v>
      </c>
      <c r="B200" s="3" t="inlineStr">
        <is>
          <t>Problemas com a Impressora Epson EcoTank ET-4760</t>
        </is>
      </c>
      <c r="C200" s="3" t="inlineStr">
        <is>
          <t>Gerenciamento de Incidentes</t>
        </is>
      </c>
      <c r="D200" s="3" t="inlineStr">
        <is>
          <t>Gerenciamento de Problemas</t>
        </is>
      </c>
      <c r="F200" s="5">
        <f>IFERROR(INDEX([1]resposta_chat_stream!$B$2:$B$34, MATCH(_xlfn.CONCAT("*#",[1]analise_resposta!A200,"*"), [1]resposta_chat_stream!$C$2:$C$34, 0)), "")</f>
        <v/>
      </c>
      <c r="G200" s="6">
        <f>IF(E200&lt;&gt;"", IF(AND(C200=E200, D200=F200), "ACERTOU", IF(OR(C200=E200, D200=F200, C200=F200, D200=E200), "PARCIALMENTE", IF(OR(E200="Não há recomendação", F200="Não há recomendação", E200="SEM RECOMENDAÇÃO", F200="SEM RECOMENDAÇÃO"), "NÃO RECOMENDOU", "ERROU"))), "")</f>
        <v/>
      </c>
      <c r="H200" s="20">
        <f>IFERROR(INDEX([1]reposta_chat!$A$2:$A$121, MATCH(_xlfn.CONCAT("*#",[1]analise_resposta!A200,"*"), [1]reposta_chat!$C$2:$C$121, 0)), "")</f>
        <v/>
      </c>
      <c r="I200" s="20">
        <f>IFERROR(INDEX([1]reposta_chat!$B$2:$B$121, MATCH(_xlfn.CONCAT("*#",[1]analise_resposta!A200,"*"), [1]reposta_chat!$C$2:$C$121, 0)), "")</f>
        <v/>
      </c>
      <c r="J200" s="20">
        <f>IF(H200&lt;&gt;"", IF(AND(C200=H200, D200=I200), "ACERTOU", IF(OR(C200=H200, D200=I200, C200=I200, D200=H200), "PARCIALMENTE", IF(OR(H200="Não há recomendação", I200="Não há recomendação", H200="SEM RECOMENDAÇÃO", I200="SEM RECOMENDAÇÃO"), "NÃO RECOMENDOU", "ERROU"))), "")</f>
        <v/>
      </c>
      <c r="K200" s="21" t="inlineStr">
        <is>
          <t>Gerenciamento de Problemas</t>
        </is>
      </c>
      <c r="L200" s="21" t="inlineStr">
        <is>
          <t>Gerenciamento de Ativos de TI</t>
        </is>
      </c>
      <c r="M200" s="21">
        <f>IF(K200&lt;&gt;"", IF(AND(C200=K200, D200=L200), "ACERTOU", IF(OR(C200=K200, D200=L200, C200=L200, D200=K200), "PARCIALMENTE", IF(OR(K200="Não há recomendação", L200="Não há recomendação", K200="SEM RECOMENDAÇÃO", L200="SEM RECOMENDAÇÃO"), "NÃO RECOMENDOU", "ERROU"))), "")</f>
        <v/>
      </c>
      <c r="N200" s="22">
        <f>IFERROR(INDEX([1]respota_rag_adaptativo!$A$2:$A$853, MATCH(_xlfn.CONCAT("*#",[1]analise_resposta!A200,"*"), [1]respota_rag_adaptativo!$C$2:$C$85, 0)), "")</f>
        <v/>
      </c>
      <c r="O200" s="22" t="n"/>
      <c r="P200" s="22">
        <f>IF(N200&lt;&gt;"", IF(AND(C200=N200, D200=O200), "ACERTOU", IF(OR(C200=N200, D200=O200, C200=O200, D200=N200), "PARCIALMENTE", IF(OR(N200="Não há recomendação", O200="Não há recomendação", N200="SEM RECOMENDAÇÃO", O200="SEM RECOMENDAÇÃO"), "NÃO RECOMENDOU", "ERROU"))), "")</f>
        <v/>
      </c>
      <c r="Q200" s="23">
        <f>IFERROR(INDEX([1]resposta_plan_exec!$A$2:$A$121, MATCH(_xlfn.CONCAT("*",[1]analise_resposta!A200,"*"), [1]resposta_plan_exec!$C$2:$C$121, 0)), "")</f>
        <v/>
      </c>
      <c r="R200" s="23">
        <f>IF([1]analise_resposta!A200="", "",
    _xlfn.LET(_xlpm.resultado, IFERROR(INDEX([1]resposta_plan_exec!$B$2:$B$121,
                           MATCH(_xlfn.CONCAT("*", [1]analise_resposta!A200, "*"),
                                   [1]resposta_plan_exec!$C$2:$C$121, 0)), ""),
        IF(_xlpm.resultado="", "", _xlpm.resultado)))</f>
        <v/>
      </c>
      <c r="S200" s="23" t="n"/>
    </row>
    <row r="201">
      <c r="A201" t="n">
        <v>1746</v>
      </c>
      <c r="B201" s="3" t="inlineStr">
        <is>
          <t>Solicitação para Atualizar Informações de Faturamento para Conformidade</t>
        </is>
      </c>
      <c r="C201" s="3" t="inlineStr">
        <is>
          <t>Solicitação de Serviço</t>
        </is>
      </c>
      <c r="D201" s="3" t="inlineStr">
        <is>
          <t>Gerenciamento Financeiro</t>
        </is>
      </c>
      <c r="F201" s="5">
        <f>IFERROR(INDEX([1]resposta_chat_stream!$B$2:$B$34, MATCH(_xlfn.CONCAT("*#",[1]analise_resposta!A201,"*"), [1]resposta_chat_stream!$C$2:$C$34, 0)), "")</f>
        <v/>
      </c>
      <c r="G201" s="6">
        <f>IF(E201&lt;&gt;"", IF(AND(C201=E201, D201=F201), "ACERTOU", IF(OR(C201=E201, D201=F201, C201=F201, D201=E201), "PARCIALMENTE", IF(OR(E201="Não há recomendação", F201="Não há recomendação", E201="SEM RECOMENDAÇÃO", F201="SEM RECOMENDAÇÃO"), "NÃO RECOMENDOU", "ERROU"))), "")</f>
        <v/>
      </c>
      <c r="H201" s="20">
        <f>IFERROR(INDEX([1]reposta_chat!$A$2:$A$121, MATCH(_xlfn.CONCAT("*#",[1]analise_resposta!A201,"*"), [1]reposta_chat!$C$2:$C$121, 0)), "")</f>
        <v/>
      </c>
      <c r="I201" s="20">
        <f>IFERROR(INDEX([1]reposta_chat!$B$2:$B$121, MATCH(_xlfn.CONCAT("*#",[1]analise_resposta!A201,"*"), [1]reposta_chat!$C$2:$C$121, 0)), "")</f>
        <v/>
      </c>
      <c r="J201" s="20">
        <f>IF(H201&lt;&gt;"", IF(AND(C201=H201, D201=I201), "ACERTOU", IF(OR(C201=H201, D201=I201, C201=I201, D201=H201), "PARCIALMENTE", IF(OR(H201="Não há recomendação", I201="Não há recomendação", H201="SEM RECOMENDAÇÃO", I201="SEM RECOMENDAÇÃO"), "NÃO RECOMENDOU", "ERROU"))), "")</f>
        <v/>
      </c>
      <c r="K201" s="21" t="inlineStr">
        <is>
          <t>Gerenciamento Financeiro de Serviços</t>
        </is>
      </c>
      <c r="L201" s="21" t="inlineStr">
        <is>
          <t>Gerenciamento de Segurança da Informação</t>
        </is>
      </c>
      <c r="M201" s="21">
        <f>IF(K201&lt;&gt;"", IF(AND(C201=K201, D201=L201), "ACERTOU", IF(OR(C201=K201, D201=L201, C201=L201, D201=K201), "PARCIALMENTE", IF(OR(K201="Não há recomendação", L201="Não há recomendação", K201="SEM RECOMENDAÇÃO", L201="SEM RECOMENDAÇÃO"), "NÃO RECOMENDOU", "ERROU"))), "")</f>
        <v/>
      </c>
      <c r="N201" s="22">
        <f>IFERROR(INDEX([1]respota_rag_adaptativo!$A$2:$A$853, MATCH(_xlfn.CONCAT("*#",[1]analise_resposta!A201,"*"), [1]respota_rag_adaptativo!$C$2:$C$85, 0)), "")</f>
        <v/>
      </c>
      <c r="O201" s="22" t="n"/>
      <c r="P201" s="22">
        <f>IF(N201&lt;&gt;"", IF(AND(C201=N201, D201=O201), "ACERTOU", IF(OR(C201=N201, D201=O201, C201=O201, D201=N201), "PARCIALMENTE", IF(OR(N201="Não há recomendação", O201="Não há recomendação", N201="SEM RECOMENDAÇÃO", O201="SEM RECOMENDAÇÃO"), "NÃO RECOMENDOU", "ERROU"))), "")</f>
        <v/>
      </c>
      <c r="Q201" s="23">
        <f>IFERROR(INDEX([1]resposta_plan_exec!$A$2:$A$121, MATCH(_xlfn.CONCAT("*",[1]analise_resposta!A201,"*"), [1]resposta_plan_exec!$C$2:$C$121, 0)), "")</f>
        <v/>
      </c>
      <c r="R201" s="23">
        <f>IF([1]analise_resposta!A201="", "",
    _xlfn.LET(_xlpm.resultado, IFERROR(INDEX([1]resposta_plan_exec!$B$2:$B$121,
                           MATCH(_xlfn.CONCAT("*", [1]analise_resposta!A201, "*"),
                                   [1]resposta_plan_exec!$C$2:$C$121, 0)), ""),
        IF(_xlpm.resultado="", "", _xlpm.resultado)))</f>
        <v/>
      </c>
      <c r="S201" s="23" t="n"/>
    </row>
    <row r="202">
      <c r="A202" t="n">
        <v>1777</v>
      </c>
      <c r="B202" s="3" t="inlineStr">
        <is>
          <t>Urgente: Interrupção do Serviço de Nuvem Requer Atenção Imediata</t>
        </is>
      </c>
      <c r="C202" s="3" t="inlineStr">
        <is>
          <t>Gerenciamento de Incidentes</t>
        </is>
      </c>
      <c r="D202" s="3" t="inlineStr">
        <is>
          <t>Gerenciamento de Disponibilidade</t>
        </is>
      </c>
      <c r="F202" s="5">
        <f>IFERROR(INDEX([1]resposta_chat_stream!$B$2:$B$34, MATCH(_xlfn.CONCAT("*#",[1]analise_resposta!A202,"*"), [1]resposta_chat_stream!$C$2:$C$34, 0)), "")</f>
        <v/>
      </c>
      <c r="G202" s="6">
        <f>IF(E202&lt;&gt;"", IF(AND(C202=E202, D202=F202), "ACERTOU", IF(OR(C202=E202, D202=F202, C202=F202, D202=E202), "PARCIALMENTE", IF(OR(E202="Não há recomendação", F202="Não há recomendação", E202="SEM RECOMENDAÇÃO", F202="SEM RECOMENDAÇÃO"), "NÃO RECOMENDOU", "ERROU"))), "")</f>
        <v/>
      </c>
      <c r="H202" s="20">
        <f>IFERROR(INDEX([1]reposta_chat!$A$2:$A$121, MATCH(_xlfn.CONCAT("*#",[1]analise_resposta!A202,"*"), [1]reposta_chat!$C$2:$C$121, 0)), "")</f>
        <v/>
      </c>
      <c r="I202" s="20">
        <f>IFERROR(INDEX([1]reposta_chat!$B$2:$B$121, MATCH(_xlfn.CONCAT("*#",[1]analise_resposta!A202,"*"), [1]reposta_chat!$C$2:$C$121, 0)), "")</f>
        <v/>
      </c>
      <c r="J202" s="20">
        <f>IF(H202&lt;&gt;"", IF(AND(C202=H202, D202=I202), "ACERTOU", IF(OR(C202=H202, D202=I202, C202=I202, D202=H202), "PARCIALMENTE", IF(OR(H202="Não há recomendação", I202="Não há recomendação", H202="SEM RECOMENDAÇÃO", I202="SEM RECOMENDAÇÃO"), "NÃO RECOMENDOU", "ERROU"))), "")</f>
        <v/>
      </c>
      <c r="K202" s="21" t="inlineStr">
        <is>
          <t>Gerenciamento de Disponibilidade</t>
        </is>
      </c>
      <c r="L202" s="21" t="inlineStr">
        <is>
          <t>Gerenciamento de Continuidade de Serviço de TI</t>
        </is>
      </c>
      <c r="M202" s="21">
        <f>IF(K202&lt;&gt;"", IF(AND(C202=K202, D202=L202), "ACERTOU", IF(OR(C202=K202, D202=L202, C202=L202, D202=K202), "PARCIALMENTE", IF(OR(K202="Não há recomendação", L202="Não há recomendação", K202="SEM RECOMENDAÇÃO", L202="SEM RECOMENDAÇÃO"), "NÃO RECOMENDOU", "ERROU"))), "")</f>
        <v/>
      </c>
      <c r="N202" s="22">
        <f>IFERROR(INDEX([1]respota_rag_adaptativo!$A$2:$A$853, MATCH(_xlfn.CONCAT("*#",[1]analise_resposta!A202,"*"), [1]respota_rag_adaptativo!$C$2:$C$85, 0)), "")</f>
        <v/>
      </c>
      <c r="O202" s="22" t="n"/>
      <c r="P202" s="22">
        <f>IF(N202&lt;&gt;"", IF(AND(C202=N202, D202=O202), "ACERTOU", IF(OR(C202=N202, D202=O202, C202=O202, D202=N202), "PARCIALMENTE", IF(OR(N202="Não há recomendação", O202="Não há recomendação", N202="SEM RECOMENDAÇÃO", O202="SEM RECOMENDAÇÃO"), "NÃO RECOMENDOU", "ERROU"))), "")</f>
        <v/>
      </c>
      <c r="Q202" s="23">
        <f>IFERROR(INDEX([1]resposta_plan_exec!$A$2:$A$121, MATCH(_xlfn.CONCAT("*",[1]analise_resposta!A202,"*"), [1]resposta_plan_exec!$C$2:$C$121, 0)), "")</f>
        <v/>
      </c>
      <c r="R202" s="23">
        <f>IF([1]analise_resposta!A202="", "",
    _xlfn.LET(_xlpm.resultado, IFERROR(INDEX([1]resposta_plan_exec!$B$2:$B$121,
                           MATCH(_xlfn.CONCAT("*", [1]analise_resposta!A202, "*"),
                                   [1]resposta_plan_exec!$C$2:$C$121, 0)), ""),
        IF(_xlpm.resultado="", "", _xlpm.resultado)))</f>
        <v/>
      </c>
      <c r="S202" s="23" t="n"/>
    </row>
    <row r="203">
      <c r="A203" t="n">
        <v>1778</v>
      </c>
      <c r="B203" s="3" t="inlineStr">
        <is>
          <t>Solicitação de Assistência Imediata com Compra Recente</t>
        </is>
      </c>
      <c r="C203" s="3" t="inlineStr">
        <is>
          <t>Solicitação de Serviço</t>
        </is>
      </c>
      <c r="D203" s="3" t="inlineStr">
        <is>
          <t>Gerenciamento de Ativos de TI</t>
        </is>
      </c>
      <c r="F203" s="5">
        <f>IFERROR(INDEX([1]resposta_chat_stream!$B$2:$B$34, MATCH(_xlfn.CONCAT("*#",[1]analise_resposta!A203,"*"), [1]resposta_chat_stream!$C$2:$C$34, 0)), "")</f>
        <v/>
      </c>
      <c r="G203" s="6">
        <f>IF(E203&lt;&gt;"", IF(AND(C203=E203, D203=F203), "ACERTOU", IF(OR(C203=E203, D203=F203, C203=F203, D203=E203), "PARCIALMENTE", IF(OR(E203="Não há recomendação", F203="Não há recomendação", E203="SEM RECOMENDAÇÃO", F203="SEM RECOMENDAÇÃO"), "NÃO RECOMENDOU", "ERROU"))), "")</f>
        <v/>
      </c>
      <c r="H203" s="20">
        <f>IFERROR(INDEX([1]reposta_chat!$A$2:$A$121, MATCH(_xlfn.CONCAT("*#",[1]analise_resposta!A203,"*"), [1]reposta_chat!$C$2:$C$121, 0)), "")</f>
        <v/>
      </c>
      <c r="I203" s="20">
        <f>IFERROR(INDEX([1]reposta_chat!$B$2:$B$121, MATCH(_xlfn.CONCAT("*#",[1]analise_resposta!A203,"*"), [1]reposta_chat!$C$2:$C$121, 0)), "")</f>
        <v/>
      </c>
      <c r="J203" s="20">
        <f>IF(H203&lt;&gt;"", IF(AND(C203=H203, D203=I203), "ACERTOU", IF(OR(C203=H203, D203=I203, C203=I203, D203=H203), "PARCIALMENTE", IF(OR(H203="Não há recomendação", I203="Não há recomendação", H203="SEM RECOMENDAÇÃO", I203="SEM RECOMENDAÇÃO"), "NÃO RECOMENDOU", "ERROU"))), "")</f>
        <v/>
      </c>
      <c r="K203" s="21" t="inlineStr">
        <is>
          <t>Gerenciamento de Fornecedor</t>
        </is>
      </c>
      <c r="L203" s="21" t="inlineStr">
        <is>
          <t>Gerenciamento de Ativos de TI</t>
        </is>
      </c>
      <c r="M203" s="21">
        <f>IF(K203&lt;&gt;"", IF(AND(C203=K203, D203=L203), "ACERTOU", IF(OR(C203=K203, D203=L203, C203=L203, D203=K203), "PARCIALMENTE", IF(OR(K203="Não há recomendação", L203="Não há recomendação", K203="SEM RECOMENDAÇÃO", L203="SEM RECOMENDAÇÃO"), "NÃO RECOMENDOU", "ERROU"))), "")</f>
        <v/>
      </c>
      <c r="N203" s="22">
        <f>IFERROR(INDEX([1]respota_rag_adaptativo!$A$2:$A$853, MATCH(_xlfn.CONCAT("*#",[1]analise_resposta!A203,"*"), [1]respota_rag_adaptativo!$C$2:$C$85, 0)), "")</f>
        <v/>
      </c>
      <c r="O203" s="22" t="n"/>
      <c r="P203" s="22">
        <f>IF(N203&lt;&gt;"", IF(AND(C203=N203, D203=O203), "ACERTOU", IF(OR(C203=N203, D203=O203, C203=O203, D203=N203), "PARCIALMENTE", IF(OR(N203="Não há recomendação", O203="Não há recomendação", N203="SEM RECOMENDAÇÃO", O203="SEM RECOMENDAÇÃO"), "NÃO RECOMENDOU", "ERROU"))), "")</f>
        <v/>
      </c>
      <c r="Q203" s="23">
        <f>IFERROR(INDEX([1]resposta_plan_exec!$A$2:$A$121, MATCH(_xlfn.CONCAT("*",[1]analise_resposta!A203,"*"), [1]resposta_plan_exec!$C$2:$C$121, 0)), "")</f>
        <v/>
      </c>
      <c r="R203" s="23">
        <f>IF([1]analise_resposta!A203="", "",
    _xlfn.LET(_xlpm.resultado, IFERROR(INDEX([1]resposta_plan_exec!$B$2:$B$121,
                           MATCH(_xlfn.CONCAT("*", [1]analise_resposta!A203, "*"),
                                   [1]resposta_plan_exec!$C$2:$C$121, 0)), ""),
        IF(_xlpm.resultado="", "", _xlpm.resultado)))</f>
        <v/>
      </c>
      <c r="S203" s="23" t="n"/>
    </row>
    <row r="204">
      <c r="A204" t="n">
        <v>1780</v>
      </c>
      <c r="B204" s="3" t="inlineStr">
        <is>
          <t>Problemas Frequentes com o Roteador Cisco ISR4331</t>
        </is>
      </c>
      <c r="C204" s="3" t="inlineStr">
        <is>
          <t>Gerenciamento de Incidentes</t>
        </is>
      </c>
      <c r="D204" s="3" t="inlineStr">
        <is>
          <t>Gerenciamento de Problemas</t>
        </is>
      </c>
      <c r="F204" s="5">
        <f>IFERROR(INDEX([1]resposta_chat_stream!$B$2:$B$34, MATCH(_xlfn.CONCAT("*#",[1]analise_resposta!A204,"*"), [1]resposta_chat_stream!$C$2:$C$34, 0)), "")</f>
        <v/>
      </c>
      <c r="G204" s="6">
        <f>IF(E204&lt;&gt;"", IF(AND(C204=E204, D204=F204), "ACERTOU", IF(OR(C204=E204, D204=F204, C204=F204, D204=E204), "PARCIALMENTE", IF(OR(E204="Não há recomendação", F204="Não há recomendação", E204="SEM RECOMENDAÇÃO", F204="SEM RECOMENDAÇÃO"), "NÃO RECOMENDOU", "ERROU"))), "")</f>
        <v/>
      </c>
      <c r="H204" s="20">
        <f>IFERROR(INDEX([1]reposta_chat!$A$2:$A$121, MATCH(_xlfn.CONCAT("*#",[1]analise_resposta!A204,"*"), [1]reposta_chat!$C$2:$C$121, 0)), "")</f>
        <v/>
      </c>
      <c r="I204" s="20">
        <f>IFERROR(INDEX([1]reposta_chat!$B$2:$B$121, MATCH(_xlfn.CONCAT("*#",[1]analise_resposta!A204,"*"), [1]reposta_chat!$C$2:$C$121, 0)), "")</f>
        <v/>
      </c>
      <c r="J204" s="20">
        <f>IF(H204&lt;&gt;"", IF(AND(C204=H204, D204=I204), "ACERTOU", IF(OR(C204=H204, D204=I204, C204=I204, D204=H204), "PARCIALMENTE", IF(OR(H204="Não há recomendação", I204="Não há recomendação", H204="SEM RECOMENDAÇÃO", I204="SEM RECOMENDAÇÃO"), "NÃO RECOMENDOU", "ERROU"))), "")</f>
        <v/>
      </c>
      <c r="K204" s="21" t="inlineStr">
        <is>
          <t>Gerenciamento de Monitoração e Gerenciamento de Eventos</t>
        </is>
      </c>
      <c r="L204" s="21" t="inlineStr">
        <is>
          <t>Gerenciamento de Problemas</t>
        </is>
      </c>
      <c r="M204" s="21">
        <f>IF(K204&lt;&gt;"", IF(AND(C204=K204, D204=L204), "ACERTOU", IF(OR(C204=K204, D204=L204, C204=L204, D204=K204), "PARCIALMENTE", IF(OR(K204="Não há recomendação", L204="Não há recomendação", K204="SEM RECOMENDAÇÃO", L204="SEM RECOMENDAÇÃO"), "NÃO RECOMENDOU", "ERROU"))), "")</f>
        <v/>
      </c>
      <c r="N204" s="22">
        <f>IFERROR(INDEX([1]respota_rag_adaptativo!$A$2:$A$853, MATCH(_xlfn.CONCAT("*#",[1]analise_resposta!A204,"*"), [1]respota_rag_adaptativo!$C$2:$C$85, 0)), "")</f>
        <v/>
      </c>
      <c r="O204" s="22" t="n"/>
      <c r="P204" s="22">
        <f>IF(N204&lt;&gt;"", IF(AND(C204=N204, D204=O204), "ACERTOU", IF(OR(C204=N204, D204=O204, C204=O204, D204=N204), "PARCIALMENTE", IF(OR(N204="Não há recomendação", O204="Não há recomendação", N204="SEM RECOMENDAÇÃO", O204="SEM RECOMENDAÇÃO"), "NÃO RECOMENDOU", "ERROU"))), "")</f>
        <v/>
      </c>
      <c r="Q204" s="23">
        <f>IFERROR(INDEX([1]resposta_plan_exec!$A$2:$A$121, MATCH(_xlfn.CONCAT("*",[1]analise_resposta!A204,"*"), [1]resposta_plan_exec!$C$2:$C$121, 0)), "")</f>
        <v/>
      </c>
      <c r="R204" s="23">
        <f>IF([1]analise_resposta!A204="", "",
    _xlfn.LET(_xlpm.resultado, IFERROR(INDEX([1]resposta_plan_exec!$B$2:$B$121,
                           MATCH(_xlfn.CONCAT("*", [1]analise_resposta!A204, "*"),
                                   [1]resposta_plan_exec!$C$2:$C$121, 0)), ""),
        IF(_xlpm.resultado="", "", _xlpm.resultado)))</f>
        <v/>
      </c>
      <c r="S204" s="23" t="n"/>
    </row>
    <row r="205">
      <c r="A205" t="n">
        <v>1786</v>
      </c>
      <c r="B205" s="3" t="inlineStr">
        <is>
          <t>Solicitação de Atualização de Serviço da AWS</t>
        </is>
      </c>
      <c r="C205" s="3" t="inlineStr">
        <is>
          <t>Solicitação de Serviço</t>
        </is>
      </c>
      <c r="D205" s="3" t="inlineStr">
        <is>
          <t>Gerenciamento Financeiro</t>
        </is>
      </c>
      <c r="F205" s="5">
        <f>IFERROR(INDEX([1]resposta_chat_stream!$B$2:$B$34, MATCH(_xlfn.CONCAT("*#",[1]analise_resposta!A205,"*"), [1]resposta_chat_stream!$C$2:$C$34, 0)), "")</f>
        <v/>
      </c>
      <c r="G205" s="6">
        <f>IF(E205&lt;&gt;"", IF(AND(C205=E205, D205=F205), "ACERTOU", IF(OR(C205=E205, D205=F205, C205=F205, D205=E205), "PARCIALMENTE", IF(OR(E205="Não há recomendação", F205="Não há recomendação", E205="SEM RECOMENDAÇÃO", F205="SEM RECOMENDAÇÃO"), "NÃO RECOMENDOU", "ERROU"))), "")</f>
        <v/>
      </c>
      <c r="H205" s="20">
        <f>IFERROR(INDEX([1]reposta_chat!$A$2:$A$121, MATCH(_xlfn.CONCAT("*#",[1]analise_resposta!A205,"*"), [1]reposta_chat!$C$2:$C$121, 0)), "")</f>
        <v/>
      </c>
      <c r="I205" s="20">
        <f>IFERROR(INDEX([1]reposta_chat!$B$2:$B$121, MATCH(_xlfn.CONCAT("*#",[1]analise_resposta!A205,"*"), [1]reposta_chat!$C$2:$C$121, 0)), "")</f>
        <v/>
      </c>
      <c r="J205" s="20">
        <f>IF(H205&lt;&gt;"", IF(AND(C205=H205, D205=I205), "ACERTOU", IF(OR(C205=H205, D205=I205, C205=I205, D205=H205), "PARCIALMENTE", IF(OR(H205="Não há recomendação", I205="Não há recomendação", H205="SEM RECOMENDAÇÃO", I205="SEM RECOMENDAÇÃO"), "NÃO RECOMENDOU", "ERROU"))), "")</f>
        <v/>
      </c>
      <c r="K205" s="21" t="inlineStr">
        <is>
          <t>Gerenciamento Financeiro de Serviços</t>
        </is>
      </c>
      <c r="L205" s="21" t="inlineStr">
        <is>
          <t>Gerenciamento de Nível de Serviço</t>
        </is>
      </c>
      <c r="M205" s="21">
        <f>IF(K205&lt;&gt;"", IF(AND(C205=K205, D205=L205), "ACERTOU", IF(OR(C205=K205, D205=L205, C205=L205, D205=K205), "PARCIALMENTE", IF(OR(K205="Não há recomendação", L205="Não há recomendação", K205="SEM RECOMENDAÇÃO", L205="SEM RECOMENDAÇÃO"), "NÃO RECOMENDOU", "ERROU"))), "")</f>
        <v/>
      </c>
      <c r="N205" s="22">
        <f>IFERROR(INDEX([1]respota_rag_adaptativo!$A$2:$A$853, MATCH(_xlfn.CONCAT("*#",[1]analise_resposta!A205,"*"), [1]respota_rag_adaptativo!$C$2:$C$85, 0)), "")</f>
        <v/>
      </c>
      <c r="O205" s="22" t="n"/>
      <c r="P205" s="22">
        <f>IF(N205&lt;&gt;"", IF(AND(C205=N205, D205=O205), "ACERTOU", IF(OR(C205=N205, D205=O205, C205=O205, D205=N205), "PARCIALMENTE", IF(OR(N205="Não há recomendação", O205="Não há recomendação", N205="SEM RECOMENDAÇÃO", O205="SEM RECOMENDAÇÃO"), "NÃO RECOMENDOU", "ERROU"))), "")</f>
        <v/>
      </c>
      <c r="Q205" s="23">
        <f>IFERROR(INDEX([1]resposta_plan_exec!$A$2:$A$121, MATCH(_xlfn.CONCAT("*",[1]analise_resposta!A205,"*"), [1]resposta_plan_exec!$C$2:$C$121, 0)), "")</f>
        <v/>
      </c>
      <c r="R205" s="23">
        <f>IF([1]analise_resposta!A205="", "",
    _xlfn.LET(_xlpm.resultado, IFERROR(INDEX([1]resposta_plan_exec!$B$2:$B$121,
                           MATCH(_xlfn.CONCAT("*", [1]analise_resposta!A205, "*"),
                                   [1]resposta_plan_exec!$C$2:$C$121, 0)), ""),
        IF(_xlpm.resultado="", "", _xlpm.resultado)))</f>
        <v/>
      </c>
      <c r="S205" s="23" t="n"/>
    </row>
    <row r="206">
      <c r="A206" t="n">
        <v>1798</v>
      </c>
      <c r="B206" s="3" t="inlineStr">
        <is>
          <t>Solicitação Urgente de Substituição</t>
        </is>
      </c>
      <c r="C206" s="3" t="inlineStr">
        <is>
          <t>Solicitação de Serviço</t>
        </is>
      </c>
      <c r="D206" s="3" t="inlineStr">
        <is>
          <t>Gerenciamento de Ativos de TI</t>
        </is>
      </c>
      <c r="F206" s="5">
        <f>IFERROR(INDEX([1]resposta_chat_stream!$B$2:$B$34, MATCH(_xlfn.CONCAT("*#",[1]analise_resposta!A206,"*"), [1]resposta_chat_stream!$C$2:$C$34, 0)), "")</f>
        <v/>
      </c>
      <c r="G206" s="6">
        <f>IF(E206&lt;&gt;"", IF(AND(C206=E206, D206=F206), "ACERTOU", IF(OR(C206=E206, D206=F206, C206=F206, D206=E206), "PARCIALMENTE", IF(OR(E206="Não há recomendação", F206="Não há recomendação", E206="SEM RECOMENDAÇÃO", F206="SEM RECOMENDAÇÃO"), "NÃO RECOMENDOU", "ERROU"))), "")</f>
        <v/>
      </c>
      <c r="H206" s="20">
        <f>IFERROR(INDEX([1]reposta_chat!$A$2:$A$121, MATCH(_xlfn.CONCAT("*#",[1]analise_resposta!A206,"*"), [1]reposta_chat!$C$2:$C$121, 0)), "")</f>
        <v/>
      </c>
      <c r="I206" s="20">
        <f>IFERROR(INDEX([1]reposta_chat!$B$2:$B$121, MATCH(_xlfn.CONCAT("*#",[1]analise_resposta!A206,"*"), [1]reposta_chat!$C$2:$C$121, 0)), "")</f>
        <v/>
      </c>
      <c r="J206" s="20">
        <f>IF(H206&lt;&gt;"", IF(AND(C206=H206, D206=I206), "ACERTOU", IF(OR(C206=H206, D206=I206, C206=I206, D206=H206), "PARCIALMENTE", IF(OR(H206="Não há recomendação", I206="Não há recomendação", H206="SEM RECOMENDAÇÃO", I206="SEM RECOMENDAÇÃO"), "NÃO RECOMENDOU", "ERROU"))), "")</f>
        <v/>
      </c>
      <c r="K206" s="21" t="inlineStr">
        <is>
          <t>Gerenciamento de Fornecedor</t>
        </is>
      </c>
      <c r="L206" s="21" t="inlineStr">
        <is>
          <t>Gerenciamento de Ativos de TI</t>
        </is>
      </c>
      <c r="M206" s="21">
        <f>IF(K206&lt;&gt;"", IF(AND(C206=K206, D206=L206), "ACERTOU", IF(OR(C206=K206, D206=L206, C206=L206, D206=K206), "PARCIALMENTE", IF(OR(K206="Não há recomendação", L206="Não há recomendação", K206="SEM RECOMENDAÇÃO", L206="SEM RECOMENDAÇÃO"), "NÃO RECOMENDOU", "ERROU"))), "")</f>
        <v/>
      </c>
      <c r="N206" s="22">
        <f>IFERROR(INDEX([1]respota_rag_adaptativo!$A$2:$A$853, MATCH(_xlfn.CONCAT("*#",[1]analise_resposta!A206,"*"), [1]respota_rag_adaptativo!$C$2:$C$85, 0)), "")</f>
        <v/>
      </c>
      <c r="O206" s="22" t="n"/>
      <c r="P206" s="22">
        <f>IF(N206&lt;&gt;"", IF(AND(C206=N206, D206=O206), "ACERTOU", IF(OR(C206=N206, D206=O206, C206=O206, D206=N206), "PARCIALMENTE", IF(OR(N206="Não há recomendação", O206="Não há recomendação", N206="SEM RECOMENDAÇÃO", O206="SEM RECOMENDAÇÃO"), "NÃO RECOMENDOU", "ERROU"))), "")</f>
        <v/>
      </c>
      <c r="Q206" s="23">
        <f>IFERROR(INDEX([1]resposta_plan_exec!$A$2:$A$121, MATCH(_xlfn.CONCAT("*",[1]analise_resposta!A206,"*"), [1]resposta_plan_exec!$C$2:$C$121, 0)), "")</f>
        <v/>
      </c>
      <c r="R206" s="23">
        <f>IF([1]analise_resposta!A206="", "",
    _xlfn.LET(_xlpm.resultado, IFERROR(INDEX([1]resposta_plan_exec!$B$2:$B$121,
                           MATCH(_xlfn.CONCAT("*", [1]analise_resposta!A206, "*"),
                                   [1]resposta_plan_exec!$C$2:$C$121, 0)), ""),
        IF(_xlpm.resultado="", "", _xlpm.resultado)))</f>
        <v/>
      </c>
      <c r="S206" s="23" t="n"/>
    </row>
    <row r="207">
      <c r="A207" t="n">
        <v>1817</v>
      </c>
      <c r="B207" s="3" t="inlineStr">
        <is>
          <t>Problema Urgente: Recurso de Auto-Scaling da AWS</t>
        </is>
      </c>
      <c r="C207" s="3" t="inlineStr">
        <is>
          <t>Gerenciamento de Incidentes</t>
        </is>
      </c>
      <c r="D207" s="3" t="inlineStr">
        <is>
          <t>Gerenciamento de Capacidade</t>
        </is>
      </c>
      <c r="F207" s="5">
        <f>IFERROR(INDEX([1]resposta_chat_stream!$B$2:$B$34, MATCH(_xlfn.CONCAT("*#",[1]analise_resposta!A207,"*"), [1]resposta_chat_stream!$C$2:$C$34, 0)), "")</f>
        <v/>
      </c>
      <c r="G207" s="6">
        <f>IF(E207&lt;&gt;"", IF(AND(C207=E207, D207=F207), "ACERTOU", IF(OR(C207=E207, D207=F207, C207=F207, D207=E207), "PARCIALMENTE", IF(OR(E207="Não há recomendação", F207="Não há recomendação", E207="SEM RECOMENDAÇÃO", F207="SEM RECOMENDAÇÃO"), "NÃO RECOMENDOU", "ERROU"))), "")</f>
        <v/>
      </c>
      <c r="H207" s="20">
        <f>IFERROR(INDEX([1]reposta_chat!$A$2:$A$121, MATCH(_xlfn.CONCAT("*#",[1]analise_resposta!A207,"*"), [1]reposta_chat!$C$2:$C$121, 0)), "")</f>
        <v/>
      </c>
      <c r="I207" s="20">
        <f>IFERROR(INDEX([1]reposta_chat!$B$2:$B$121, MATCH(_xlfn.CONCAT("*#",[1]analise_resposta!A207,"*"), [1]reposta_chat!$C$2:$C$121, 0)), "")</f>
        <v/>
      </c>
      <c r="J207" s="20">
        <f>IF(H207&lt;&gt;"", IF(AND(C207=H207, D207=I207), "ACERTOU", IF(OR(C207=H207, D207=I207, C207=I207, D207=H207), "PARCIALMENTE", IF(OR(H207="Não há recomendação", I207="Não há recomendação", H207="SEM RECOMENDAÇÃO", I207="SEM RECOMENDAÇÃO"), "NÃO RECOMENDOU", "ERROU"))), "")</f>
        <v/>
      </c>
      <c r="K207" s="21" t="inlineStr">
        <is>
          <t>Gerenciamento de Capacidade e Desempenho</t>
        </is>
      </c>
      <c r="L207" s="21" t="inlineStr">
        <is>
          <t>Gerenciamento de Disponibilidade</t>
        </is>
      </c>
      <c r="M207" s="21">
        <f>IF(K207&lt;&gt;"", IF(AND(C207=K207, D207=L207), "ACERTOU", IF(OR(C207=K207, D207=L207, C207=L207, D207=K207), "PARCIALMENTE", IF(OR(K207="Não há recomendação", L207="Não há recomendação", K207="SEM RECOMENDAÇÃO", L207="SEM RECOMENDAÇÃO"), "NÃO RECOMENDOU", "ERROU"))), "")</f>
        <v/>
      </c>
      <c r="N207" s="22">
        <f>IFERROR(INDEX([1]respota_rag_adaptativo!$A$2:$A$853, MATCH(_xlfn.CONCAT("*#",[1]analise_resposta!A207,"*"), [1]respota_rag_adaptativo!$C$2:$C$85, 0)), "")</f>
        <v/>
      </c>
      <c r="O207" s="22" t="n"/>
      <c r="P207" s="22">
        <f>IF(N207&lt;&gt;"", IF(AND(C207=N207, D207=O207), "ACERTOU", IF(OR(C207=N207, D207=O207, C207=O207, D207=N207), "PARCIALMENTE", IF(OR(N207="Não há recomendação", O207="Não há recomendação", N207="SEM RECOMENDAÇÃO", O207="SEM RECOMENDAÇÃO"), "NÃO RECOMENDOU", "ERROU"))), "")</f>
        <v/>
      </c>
      <c r="Q207" s="23">
        <f>IFERROR(INDEX([1]resposta_plan_exec!$A$2:$A$121, MATCH(_xlfn.CONCAT("*",[1]analise_resposta!A207,"*"), [1]resposta_plan_exec!$C$2:$C$121, 0)), "")</f>
        <v/>
      </c>
      <c r="R207" s="23">
        <f>IF([1]analise_resposta!A207="", "",
    _xlfn.LET(_xlpm.resultado, IFERROR(INDEX([1]resposta_plan_exec!$B$2:$B$121,
                           MATCH(_xlfn.CONCAT("*", [1]analise_resposta!A207, "*"),
                                   [1]resposta_plan_exec!$C$2:$C$121, 0)), ""),
        IF(_xlpm.resultado="", "", _xlpm.resultado)))</f>
        <v/>
      </c>
      <c r="S207" s="23" t="n"/>
    </row>
    <row r="208">
      <c r="A208" t="n">
        <v>1818</v>
      </c>
      <c r="B208" s="3" t="inlineStr">
        <is>
          <t>Problemas Intermitentes de Conectividade</t>
        </is>
      </c>
      <c r="C208" s="3" t="inlineStr">
        <is>
          <t>Gerenciamento de Incidentes</t>
        </is>
      </c>
      <c r="D208" s="3" t="inlineStr">
        <is>
          <t>Gerenciamento de Problemas</t>
        </is>
      </c>
      <c r="F208" s="5">
        <f>IFERROR(INDEX([1]resposta_chat_stream!$B$2:$B$34, MATCH(_xlfn.CONCAT("*#",[1]analise_resposta!A208,"*"), [1]resposta_chat_stream!$C$2:$C$34, 0)), "")</f>
        <v/>
      </c>
      <c r="G208" s="6">
        <f>IF(E208&lt;&gt;"", IF(AND(C208=E208, D208=F208), "ACERTOU", IF(OR(C208=E208, D208=F208, C208=F208, D208=E208), "PARCIALMENTE", IF(OR(E208="Não há recomendação", F208="Não há recomendação", E208="SEM RECOMENDAÇÃO", F208="SEM RECOMENDAÇÃO"), "NÃO RECOMENDOU", "ERROU"))), "")</f>
        <v/>
      </c>
      <c r="H208" s="20">
        <f>IFERROR(INDEX([1]reposta_chat!$A$2:$A$121, MATCH(_xlfn.CONCAT("*#",[1]analise_resposta!A208,"*"), [1]reposta_chat!$C$2:$C$121, 0)), "")</f>
        <v/>
      </c>
      <c r="I208" s="20">
        <f>IFERROR(INDEX([1]reposta_chat!$B$2:$B$121, MATCH(_xlfn.CONCAT("*#",[1]analise_resposta!A208,"*"), [1]reposta_chat!$C$2:$C$121, 0)), "")</f>
        <v/>
      </c>
      <c r="J208" s="20">
        <f>IF(H208&lt;&gt;"", IF(AND(C208=H208, D208=I208), "ACERTOU", IF(OR(C208=H208, D208=I208, C208=I208, D208=H208), "PARCIALMENTE", IF(OR(H208="Não há recomendação", I208="Não há recomendação", H208="SEM RECOMENDAÇÃO", I208="SEM RECOMENDAÇÃO"), "NÃO RECOMENDOU", "ERROU"))), "")</f>
        <v/>
      </c>
      <c r="K208" s="21" t="inlineStr">
        <is>
          <t>Gerenciamento de Monitoração e Gerenciamento de Eventos</t>
        </is>
      </c>
      <c r="L208" s="21" t="inlineStr">
        <is>
          <t>Gerenciamento de Problemas</t>
        </is>
      </c>
      <c r="M208" s="21">
        <f>IF(K208&lt;&gt;"", IF(AND(C208=K208, D208=L208), "ACERTOU", IF(OR(C208=K208, D208=L208, C208=L208, D208=K208), "PARCIALMENTE", IF(OR(K208="Não há recomendação", L208="Não há recomendação", K208="SEM RECOMENDAÇÃO", L208="SEM RECOMENDAÇÃO"), "NÃO RECOMENDOU", "ERROU"))), "")</f>
        <v/>
      </c>
      <c r="N208" s="22">
        <f>IFERROR(INDEX([1]respota_rag_adaptativo!$A$2:$A$853, MATCH(_xlfn.CONCAT("*#",[1]analise_resposta!A208,"*"), [1]respota_rag_adaptativo!$C$2:$C$85, 0)), "")</f>
        <v/>
      </c>
      <c r="O208" s="22" t="n"/>
      <c r="P208" s="22">
        <f>IF(N208&lt;&gt;"", IF(AND(C208=N208, D208=O208), "ACERTOU", IF(OR(C208=N208, D208=O208, C208=O208, D208=N208), "PARCIALMENTE", IF(OR(N208="Não há recomendação", O208="Não há recomendação", N208="SEM RECOMENDAÇÃO", O208="SEM RECOMENDAÇÃO"), "NÃO RECOMENDOU", "ERROU"))), "")</f>
        <v/>
      </c>
      <c r="Q208" s="23">
        <f>IFERROR(INDEX([1]resposta_plan_exec!$A$2:$A$121, MATCH(_xlfn.CONCAT("*",[1]analise_resposta!A208,"*"), [1]resposta_plan_exec!$C$2:$C$121, 0)), "")</f>
        <v/>
      </c>
      <c r="R208" s="23">
        <f>IF([1]analise_resposta!A208="", "",
    _xlfn.LET(_xlpm.resultado, IFERROR(INDEX([1]resposta_plan_exec!$B$2:$B$121,
                           MATCH(_xlfn.CONCAT("*", [1]analise_resposta!A208, "*"),
                                   [1]resposta_plan_exec!$C$2:$C$121, 0)), ""),
        IF(_xlpm.resultado="", "", _xlpm.resultado)))</f>
        <v/>
      </c>
      <c r="S208" s="23" t="n"/>
    </row>
    <row r="209">
      <c r="A209" t="n">
        <v>1829</v>
      </c>
      <c r="B209" s="3" t="inlineStr">
        <is>
          <t>Usuário enfrentando problema com mensagens do Slack</t>
        </is>
      </c>
      <c r="C209" s="3" t="inlineStr">
        <is>
          <t>Gerenciamento de Incidentes</t>
        </is>
      </c>
      <c r="D209" s="3" t="inlineStr">
        <is>
          <t>Gerenciamento de Problemas</t>
        </is>
      </c>
      <c r="F209" s="5">
        <f>IFERROR(INDEX([1]resposta_chat_stream!$B$2:$B$34, MATCH(_xlfn.CONCAT("*#",[1]analise_resposta!A209,"*"), [1]resposta_chat_stream!$C$2:$C$34, 0)), "")</f>
        <v/>
      </c>
      <c r="G209" s="6">
        <f>IF(E209&lt;&gt;"", IF(AND(C209=E209, D209=F209), "ACERTOU", IF(OR(C209=E209, D209=F209, C209=F209, D209=E209), "PARCIALMENTE", IF(OR(E209="Não há recomendação", F209="Não há recomendação", E209="SEM RECOMENDAÇÃO", F209="SEM RECOMENDAÇÃO"), "NÃO RECOMENDOU", "ERROU"))), "")</f>
        <v/>
      </c>
      <c r="H209" s="20">
        <f>IFERROR(INDEX([1]reposta_chat!$A$2:$A$121, MATCH(_xlfn.CONCAT("*#",[1]analise_resposta!A209,"*"), [1]reposta_chat!$C$2:$C$121, 0)), "")</f>
        <v/>
      </c>
      <c r="I209" s="20">
        <f>IFERROR(INDEX([1]reposta_chat!$B$2:$B$121, MATCH(_xlfn.CONCAT("*#",[1]analise_resposta!A209,"*"), [1]reposta_chat!$C$2:$C$121, 0)), "")</f>
        <v/>
      </c>
      <c r="J209" s="20">
        <f>IF(H209&lt;&gt;"", IF(AND(C209=H209, D209=I209), "ACERTOU", IF(OR(C209=H209, D209=I209, C209=I209, D209=H209), "PARCIALMENTE", IF(OR(H209="Não há recomendação", I209="Não há recomendação", H209="SEM RECOMENDAÇÃO", I209="SEM RECOMENDAÇÃO"), "NÃO RECOMENDOU", "ERROU"))), "")</f>
        <v/>
      </c>
      <c r="K209" s="21" t="inlineStr">
        <is>
          <t>Gerenciamento de Problemas</t>
        </is>
      </c>
      <c r="L209" s="21" t="inlineStr">
        <is>
          <t>Gerenciamento de Conhecimento</t>
        </is>
      </c>
      <c r="M209" s="21">
        <f>IF(K209&lt;&gt;"", IF(AND(C209=K209, D209=L209), "ACERTOU", IF(OR(C209=K209, D209=L209, C209=L209, D209=K209), "PARCIALMENTE", IF(OR(K209="Não há recomendação", L209="Não há recomendação", K209="SEM RECOMENDAÇÃO", L209="SEM RECOMENDAÇÃO"), "NÃO RECOMENDOU", "ERROU"))), "")</f>
        <v/>
      </c>
      <c r="N209" s="22">
        <f>IFERROR(INDEX([1]respota_rag_adaptativo!$A$2:$A$853, MATCH(_xlfn.CONCAT("*#",[1]analise_resposta!A209,"*"), [1]respota_rag_adaptativo!$C$2:$C$85, 0)), "")</f>
        <v/>
      </c>
      <c r="O209" s="22" t="n"/>
      <c r="P209" s="22">
        <f>IF(N209&lt;&gt;"", IF(AND(C209=N209, D209=O209), "ACERTOU", IF(OR(C209=N209, D209=O209, C209=O209, D209=N209), "PARCIALMENTE", IF(OR(N209="Não há recomendação", O209="Não há recomendação", N209="SEM RECOMENDAÇÃO", O209="SEM RECOMENDAÇÃO"), "NÃO RECOMENDOU", "ERROU"))), "")</f>
        <v/>
      </c>
      <c r="Q209" s="23">
        <f>IFERROR(INDEX([1]resposta_plan_exec!$A$2:$A$121, MATCH(_xlfn.CONCAT("*",[1]analise_resposta!A209,"*"), [1]resposta_plan_exec!$C$2:$C$121, 0)), "")</f>
        <v/>
      </c>
      <c r="R209" s="23">
        <f>IF([1]analise_resposta!A209="", "",
    _xlfn.LET(_xlpm.resultado, IFERROR(INDEX([1]resposta_plan_exec!$B$2:$B$121,
                           MATCH(_xlfn.CONCAT("*", [1]analise_resposta!A209, "*"),
                                   [1]resposta_plan_exec!$C$2:$C$121, 0)), ""),
        IF(_xlpm.resultado="", "", _xlpm.resultado)))</f>
        <v/>
      </c>
      <c r="S209" s="23" t="n"/>
    </row>
    <row r="210">
      <c r="A210" t="n">
        <v>1832</v>
      </c>
      <c r="B210" s="3" t="inlineStr">
        <is>
          <t>Problema de Tela Piscando</t>
        </is>
      </c>
      <c r="C210" s="3" t="inlineStr">
        <is>
          <t>Gerenciamento de Incidentes</t>
        </is>
      </c>
      <c r="D210" s="3" t="inlineStr">
        <is>
          <t>Gerenciamento de Problemas</t>
        </is>
      </c>
      <c r="F210" s="5">
        <f>IFERROR(INDEX([1]resposta_chat_stream!$B$2:$B$34, MATCH(_xlfn.CONCAT("*#",[1]analise_resposta!A210,"*"), [1]resposta_chat_stream!$C$2:$C$34, 0)), "")</f>
        <v/>
      </c>
      <c r="G210" s="6">
        <f>IF(E210&lt;&gt;"", IF(AND(C210=E210, D210=F210), "ACERTOU", IF(OR(C210=E210, D210=F210, C210=F210, D210=E210), "PARCIALMENTE", IF(OR(E210="Não há recomendação", F210="Não há recomendação", E210="SEM RECOMENDAÇÃO", F210="SEM RECOMENDAÇÃO"), "NÃO RECOMENDOU", "ERROU"))), "")</f>
        <v/>
      </c>
      <c r="H210" s="20">
        <f>IFERROR(INDEX([1]reposta_chat!$A$2:$A$121, MATCH(_xlfn.CONCAT("*#",[1]analise_resposta!A210,"*"), [1]reposta_chat!$C$2:$C$121, 0)), "")</f>
        <v/>
      </c>
      <c r="I210" s="20">
        <f>IFERROR(INDEX([1]reposta_chat!$B$2:$B$121, MATCH(_xlfn.CONCAT("*#",[1]analise_resposta!A210,"*"), [1]reposta_chat!$C$2:$C$121, 0)), "")</f>
        <v/>
      </c>
      <c r="J210" s="20">
        <f>IF(H210&lt;&gt;"", IF(AND(C210=H210, D210=I210), "ACERTOU", IF(OR(C210=H210, D210=I210, C210=I210, D210=H210), "PARCIALMENTE", IF(OR(H210="Não há recomendação", I210="Não há recomendação", H210="SEM RECOMENDAÇÃO", I210="SEM RECOMENDAÇÃO"), "NÃO RECOMENDOU", "ERROU"))), "")</f>
        <v/>
      </c>
      <c r="K210" s="21" t="inlineStr">
        <is>
          <t>Habilitação de Mudança</t>
        </is>
      </c>
      <c r="L210" s="21" t="inlineStr">
        <is>
          <t>Gerenciamento de Liberação</t>
        </is>
      </c>
      <c r="M210" s="21">
        <f>IF(K210&lt;&gt;"", IF(AND(C210=K210, D210=L210), "ACERTOU", IF(OR(C210=K210, D210=L210, C210=L210, D210=K210), "PARCIALMENTE", IF(OR(K210="Não há recomendação", L210="Não há recomendação", K210="SEM RECOMENDAÇÃO", L210="SEM RECOMENDAÇÃO"), "NÃO RECOMENDOU", "ERROU"))), "")</f>
        <v/>
      </c>
      <c r="N210" s="22">
        <f>IFERROR(INDEX([1]respota_rag_adaptativo!$A$2:$A$853, MATCH(_xlfn.CONCAT("*#",[1]analise_resposta!A210,"*"), [1]respota_rag_adaptativo!$C$2:$C$85, 0)), "")</f>
        <v/>
      </c>
      <c r="O210" s="22" t="n"/>
      <c r="P210" s="22">
        <f>IF(N210&lt;&gt;"", IF(AND(C210=N210, D210=O210), "ACERTOU", IF(OR(C210=N210, D210=O210, C210=O210, D210=N210), "PARCIALMENTE", IF(OR(N210="Não há recomendação", O210="Não há recomendação", N210="SEM RECOMENDAÇÃO", O210="SEM RECOMENDAÇÃO"), "NÃO RECOMENDOU", "ERROU"))), "")</f>
        <v/>
      </c>
      <c r="Q210" s="23">
        <f>IFERROR(INDEX([1]resposta_plan_exec!$A$2:$A$121, MATCH(_xlfn.CONCAT("*",[1]analise_resposta!A210,"*"), [1]resposta_plan_exec!$C$2:$C$121, 0)), "")</f>
        <v/>
      </c>
      <c r="R210" s="23">
        <f>IF([1]analise_resposta!A210="", "",
    _xlfn.LET(_xlpm.resultado, IFERROR(INDEX([1]resposta_plan_exec!$B$2:$B$121,
                           MATCH(_xlfn.CONCAT("*", [1]analise_resposta!A210, "*"),
                                   [1]resposta_plan_exec!$C$2:$C$121, 0)), ""),
        IF(_xlpm.resultado="", "", _xlpm.resultado)))</f>
        <v/>
      </c>
      <c r="S210" s="23" t="n"/>
    </row>
    <row r="211">
      <c r="A211" t="n">
        <v>1833</v>
      </c>
      <c r="B211" s="3" t="inlineStr">
        <is>
          <t>Pedido Urgente do Cliente: Atualização do Jira Software 8.20</t>
        </is>
      </c>
      <c r="C211" s="3" t="inlineStr">
        <is>
          <t>Solicitação de Serviço</t>
        </is>
      </c>
      <c r="D211" s="3" t="inlineStr">
        <is>
          <t>Gerenciamento de Mudanças</t>
        </is>
      </c>
      <c r="F211" s="5">
        <f>IFERROR(INDEX([1]resposta_chat_stream!$B$2:$B$34, MATCH(_xlfn.CONCAT("*#",[1]analise_resposta!A211,"*"), [1]resposta_chat_stream!$C$2:$C$34, 0)), "")</f>
        <v/>
      </c>
      <c r="G211" s="6">
        <f>IF(E211&lt;&gt;"", IF(AND(C211=E211, D211=F211), "ACERTOU", IF(OR(C211=E211, D211=F211, C211=F211, D211=E211), "PARCIALMENTE", IF(OR(E211="Não há recomendação", F211="Não há recomendação", E211="SEM RECOMENDAÇÃO", F211="SEM RECOMENDAÇÃO"), "NÃO RECOMENDOU", "ERROU"))), "")</f>
        <v/>
      </c>
      <c r="H211" s="20">
        <f>IFERROR(INDEX([1]reposta_chat!$A$2:$A$121, MATCH(_xlfn.CONCAT("*#",[1]analise_resposta!A211,"*"), [1]reposta_chat!$C$2:$C$121, 0)), "")</f>
        <v/>
      </c>
      <c r="I211" s="20">
        <f>IFERROR(INDEX([1]reposta_chat!$B$2:$B$121, MATCH(_xlfn.CONCAT("*#",[1]analise_resposta!A211,"*"), [1]reposta_chat!$C$2:$C$121, 0)), "")</f>
        <v/>
      </c>
      <c r="J211" s="20">
        <f>IF(H211&lt;&gt;"", IF(AND(C211=H211, D211=I211), "ACERTOU", IF(OR(C211=H211, D211=I211, C211=I211, D211=H211), "PARCIALMENTE", IF(OR(H211="Não há recomendação", I211="Não há recomendação", H211="SEM RECOMENDAÇÃO", I211="SEM RECOMENDAÇÃO"), "NÃO RECOMENDOU", "ERROU"))), "")</f>
        <v/>
      </c>
      <c r="K211" s="21" t="inlineStr">
        <is>
          <t>Gerenciamento de Requisição de Serviço</t>
        </is>
      </c>
      <c r="L211" s="21" t="inlineStr">
        <is>
          <t>Habilitação de Mudança</t>
        </is>
      </c>
      <c r="M211" s="21">
        <f>IF(K211&lt;&gt;"", IF(AND(C211=K211, D211=L211), "ACERTOU", IF(OR(C211=K211, D211=L211, C211=L211, D211=K211), "PARCIALMENTE", IF(OR(K211="Não há recomendação", L211="Não há recomendação", K211="SEM RECOMENDAÇÃO", L211="SEM RECOMENDAÇÃO"), "NÃO RECOMENDOU", "ERROU"))), "")</f>
        <v/>
      </c>
      <c r="N211" s="22">
        <f>IFERROR(INDEX([1]respota_rag_adaptativo!$A$2:$A$853, MATCH(_xlfn.CONCAT("*#",[1]analise_resposta!A211,"*"), [1]respota_rag_adaptativo!$C$2:$C$85, 0)), "")</f>
        <v/>
      </c>
      <c r="O211" s="22" t="n"/>
      <c r="P211" s="22">
        <f>IF(N211&lt;&gt;"", IF(AND(C211=N211, D211=O211), "ACERTOU", IF(OR(C211=N211, D211=O211, C211=O211, D211=N211), "PARCIALMENTE", IF(OR(N211="Não há recomendação", O211="Não há recomendação", N211="SEM RECOMENDAÇÃO", O211="SEM RECOMENDAÇÃO"), "NÃO RECOMENDOU", "ERROU"))), "")</f>
        <v/>
      </c>
      <c r="Q211" s="23">
        <f>IFERROR(INDEX([1]resposta_plan_exec!$A$2:$A$121, MATCH(_xlfn.CONCAT("*",[1]analise_resposta!A211,"*"), [1]resposta_plan_exec!$C$2:$C$121, 0)), "")</f>
        <v/>
      </c>
      <c r="R211" s="23">
        <f>IF([1]analise_resposta!A211="", "",
    _xlfn.LET(_xlpm.resultado, IFERROR(INDEX([1]resposta_plan_exec!$B$2:$B$121,
                           MATCH(_xlfn.CONCAT("*", [1]analise_resposta!A211, "*"),
                                   [1]resposta_plan_exec!$C$2:$C$121, 0)), ""),
        IF(_xlpm.resultado="", "", _xlpm.resultado)))</f>
        <v/>
      </c>
      <c r="S211" s="23" t="n"/>
    </row>
    <row r="212">
      <c r="A212" t="n">
        <v>1835</v>
      </c>
      <c r="B212" s="3" t="inlineStr">
        <is>
          <t>Erro de Cobrança na Compra Recente</t>
        </is>
      </c>
      <c r="C212" s="3" t="inlineStr">
        <is>
          <t>Gerenciamento Financeiro</t>
        </is>
      </c>
      <c r="D212" s="3" t="inlineStr">
        <is>
          <t>Gerenciamento de Incidentes</t>
        </is>
      </c>
      <c r="F212" s="5">
        <f>IFERROR(INDEX([1]resposta_chat_stream!$B$2:$B$34, MATCH(_xlfn.CONCAT("*#",[1]analise_resposta!A212,"*"), [1]resposta_chat_stream!$C$2:$C$34, 0)), "")</f>
        <v/>
      </c>
      <c r="G212" s="6">
        <f>IF(E212&lt;&gt;"", IF(AND(C212=E212, D212=F212), "ACERTOU", IF(OR(C212=E212, D212=F212, C212=F212, D212=E212), "PARCIALMENTE", IF(OR(E212="Não há recomendação", F212="Não há recomendação", E212="SEM RECOMENDAÇÃO", F212="SEM RECOMENDAÇÃO"), "NÃO RECOMENDOU", "ERROU"))), "")</f>
        <v/>
      </c>
      <c r="H212" s="20">
        <f>IFERROR(INDEX([1]reposta_chat!$A$2:$A$121, MATCH(_xlfn.CONCAT("*#",[1]analise_resposta!A212,"*"), [1]reposta_chat!$C$2:$C$121, 0)), "")</f>
        <v/>
      </c>
      <c r="I212" s="20">
        <f>IFERROR(INDEX([1]reposta_chat!$B$2:$B$121, MATCH(_xlfn.CONCAT("*#",[1]analise_resposta!A212,"*"), [1]reposta_chat!$C$2:$C$121, 0)), "")</f>
        <v/>
      </c>
      <c r="J212" s="20">
        <f>IF(H212&lt;&gt;"", IF(AND(C212=H212, D212=I212), "ACERTOU", IF(OR(C212=H212, D212=I212, C212=I212, D212=H212), "PARCIALMENTE", IF(OR(H212="Não há recomendação", I212="Não há recomendação", H212="SEM RECOMENDAÇÃO", I212="SEM RECOMENDAÇÃO"), "NÃO RECOMENDOU", "ERROU"))), "")</f>
        <v/>
      </c>
      <c r="K212" s="21" t="inlineStr">
        <is>
          <t>Gerenciamento Financeiro de Serviços</t>
        </is>
      </c>
      <c r="L212" s="21" t="inlineStr">
        <is>
          <t>Validação e Teste de Serviço</t>
        </is>
      </c>
      <c r="M212" s="21">
        <f>IF(K212&lt;&gt;"", IF(AND(C212=K212, D212=L212), "ACERTOU", IF(OR(C212=K212, D212=L212, C212=L212, D212=K212), "PARCIALMENTE", IF(OR(K212="Não há recomendação", L212="Não há recomendação", K212="SEM RECOMENDAÇÃO", L212="SEM RECOMENDAÇÃO"), "NÃO RECOMENDOU", "ERROU"))), "")</f>
        <v/>
      </c>
      <c r="N212" s="22">
        <f>IFERROR(INDEX([1]respota_rag_adaptativo!$A$2:$A$853, MATCH(_xlfn.CONCAT("*#",[1]analise_resposta!A212,"*"), [1]respota_rag_adaptativo!$C$2:$C$85, 0)), "")</f>
        <v/>
      </c>
      <c r="O212" s="22" t="n"/>
      <c r="P212" s="22">
        <f>IF(N212&lt;&gt;"", IF(AND(C212=N212, D212=O212), "ACERTOU", IF(OR(C212=N212, D212=O212, C212=O212, D212=N212), "PARCIALMENTE", IF(OR(N212="Não há recomendação", O212="Não há recomendação", N212="SEM RECOMENDAÇÃO", O212="SEM RECOMENDAÇÃO"), "NÃO RECOMENDOU", "ERROU"))), "")</f>
        <v/>
      </c>
      <c r="Q212" s="23">
        <f>IFERROR(INDEX([1]resposta_plan_exec!$A$2:$A$121, MATCH(_xlfn.CONCAT("*",[1]analise_resposta!A212,"*"), [1]resposta_plan_exec!$C$2:$C$121, 0)), "")</f>
        <v/>
      </c>
      <c r="R212" s="23">
        <f>IF([1]analise_resposta!A212="", "",
    _xlfn.LET(_xlpm.resultado, IFERROR(INDEX([1]resposta_plan_exec!$B$2:$B$121,
                           MATCH(_xlfn.CONCAT("*", [1]analise_resposta!A212, "*"),
                                   [1]resposta_plan_exec!$C$2:$C$121, 0)), ""),
        IF(_xlpm.resultado="", "", _xlpm.resultado)))</f>
        <v/>
      </c>
      <c r="S212" s="23" t="n"/>
    </row>
    <row r="213">
      <c r="A213" t="n">
        <v>1846</v>
      </c>
      <c r="B213" s="3" t="inlineStr">
        <is>
          <t>Solicitação de Consulta com Especialista</t>
        </is>
      </c>
      <c r="C213" s="3" t="inlineStr">
        <is>
          <t>Solicitação de Serviço</t>
        </is>
      </c>
      <c r="D213" s="3" t="inlineStr">
        <is>
          <t>Gerenciamento de Nível de Serviço</t>
        </is>
      </c>
      <c r="F213" s="5">
        <f>IFERROR(INDEX([1]resposta_chat_stream!$B$2:$B$34, MATCH(_xlfn.CONCAT("*#",[1]analise_resposta!A213,"*"), [1]resposta_chat_stream!$C$2:$C$34, 0)), "")</f>
        <v/>
      </c>
      <c r="G213" s="6">
        <f>IF(E213&lt;&gt;"", IF(AND(C213=E213, D213=F213), "ACERTOU", IF(OR(C213=E213, D213=F213, C213=F213, D213=E213), "PARCIALMENTE", IF(OR(E213="Não há recomendação", F213="Não há recomendação", E213="SEM RECOMENDAÇÃO", F213="SEM RECOMENDAÇÃO"), "NÃO RECOMENDOU", "ERROU"))), "")</f>
        <v/>
      </c>
      <c r="H213" s="20">
        <f>IFERROR(INDEX([1]reposta_chat!$A$2:$A$121, MATCH(_xlfn.CONCAT("*#",[1]analise_resposta!A213,"*"), [1]reposta_chat!$C$2:$C$121, 0)), "")</f>
        <v/>
      </c>
      <c r="I213" s="20">
        <f>IFERROR(INDEX([1]reposta_chat!$B$2:$B$121, MATCH(_xlfn.CONCAT("*#",[1]analise_resposta!A213,"*"), [1]reposta_chat!$C$2:$C$121, 0)), "")</f>
        <v/>
      </c>
      <c r="J213" s="20">
        <f>IF(H213&lt;&gt;"", IF(AND(C213=H213, D213=I213), "ACERTOU", IF(OR(C213=H213, D213=I213, C213=I213, D213=H213), "PARCIALMENTE", IF(OR(H213="Não há recomendação", I213="Não há recomendação", H213="SEM RECOMENDAÇÃO", I213="SEM RECOMENDAÇÃO"), "NÃO RECOMENDOU", "ERROU"))), "")</f>
        <v/>
      </c>
      <c r="K213" s="21" t="inlineStr">
        <is>
          <t>Gerenciamento de Requisição de Serviço</t>
        </is>
      </c>
      <c r="L213" s="21" t="inlineStr">
        <is>
          <t>Gerenciamento de Relacionamento</t>
        </is>
      </c>
      <c r="M213" s="21">
        <f>IF(K213&lt;&gt;"", IF(AND(C213=K213, D213=L213), "ACERTOU", IF(OR(C213=K213, D213=L213, C213=L213, D213=K213), "PARCIALMENTE", IF(OR(K213="Não há recomendação", L213="Não há recomendação", K213="SEM RECOMENDAÇÃO", L213="SEM RECOMENDAÇÃO"), "NÃO RECOMENDOU", "ERROU"))), "")</f>
        <v/>
      </c>
      <c r="N213" s="22">
        <f>IFERROR(INDEX([1]respota_rag_adaptativo!$A$2:$A$853, MATCH(_xlfn.CONCAT("*#",[1]analise_resposta!A213,"*"), [1]respota_rag_adaptativo!$C$2:$C$85, 0)), "")</f>
        <v/>
      </c>
      <c r="O213" s="22" t="n"/>
      <c r="P213" s="22">
        <f>IF(N213&lt;&gt;"", IF(AND(C213=N213, D213=O213), "ACERTOU", IF(OR(C213=N213, D213=O213, C213=O213, D213=N213), "PARCIALMENTE", IF(OR(N213="Não há recomendação", O213="Não há recomendação", N213="SEM RECOMENDAÇÃO", O213="SEM RECOMENDAÇÃO"), "NÃO RECOMENDOU", "ERROU"))), "")</f>
        <v/>
      </c>
      <c r="Q213" s="23">
        <f>IFERROR(INDEX([1]resposta_plan_exec!$A$2:$A$121, MATCH(_xlfn.CONCAT("*",[1]analise_resposta!A213,"*"), [1]resposta_plan_exec!$C$2:$C$121, 0)), "")</f>
        <v/>
      </c>
      <c r="R213" s="23">
        <f>IF([1]analise_resposta!A213="", "",
    _xlfn.LET(_xlpm.resultado, IFERROR(INDEX([1]resposta_plan_exec!$B$2:$B$121,
                           MATCH(_xlfn.CONCAT("*", [1]analise_resposta!A213, "*"),
                                   [1]resposta_plan_exec!$C$2:$C$121, 0)), ""),
        IF(_xlpm.resultado="", "", _xlpm.resultado)))</f>
        <v/>
      </c>
      <c r="S213" s="23" t="n"/>
    </row>
    <row r="214">
      <c r="A214" t="n">
        <v>1854</v>
      </c>
      <c r="B214" s="3" t="inlineStr">
        <is>
          <t>Solicitação de Assistência com Problema de Tela Touch do Dell XPS 13</t>
        </is>
      </c>
      <c r="C214" s="3" t="inlineStr">
        <is>
          <t>Gerenciamento de Incidentes</t>
        </is>
      </c>
      <c r="D214" s="3" t="inlineStr">
        <is>
          <t>Gerenciamento de Problemas</t>
        </is>
      </c>
      <c r="F214" s="5">
        <f>IFERROR(INDEX([1]resposta_chat_stream!$B$2:$B$34, MATCH(_xlfn.CONCAT("*#",[1]analise_resposta!A214,"*"), [1]resposta_chat_stream!$C$2:$C$34, 0)), "")</f>
        <v/>
      </c>
      <c r="G214" s="6">
        <f>IF(E214&lt;&gt;"", IF(AND(C214=E214, D214=F214), "ACERTOU", IF(OR(C214=E214, D214=F214, C214=F214, D214=E214), "PARCIALMENTE", IF(OR(E214="Não há recomendação", F214="Não há recomendação", E214="SEM RECOMENDAÇÃO", F214="SEM RECOMENDAÇÃO"), "NÃO RECOMENDOU", "ERROU"))), "")</f>
        <v/>
      </c>
      <c r="H214" s="20">
        <f>IFERROR(INDEX([1]reposta_chat!$A$2:$A$121, MATCH(_xlfn.CONCAT("*#",[1]analise_resposta!A214,"*"), [1]reposta_chat!$C$2:$C$121, 0)), "")</f>
        <v/>
      </c>
      <c r="I214" s="20">
        <f>IFERROR(INDEX([1]reposta_chat!$B$2:$B$121, MATCH(_xlfn.CONCAT("*#",[1]analise_resposta!A214,"*"), [1]reposta_chat!$C$2:$C$121, 0)), "")</f>
        <v/>
      </c>
      <c r="J214" s="20">
        <f>IF(H214&lt;&gt;"", IF(AND(C214=H214, D214=I214), "ACERTOU", IF(OR(C214=H214, D214=I214, C214=I214, D214=H214), "PARCIALMENTE", IF(OR(H214="Não há recomendação", I214="Não há recomendação", H214="SEM RECOMENDAÇÃO", I214="SEM RECOMENDAÇÃO"), "NÃO RECOMENDOU", "ERROU"))), "")</f>
        <v/>
      </c>
      <c r="K214" s="21" t="inlineStr">
        <is>
          <t>Gerenciamento de Problemas</t>
        </is>
      </c>
      <c r="L214" s="21" t="inlineStr">
        <is>
          <t>Gerenciamento de Liberação</t>
        </is>
      </c>
      <c r="M214" s="21">
        <f>IF(K214&lt;&gt;"", IF(AND(C214=K214, D214=L214), "ACERTOU", IF(OR(C214=K214, D214=L214, C214=L214, D214=K214), "PARCIALMENTE", IF(OR(K214="Não há recomendação", L214="Não há recomendação", K214="SEM RECOMENDAÇÃO", L214="SEM RECOMENDAÇÃO"), "NÃO RECOMENDOU", "ERROU"))), "")</f>
        <v/>
      </c>
      <c r="N214" s="22">
        <f>IFERROR(INDEX([1]respota_rag_adaptativo!$A$2:$A$853, MATCH(_xlfn.CONCAT("*#",[1]analise_resposta!A214,"*"), [1]respota_rag_adaptativo!$C$2:$C$85, 0)), "")</f>
        <v/>
      </c>
      <c r="O214" s="22" t="n"/>
      <c r="P214" s="22">
        <f>IF(N214&lt;&gt;"", IF(AND(C214=N214, D214=O214), "ACERTOU", IF(OR(C214=N214, D214=O214, C214=O214, D214=N214), "PARCIALMENTE", IF(OR(N214="Não há recomendação", O214="Não há recomendação", N214="SEM RECOMENDAÇÃO", O214="SEM RECOMENDAÇÃO"), "NÃO RECOMENDOU", "ERROU"))), "")</f>
        <v/>
      </c>
      <c r="Q214" s="23">
        <f>IFERROR(INDEX([1]resposta_plan_exec!$A$2:$A$121, MATCH(_xlfn.CONCAT("*",[1]analise_resposta!A214,"*"), [1]resposta_plan_exec!$C$2:$C$121, 0)), "")</f>
        <v/>
      </c>
      <c r="R214" s="23">
        <f>IF([1]analise_resposta!A214="", "",
    _xlfn.LET(_xlpm.resultado, IFERROR(INDEX([1]resposta_plan_exec!$B$2:$B$121,
                           MATCH(_xlfn.CONCAT("*", [1]analise_resposta!A214, "*"),
                                   [1]resposta_plan_exec!$C$2:$C$121, 0)), ""),
        IF(_xlpm.resultado="", "", _xlpm.resultado)))</f>
        <v/>
      </c>
      <c r="S214" s="23" t="n"/>
    </row>
    <row r="215">
      <c r="A215" t="n">
        <v>1858</v>
      </c>
      <c r="B215" s="3" t="inlineStr">
        <is>
          <t>Problema de Desconexões Frequentes na Rede</t>
        </is>
      </c>
      <c r="C215" s="3" t="inlineStr">
        <is>
          <t>Gerenciamento de Incidentes</t>
        </is>
      </c>
      <c r="D215" s="3" t="inlineStr">
        <is>
          <t>Gerenciamento de Problemas</t>
        </is>
      </c>
      <c r="F215" s="5">
        <f>IFERROR(INDEX([1]resposta_chat_stream!$B$2:$B$34, MATCH(_xlfn.CONCAT("*#",[1]analise_resposta!A215,"*"), [1]resposta_chat_stream!$C$2:$C$34, 0)), "")</f>
        <v/>
      </c>
      <c r="G215" s="6">
        <f>IF(E215&lt;&gt;"", IF(AND(C215=E215, D215=F215), "ACERTOU", IF(OR(C215=E215, D215=F215, C215=F215, D215=E215), "PARCIALMENTE", IF(OR(E215="Não há recomendação", F215="Não há recomendação", E215="SEM RECOMENDAÇÃO", F215="SEM RECOMENDAÇÃO"), "NÃO RECOMENDOU", "ERROU"))), "")</f>
        <v/>
      </c>
      <c r="H215" s="20">
        <f>IFERROR(INDEX([1]reposta_chat!$A$2:$A$121, MATCH(_xlfn.CONCAT("*#",[1]analise_resposta!A215,"*"), [1]reposta_chat!$C$2:$C$121, 0)), "")</f>
        <v/>
      </c>
      <c r="I215" s="20">
        <f>IFERROR(INDEX([1]reposta_chat!$B$2:$B$121, MATCH(_xlfn.CONCAT("*#",[1]analise_resposta!A215,"*"), [1]reposta_chat!$C$2:$C$121, 0)), "")</f>
        <v/>
      </c>
      <c r="J215" s="20">
        <f>IF(H215&lt;&gt;"", IF(AND(C215=H215, D215=I215), "ACERTOU", IF(OR(C215=H215, D215=I215, C215=I215, D215=H215), "PARCIALMENTE", IF(OR(H215="Não há recomendação", I215="Não há recomendação", H215="SEM RECOMENDAÇÃO", I215="SEM RECOMENDAÇÃO"), "NÃO RECOMENDOU", "ERROU"))), "")</f>
        <v/>
      </c>
      <c r="K215" s="21" t="inlineStr">
        <is>
          <t>Gerenciamento de Problemas</t>
        </is>
      </c>
      <c r="L215" s="21" t="inlineStr">
        <is>
          <t>Habilitação de Mudança</t>
        </is>
      </c>
      <c r="M215" s="21">
        <f>IF(K215&lt;&gt;"", IF(AND(C215=K215, D215=L215), "ACERTOU", IF(OR(C215=K215, D215=L215, C215=L215, D215=K215), "PARCIALMENTE", IF(OR(K215="Não há recomendação", L215="Não há recomendação", K215="SEM RECOMENDAÇÃO", L215="SEM RECOMENDAÇÃO"), "NÃO RECOMENDOU", "ERROU"))), "")</f>
        <v/>
      </c>
      <c r="N215" s="22">
        <f>IFERROR(INDEX([1]respota_rag_adaptativo!$A$2:$A$853, MATCH(_xlfn.CONCAT("*#",[1]analise_resposta!A215,"*"), [1]respota_rag_adaptativo!$C$2:$C$85, 0)), "")</f>
        <v/>
      </c>
      <c r="O215" s="22" t="n"/>
      <c r="P215" s="22">
        <f>IF(N215&lt;&gt;"", IF(AND(C215=N215, D215=O215), "ACERTOU", IF(OR(C215=N215, D215=O215, C215=O215, D215=N215), "PARCIALMENTE", IF(OR(N215="Não há recomendação", O215="Não há recomendação", N215="SEM RECOMENDAÇÃO", O215="SEM RECOMENDAÇÃO"), "NÃO RECOMENDOU", "ERROU"))), "")</f>
        <v/>
      </c>
      <c r="Q215" s="23">
        <f>IFERROR(INDEX([1]resposta_plan_exec!$A$2:$A$121, MATCH(_xlfn.CONCAT("*",[1]analise_resposta!A215,"*"), [1]resposta_plan_exec!$C$2:$C$121, 0)), "")</f>
        <v/>
      </c>
      <c r="R215" s="23">
        <f>IF([1]analise_resposta!A215="", "",
    _xlfn.LET(_xlpm.resultado, IFERROR(INDEX([1]resposta_plan_exec!$B$2:$B$121,
                           MATCH(_xlfn.CONCAT("*", [1]analise_resposta!A215, "*"),
                                   [1]resposta_plan_exec!$C$2:$C$121, 0)), ""),
        IF(_xlpm.resultado="", "", _xlpm.resultado)))</f>
        <v/>
      </c>
      <c r="S215" s="23" t="n"/>
    </row>
    <row r="216">
      <c r="A216" t="n">
        <v>1866</v>
      </c>
      <c r="B216" s="3" t="inlineStr">
        <is>
          <t>Atualização da Arquitetura do Servidor</t>
        </is>
      </c>
      <c r="C216" s="3" t="inlineStr">
        <is>
          <t>Solicitação de Serviço</t>
        </is>
      </c>
      <c r="D216" s="3" t="inlineStr">
        <is>
          <t>Gerenciamento de Mudanças</t>
        </is>
      </c>
      <c r="F216" s="5">
        <f>IFERROR(INDEX([1]resposta_chat_stream!$B$2:$B$34, MATCH(_xlfn.CONCAT("*#",[1]analise_resposta!A216,"*"), [1]resposta_chat_stream!$C$2:$C$34, 0)), "")</f>
        <v/>
      </c>
      <c r="G216" s="6">
        <f>IF(E216&lt;&gt;"", IF(AND(C216=E216, D216=F216), "ACERTOU", IF(OR(C216=E216, D216=F216, C216=F216, D216=E216), "PARCIALMENTE", IF(OR(E216="Não há recomendação", F216="Não há recomendação", E216="SEM RECOMENDAÇÃO", F216="SEM RECOMENDAÇÃO"), "NÃO RECOMENDOU", "ERROU"))), "")</f>
        <v/>
      </c>
      <c r="H216" s="20">
        <f>IFERROR(INDEX([1]reposta_chat!$A$2:$A$121, MATCH(_xlfn.CONCAT("*#",[1]analise_resposta!A216,"*"), [1]reposta_chat!$C$2:$C$121, 0)), "")</f>
        <v/>
      </c>
      <c r="I216" s="20">
        <f>IFERROR(INDEX([1]reposta_chat!$B$2:$B$121, MATCH(_xlfn.CONCAT("*#",[1]analise_resposta!A216,"*"), [1]reposta_chat!$C$2:$C$121, 0)), "")</f>
        <v/>
      </c>
      <c r="J216" s="20">
        <f>IF(H216&lt;&gt;"", IF(AND(C216=H216, D216=I216), "ACERTOU", IF(OR(C216=H216, D216=I216, C216=I216, D216=H216), "PARCIALMENTE", IF(OR(H216="Não há recomendação", I216="Não há recomendação", H216="SEM RECOMENDAÇÃO", I216="SEM RECOMENDAÇÃO"), "NÃO RECOMENDOU", "ERROU"))), "")</f>
        <v/>
      </c>
      <c r="K216" s="21" t="inlineStr">
        <is>
          <t>Gerenciamento de Projetos</t>
        </is>
      </c>
      <c r="L216" s="21" t="inlineStr">
        <is>
          <t>Desenho de Serviço</t>
        </is>
      </c>
      <c r="M216" s="21">
        <f>IF(K216&lt;&gt;"", IF(AND(C216=K216, D216=L216), "ACERTOU", IF(OR(C216=K216, D216=L216, C216=L216, D216=K216), "PARCIALMENTE", IF(OR(K216="Não há recomendação", L216="Não há recomendação", K216="SEM RECOMENDAÇÃO", L216="SEM RECOMENDAÇÃO"), "NÃO RECOMENDOU", "ERROU"))), "")</f>
        <v/>
      </c>
      <c r="N216" s="22">
        <f>IFERROR(INDEX([1]respota_rag_adaptativo!$A$2:$A$853, MATCH(_xlfn.CONCAT("*#",[1]analise_resposta!A216,"*"), [1]respota_rag_adaptativo!$C$2:$C$85, 0)), "")</f>
        <v/>
      </c>
      <c r="O216" s="22" t="n"/>
      <c r="P216" s="22">
        <f>IF(N216&lt;&gt;"", IF(AND(C216=N216, D216=O216), "ACERTOU", IF(OR(C216=N216, D216=O216, C216=O216, D216=N216), "PARCIALMENTE", IF(OR(N216="Não há recomendação", O216="Não há recomendação", N216="SEM RECOMENDAÇÃO", O216="SEM RECOMENDAÇÃO"), "NÃO RECOMENDOU", "ERROU"))), "")</f>
        <v/>
      </c>
      <c r="Q216" s="23">
        <f>IFERROR(INDEX([1]resposta_plan_exec!$A$2:$A$121, MATCH(_xlfn.CONCAT("*",[1]analise_resposta!A216,"*"), [1]resposta_plan_exec!$C$2:$C$121, 0)), "")</f>
        <v/>
      </c>
      <c r="R216" s="23">
        <f>IF([1]analise_resposta!A216="", "",
    _xlfn.LET(_xlpm.resultado, IFERROR(INDEX([1]resposta_plan_exec!$B$2:$B$121,
                           MATCH(_xlfn.CONCAT("*", [1]analise_resposta!A216, "*"),
                                   [1]resposta_plan_exec!$C$2:$C$121, 0)), ""),
        IF(_xlpm.resultado="", "", _xlpm.resultado)))</f>
        <v/>
      </c>
      <c r="S216" s="23" t="n"/>
    </row>
    <row r="217">
      <c r="A217" t="n">
        <v>1878</v>
      </c>
      <c r="B217" s="3" t="inlineStr">
        <is>
          <t>Consulta Sobre Soluções em Nuvem e Serviços de Desenvolvimento de Software</t>
        </is>
      </c>
      <c r="C217" s="3" t="inlineStr">
        <is>
          <t>Solicitação de Serviço</t>
        </is>
      </c>
      <c r="D217" s="3" t="inlineStr">
        <is>
          <t>Gerenciamento de Nível de Serviço</t>
        </is>
      </c>
      <c r="F217" s="5">
        <f>IFERROR(INDEX([1]resposta_chat_stream!$B$2:$B$34, MATCH(_xlfn.CONCAT("*#",[1]analise_resposta!A217,"*"), [1]resposta_chat_stream!$C$2:$C$34, 0)), "")</f>
        <v/>
      </c>
      <c r="G217" s="6">
        <f>IF(E217&lt;&gt;"", IF(AND(C217=E217, D217=F217), "ACERTOU", IF(OR(C217=E217, D217=F217, C217=F217, D217=E217), "PARCIALMENTE", IF(OR(E217="Não há recomendação", F217="Não há recomendação", E217="SEM RECOMENDAÇÃO", F217="SEM RECOMENDAÇÃO"), "NÃO RECOMENDOU", "ERROU"))), "")</f>
        <v/>
      </c>
      <c r="H217" s="20">
        <f>IFERROR(INDEX([1]reposta_chat!$A$2:$A$121, MATCH(_xlfn.CONCAT("*#",[1]analise_resposta!A217,"*"), [1]reposta_chat!$C$2:$C$121, 0)), "")</f>
        <v/>
      </c>
      <c r="I217" s="20">
        <f>IFERROR(INDEX([1]reposta_chat!$B$2:$B$121, MATCH(_xlfn.CONCAT("*#",[1]analise_resposta!A217,"*"), [1]reposta_chat!$C$2:$C$121, 0)), "")</f>
        <v/>
      </c>
      <c r="J217" s="20">
        <f>IF(H217&lt;&gt;"", IF(AND(C217=H217, D217=I217), "ACERTOU", IF(OR(C217=H217, D217=I217, C217=I217, D217=H217), "PARCIALMENTE", IF(OR(H217="Não há recomendação", I217="Não há recomendação", H217="SEM RECOMENDAÇÃO", I217="SEM RECOMENDAÇÃO"), "NÃO RECOMENDOU", "ERROU"))), "")</f>
        <v/>
      </c>
      <c r="K217" s="21" t="inlineStr">
        <is>
          <t>Gerenciamento de Catálogo de Serviço</t>
        </is>
      </c>
      <c r="L217" s="21" t="inlineStr">
        <is>
          <t>Gerenciamento de Relacionamento</t>
        </is>
      </c>
      <c r="M217" s="21">
        <f>IF(K217&lt;&gt;"", IF(AND(C217=K217, D217=L217), "ACERTOU", IF(OR(C217=K217, D217=L217, C217=L217, D217=K217), "PARCIALMENTE", IF(OR(K217="Não há recomendação", L217="Não há recomendação", K217="SEM RECOMENDAÇÃO", L217="SEM RECOMENDAÇÃO"), "NÃO RECOMENDOU", "ERROU"))), "")</f>
        <v/>
      </c>
      <c r="N217" s="22">
        <f>IFERROR(INDEX([1]respota_rag_adaptativo!$A$2:$A$853, MATCH(_xlfn.CONCAT("*#",[1]analise_resposta!A217,"*"), [1]respota_rag_adaptativo!$C$2:$C$85, 0)), "")</f>
        <v/>
      </c>
      <c r="O217" s="22" t="n"/>
      <c r="P217" s="22">
        <f>IF(N217&lt;&gt;"", IF(AND(C217=N217, D217=O217), "ACERTOU", IF(OR(C217=N217, D217=O217, C217=O217, D217=N217), "PARCIALMENTE", IF(OR(N217="Não há recomendação", O217="Não há recomendação", N217="SEM RECOMENDAÇÃO", O217="SEM RECOMENDAÇÃO"), "NÃO RECOMENDOU", "ERROU"))), "")</f>
        <v/>
      </c>
      <c r="Q217" s="23">
        <f>IFERROR(INDEX([1]resposta_plan_exec!$A$2:$A$121, MATCH(_xlfn.CONCAT("*",[1]analise_resposta!A217,"*"), [1]resposta_plan_exec!$C$2:$C$121, 0)), "")</f>
        <v/>
      </c>
      <c r="R217" s="23">
        <f>IF([1]analise_resposta!A217="", "",
    _xlfn.LET(_xlpm.resultado, IFERROR(INDEX([1]resposta_plan_exec!$B$2:$B$121,
                           MATCH(_xlfn.CONCAT("*", [1]analise_resposta!A217, "*"),
                                   [1]resposta_plan_exec!$C$2:$C$121, 0)), ""),
        IF(_xlpm.resultado="", "", _xlpm.resultado)))</f>
        <v/>
      </c>
      <c r="S217" s="23" t="n"/>
    </row>
    <row r="218">
      <c r="A218" t="n">
        <v>1880</v>
      </c>
      <c r="B218" s="3" t="inlineStr">
        <is>
          <t>Problema de Flicker na Tela</t>
        </is>
      </c>
      <c r="C218" s="3" t="inlineStr">
        <is>
          <t>Gerenciamento de Incidentes</t>
        </is>
      </c>
      <c r="D218" s="3" t="inlineStr">
        <is>
          <t>Gerenciamento de Ativos de TI</t>
        </is>
      </c>
      <c r="F218" s="5">
        <f>IFERROR(INDEX([1]resposta_chat_stream!$B$2:$B$34, MATCH(_xlfn.CONCAT("*#",[1]analise_resposta!A218,"*"), [1]resposta_chat_stream!$C$2:$C$34, 0)), "")</f>
        <v/>
      </c>
      <c r="G218" s="6">
        <f>IF(E218&lt;&gt;"", IF(AND(C218=E218, D218=F218), "ACERTOU", IF(OR(C218=E218, D218=F218, C218=F218, D218=E218), "PARCIALMENTE", IF(OR(E218="Não há recomendação", F218="Não há recomendação", E218="SEM RECOMENDAÇÃO", F218="SEM RECOMENDAÇÃO"), "NÃO RECOMENDOU", "ERROU"))), "")</f>
        <v/>
      </c>
      <c r="H218" s="20">
        <f>IFERROR(INDEX([1]reposta_chat!$A$2:$A$121, MATCH(_xlfn.CONCAT("*#",[1]analise_resposta!A218,"*"), [1]reposta_chat!$C$2:$C$121, 0)), "")</f>
        <v/>
      </c>
      <c r="I218" s="20">
        <f>IFERROR(INDEX([1]reposta_chat!$B$2:$B$121, MATCH(_xlfn.CONCAT("*#",[1]analise_resposta!A218,"*"), [1]reposta_chat!$C$2:$C$121, 0)), "")</f>
        <v/>
      </c>
      <c r="J218" s="20">
        <f>IF(H218&lt;&gt;"", IF(AND(C218=H218, D218=I218), "ACERTOU", IF(OR(C218=H218, D218=I218, C218=I218, D218=H218), "PARCIALMENTE", IF(OR(H218="Não há recomendação", I218="Não há recomendação", H218="SEM RECOMENDAÇÃO", I218="SEM RECOMENDAÇÃO"), "NÃO RECOMENDOU", "ERROU"))), "")</f>
        <v/>
      </c>
      <c r="K218" s="21" t="inlineStr">
        <is>
          <t>Gerenciamento de Problemas</t>
        </is>
      </c>
      <c r="L218" s="21" t="inlineStr">
        <is>
          <t>Gerenciamento de Fornecedor</t>
        </is>
      </c>
      <c r="M218" s="21">
        <f>IF(K218&lt;&gt;"", IF(AND(C218=K218, D218=L218), "ACERTOU", IF(OR(C218=K218, D218=L218, C218=L218, D218=K218), "PARCIALMENTE", IF(OR(K218="Não há recomendação", L218="Não há recomendação", K218="SEM RECOMENDAÇÃO", L218="SEM RECOMENDAÇÃO"), "NÃO RECOMENDOU", "ERROU"))), "")</f>
        <v/>
      </c>
      <c r="N218" s="22">
        <f>IFERROR(INDEX([1]respota_rag_adaptativo!$A$2:$A$853, MATCH(_xlfn.CONCAT("*#",[1]analise_resposta!A218,"*"), [1]respota_rag_adaptativo!$C$2:$C$85, 0)), "")</f>
        <v/>
      </c>
      <c r="O218" s="22" t="n"/>
      <c r="P218" s="22">
        <f>IF(N218&lt;&gt;"", IF(AND(C218=N218, D218=O218), "ACERTOU", IF(OR(C218=N218, D218=O218, C218=O218, D218=N218), "PARCIALMENTE", IF(OR(N218="Não há recomendação", O218="Não há recomendação", N218="SEM RECOMENDAÇÃO", O218="SEM RECOMENDAÇÃO"), "NÃO RECOMENDOU", "ERROU"))), "")</f>
        <v/>
      </c>
      <c r="Q218" s="23">
        <f>IFERROR(INDEX([1]resposta_plan_exec!$A$2:$A$121, MATCH(_xlfn.CONCAT("*",[1]analise_resposta!A218,"*"), [1]resposta_plan_exec!$C$2:$C$121, 0)), "")</f>
        <v/>
      </c>
      <c r="R218" s="23">
        <f>IF([1]analise_resposta!A218="", "",
    _xlfn.LET(_xlpm.resultado, IFERROR(INDEX([1]resposta_plan_exec!$B$2:$B$121,
                           MATCH(_xlfn.CONCAT("*", [1]analise_resposta!A218, "*"),
                                   [1]resposta_plan_exec!$C$2:$C$121, 0)), ""),
        IF(_xlpm.resultado="", "", _xlpm.resultado)))</f>
        <v/>
      </c>
      <c r="S218" s="23" t="n"/>
    </row>
    <row r="219">
      <c r="A219" t="n">
        <v>1891</v>
      </c>
      <c r="B219" s="3" t="inlineStr">
        <is>
          <t>Problemas de Sensibilidade da Tela Sensível ao Toque no Surface Pro 7</t>
        </is>
      </c>
      <c r="C219" s="3" t="inlineStr">
        <is>
          <t>Gerenciamento de Incidentes</t>
        </is>
      </c>
      <c r="D219" s="3" t="inlineStr">
        <is>
          <t>Gerenciamento de Problemas</t>
        </is>
      </c>
      <c r="F219" s="5">
        <f>IFERROR(INDEX([1]resposta_chat_stream!$B$2:$B$34, MATCH(_xlfn.CONCAT("*#",[1]analise_resposta!A219,"*"), [1]resposta_chat_stream!$C$2:$C$34, 0)), "")</f>
        <v/>
      </c>
      <c r="G219" s="6">
        <f>IF(E219&lt;&gt;"", IF(AND(C219=E219, D219=F219), "ACERTOU", IF(OR(C219=E219, D219=F219, C219=F219, D219=E219), "PARCIALMENTE", IF(OR(E219="Não há recomendação", F219="Não há recomendação", E219="SEM RECOMENDAÇÃO", F219="SEM RECOMENDAÇÃO"), "NÃO RECOMENDOU", "ERROU"))), "")</f>
        <v/>
      </c>
      <c r="H219" s="20">
        <f>IFERROR(INDEX([1]reposta_chat!$A$2:$A$121, MATCH(_xlfn.CONCAT("*#",[1]analise_resposta!A219,"*"), [1]reposta_chat!$C$2:$C$121, 0)), "")</f>
        <v/>
      </c>
      <c r="I219" s="20">
        <f>IFERROR(INDEX([1]reposta_chat!$B$2:$B$121, MATCH(_xlfn.CONCAT("*#",[1]analise_resposta!A219,"*"), [1]reposta_chat!$C$2:$C$121, 0)), "")</f>
        <v/>
      </c>
      <c r="J219" s="20">
        <f>IF(H219&lt;&gt;"", IF(AND(C219=H219, D219=I219), "ACERTOU", IF(OR(C219=H219, D219=I219, C219=I219, D219=H219), "PARCIALMENTE", IF(OR(H219="Não há recomendação", I219="Não há recomendação", H219="SEM RECOMENDAÇÃO", I219="SEM RECOMENDAÇÃO"), "NÃO RECOMENDOU", "ERROU"))), "")</f>
        <v/>
      </c>
      <c r="K219" s="21" t="inlineStr">
        <is>
          <t>Gerenciamento de Problemas</t>
        </is>
      </c>
      <c r="L219" s="21" t="inlineStr">
        <is>
          <t>Validação e Teste de Serviço</t>
        </is>
      </c>
      <c r="M219" s="21">
        <f>IF(K219&lt;&gt;"", IF(AND(C219=K219, D219=L219), "ACERTOU", IF(OR(C219=K219, D219=L219, C219=L219, D219=K219), "PARCIALMENTE", IF(OR(K219="Não há recomendação", L219="Não há recomendação", K219="SEM RECOMENDAÇÃO", L219="SEM RECOMENDAÇÃO"), "NÃO RECOMENDOU", "ERROU"))), "")</f>
        <v/>
      </c>
      <c r="N219" s="22">
        <f>IFERROR(INDEX([1]respota_rag_adaptativo!$A$2:$A$853, MATCH(_xlfn.CONCAT("*#",[1]analise_resposta!A219,"*"), [1]respota_rag_adaptativo!$C$2:$C$85, 0)), "")</f>
        <v/>
      </c>
      <c r="O219" s="22" t="n"/>
      <c r="P219" s="22">
        <f>IF(N219&lt;&gt;"", IF(AND(C219=N219, D219=O219), "ACERTOU", IF(OR(C219=N219, D219=O219, C219=O219, D219=N219), "PARCIALMENTE", IF(OR(N219="Não há recomendação", O219="Não há recomendação", N219="SEM RECOMENDAÇÃO", O219="SEM RECOMENDAÇÃO"), "NÃO RECOMENDOU", "ERROU"))), "")</f>
        <v/>
      </c>
      <c r="Q219" s="23">
        <f>IFERROR(INDEX([1]resposta_plan_exec!$A$2:$A$121, MATCH(_xlfn.CONCAT("*",[1]analise_resposta!A219,"*"), [1]resposta_plan_exec!$C$2:$C$121, 0)), "")</f>
        <v/>
      </c>
      <c r="R219" s="23">
        <f>IF([1]analise_resposta!A219="", "",
    _xlfn.LET(_xlpm.resultado, IFERROR(INDEX([1]resposta_plan_exec!$B$2:$B$121,
                           MATCH(_xlfn.CONCAT("*", [1]analise_resposta!A219, "*"),
                                   [1]resposta_plan_exec!$C$2:$C$121, 0)), ""),
        IF(_xlpm.resultado="", "", _xlpm.resultado)))</f>
        <v/>
      </c>
      <c r="S219" s="23" t="n"/>
    </row>
    <row r="220">
      <c r="A220" t="n">
        <v>1898</v>
      </c>
      <c r="B220" s="3" t="inlineStr">
        <is>
          <t>Problema Urgente: Acesso ao Email no Office 365</t>
        </is>
      </c>
      <c r="C220" s="3" t="inlineStr">
        <is>
          <t>Gerenciamento de Incidentes</t>
        </is>
      </c>
      <c r="D220" s="3" t="inlineStr">
        <is>
          <t>Gerenciamento de Acesso</t>
        </is>
      </c>
      <c r="F220" s="5">
        <f>IFERROR(INDEX([1]resposta_chat_stream!$B$2:$B$34, MATCH(_xlfn.CONCAT("*#",[1]analise_resposta!A220,"*"), [1]resposta_chat_stream!$C$2:$C$34, 0)), "")</f>
        <v/>
      </c>
      <c r="G220" s="6">
        <f>IF(E220&lt;&gt;"", IF(AND(C220=E220, D220=F220), "ACERTOU", IF(OR(C220=E220, D220=F220, C220=F220, D220=E220), "PARCIALMENTE", IF(OR(E220="Não há recomendação", F220="Não há recomendação", E220="SEM RECOMENDAÇÃO", F220="SEM RECOMENDAÇÃO"), "NÃO RECOMENDOU", "ERROU"))), "")</f>
        <v/>
      </c>
      <c r="H220" s="20">
        <f>IFERROR(INDEX([1]reposta_chat!$A$2:$A$121, MATCH(_xlfn.CONCAT("*#",[1]analise_resposta!A220,"*"), [1]reposta_chat!$C$2:$C$121, 0)), "")</f>
        <v/>
      </c>
      <c r="I220" s="20">
        <f>IFERROR(INDEX([1]reposta_chat!$B$2:$B$121, MATCH(_xlfn.CONCAT("*#",[1]analise_resposta!A220,"*"), [1]reposta_chat!$C$2:$C$121, 0)), "")</f>
        <v/>
      </c>
      <c r="J220" s="20">
        <f>IF(H220&lt;&gt;"", IF(AND(C220=H220, D220=I220), "ACERTOU", IF(OR(C220=H220, D220=I220, C220=I220, D220=H220), "PARCIALMENTE", IF(OR(H220="Não há recomendação", I220="Não há recomendação", H220="SEM RECOMENDAÇÃO", I220="SEM RECOMENDAÇÃO"), "NÃO RECOMENDOU", "ERROU"))), "")</f>
        <v/>
      </c>
      <c r="K220" s="21" t="inlineStr">
        <is>
          <t>Gerenciamento de Disponibilidade</t>
        </is>
      </c>
      <c r="L220" s="21" t="inlineStr">
        <is>
          <t>Gerenciamento de Incidentes</t>
        </is>
      </c>
      <c r="M220" s="21">
        <f>IF(K220&lt;&gt;"", IF(AND(C220=K220, D220=L220), "ACERTOU", IF(OR(C220=K220, D220=L220, C220=L220, D220=K220), "PARCIALMENTE", IF(OR(K220="Não há recomendação", L220="Não há recomendação", K220="SEM RECOMENDAÇÃO", L220="SEM RECOMENDAÇÃO"), "NÃO RECOMENDOU", "ERROU"))), "")</f>
        <v/>
      </c>
      <c r="N220" s="22">
        <f>IFERROR(INDEX([1]respota_rag_adaptativo!$A$2:$A$853, MATCH(_xlfn.CONCAT("*#",[1]analise_resposta!A220,"*"), [1]respota_rag_adaptativo!$C$2:$C$85, 0)), "")</f>
        <v/>
      </c>
      <c r="O220" s="22" t="n"/>
      <c r="P220" s="22">
        <f>IF(N220&lt;&gt;"", IF(AND(C220=N220, D220=O220), "ACERTOU", IF(OR(C220=N220, D220=O220, C220=O220, D220=N220), "PARCIALMENTE", IF(OR(N220="Não há recomendação", O220="Não há recomendação", N220="SEM RECOMENDAÇÃO", O220="SEM RECOMENDAÇÃO"), "NÃO RECOMENDOU", "ERROU"))), "")</f>
        <v/>
      </c>
      <c r="Q220" s="23">
        <f>IFERROR(INDEX([1]resposta_plan_exec!$A$2:$A$121, MATCH(_xlfn.CONCAT("*",[1]analise_resposta!A220,"*"), [1]resposta_plan_exec!$C$2:$C$121, 0)), "")</f>
        <v/>
      </c>
      <c r="R220" s="23">
        <f>IF([1]analise_resposta!A220="", "",
    _xlfn.LET(_xlpm.resultado, IFERROR(INDEX([1]resposta_plan_exec!$B$2:$B$121,
                           MATCH(_xlfn.CONCAT("*", [1]analise_resposta!A220, "*"),
                                   [1]resposta_plan_exec!$C$2:$C$121, 0)), ""),
        IF(_xlpm.resultado="", "", _xlpm.resultado)))</f>
        <v/>
      </c>
      <c r="S220" s="23" t="n"/>
    </row>
    <row r="221">
      <c r="A221" t="n">
        <v>1919</v>
      </c>
      <c r="B221" s="3" t="inlineStr">
        <is>
          <t>Desconexões frequentes do Zoom 5.11.0 afetam a comunicação do webinar</t>
        </is>
      </c>
      <c r="C221" s="3" t="inlineStr">
        <is>
          <t>Gerenciamento de Incidentes</t>
        </is>
      </c>
      <c r="D221" s="3" t="inlineStr">
        <is>
          <t>Gerenciamento de Problemas</t>
        </is>
      </c>
      <c r="F221" s="5">
        <f>IFERROR(INDEX([1]resposta_chat_stream!$B$2:$B$34, MATCH(_xlfn.CONCAT("*#",[1]analise_resposta!A221,"*"), [1]resposta_chat_stream!$C$2:$C$34, 0)), "")</f>
        <v/>
      </c>
      <c r="G221" s="6">
        <f>IF(E221&lt;&gt;"", IF(AND(C221=E221, D221=F221), "ACERTOU", IF(OR(C221=E221, D221=F221, C221=F221, D221=E221), "PARCIALMENTE", IF(OR(E221="Não há recomendação", F221="Não há recomendação", E221="SEM RECOMENDAÇÃO", F221="SEM RECOMENDAÇÃO"), "NÃO RECOMENDOU", "ERROU"))), "")</f>
        <v/>
      </c>
      <c r="H221" s="20">
        <f>IFERROR(INDEX([1]reposta_chat!$A$2:$A$121, MATCH(_xlfn.CONCAT("*#",[1]analise_resposta!A221,"*"), [1]reposta_chat!$C$2:$C$121, 0)), "")</f>
        <v/>
      </c>
      <c r="I221" s="20">
        <f>IFERROR(INDEX([1]reposta_chat!$B$2:$B$121, MATCH(_xlfn.CONCAT("*#",[1]analise_resposta!A221,"*"), [1]reposta_chat!$C$2:$C$121, 0)), "")</f>
        <v/>
      </c>
      <c r="J221" s="20">
        <f>IF(H221&lt;&gt;"", IF(AND(C221=H221, D221=I221), "ACERTOU", IF(OR(C221=H221, D221=I221, C221=I221, D221=H221), "PARCIALMENTE", IF(OR(H221="Não há recomendação", I221="Não há recomendação", H221="SEM RECOMENDAÇÃO", I221="SEM RECOMENDAÇÃO"), "NÃO RECOMENDOU", "ERROU"))), "")</f>
        <v/>
      </c>
      <c r="K221" s="21" t="inlineStr">
        <is>
          <t>Gerenciamento de Problemas</t>
        </is>
      </c>
      <c r="L221" s="21" t="inlineStr">
        <is>
          <t>Desenvolvimento e Gerenciamento de Software</t>
        </is>
      </c>
      <c r="M221" s="21">
        <f>IF(K221&lt;&gt;"", IF(AND(C221=K221, D221=L221), "ACERTOU", IF(OR(C221=K221, D221=L221, C221=L221, D221=K221), "PARCIALMENTE", IF(OR(K221="Não há recomendação", L221="Não há recomendação", K221="SEM RECOMENDAÇÃO", L221="SEM RECOMENDAÇÃO"), "NÃO RECOMENDOU", "ERROU"))), "")</f>
        <v/>
      </c>
      <c r="N221" s="22">
        <f>IFERROR(INDEX([1]respota_rag_adaptativo!$A$2:$A$853, MATCH(_xlfn.CONCAT("*#",[1]analise_resposta!A221,"*"), [1]respota_rag_adaptativo!$C$2:$C$85, 0)), "")</f>
        <v/>
      </c>
      <c r="O221" s="22" t="n"/>
      <c r="P221" s="22">
        <f>IF(N221&lt;&gt;"", IF(AND(C221=N221, D221=O221), "ACERTOU", IF(OR(C221=N221, D221=O221, C221=O221, D221=N221), "PARCIALMENTE", IF(OR(N221="Não há recomendação", O221="Não há recomendação", N221="SEM RECOMENDAÇÃO", O221="SEM RECOMENDAÇÃO"), "NÃO RECOMENDOU", "ERROU"))), "")</f>
        <v/>
      </c>
      <c r="Q221" s="23">
        <f>IFERROR(INDEX([1]resposta_plan_exec!$A$2:$A$121, MATCH(_xlfn.CONCAT("*",[1]analise_resposta!A221,"*"), [1]resposta_plan_exec!$C$2:$C$121, 0)), "")</f>
        <v/>
      </c>
      <c r="R221" s="23">
        <f>IF([1]analise_resposta!A221="", "",
    _xlfn.LET(_xlpm.resultado, IFERROR(INDEX([1]resposta_plan_exec!$B$2:$B$121,
                           MATCH(_xlfn.CONCAT("*", [1]analise_resposta!A221, "*"),
                                   [1]resposta_plan_exec!$C$2:$C$121, 0)), ""),
        IF(_xlpm.resultado="", "", _xlpm.resultado)))</f>
        <v/>
      </c>
      <c r="S221" s="23" t="n"/>
    </row>
    <row r="222">
      <c r="A222" t="n">
        <v>1924</v>
      </c>
      <c r="B222" s="3" t="inlineStr">
        <is>
          <t>MacBook Air M1 enfrentando problemas de superaquecimento durante uso prolongado</t>
        </is>
      </c>
      <c r="C222" s="3" t="inlineStr">
        <is>
          <t>Gerenciamento de Incidentes</t>
        </is>
      </c>
      <c r="D222" s="3" t="inlineStr">
        <is>
          <t>Gerenciamento de Ativos de TI</t>
        </is>
      </c>
      <c r="F222" s="5">
        <f>IFERROR(INDEX([1]resposta_chat_stream!$B$2:$B$34, MATCH(_xlfn.CONCAT("*#",[1]analise_resposta!A222,"*"), [1]resposta_chat_stream!$C$2:$C$34, 0)), "")</f>
        <v/>
      </c>
      <c r="G222" s="6">
        <f>IF(E222&lt;&gt;"", IF(AND(C222=E222, D222=F222), "ACERTOU", IF(OR(C222=E222, D222=F222, C222=F222, D222=E222), "PARCIALMENTE", IF(OR(E222="Não há recomendação", F222="Não há recomendação", E222="SEM RECOMENDAÇÃO", F222="SEM RECOMENDAÇÃO"), "NÃO RECOMENDOU", "ERROU"))), "")</f>
        <v/>
      </c>
      <c r="H222" s="20">
        <f>IFERROR(INDEX([1]reposta_chat!$A$2:$A$121, MATCH(_xlfn.CONCAT("*#",[1]analise_resposta!A222,"*"), [1]reposta_chat!$C$2:$C$121, 0)), "")</f>
        <v/>
      </c>
      <c r="I222" s="20">
        <f>IFERROR(INDEX([1]reposta_chat!$B$2:$B$121, MATCH(_xlfn.CONCAT("*#",[1]analise_resposta!A222,"*"), [1]reposta_chat!$C$2:$C$121, 0)), "")</f>
        <v/>
      </c>
      <c r="J222" s="20">
        <f>IF(H222&lt;&gt;"", IF(AND(C222=H222, D222=I222), "ACERTOU", IF(OR(C222=H222, D222=I222, C222=I222, D222=H222), "PARCIALMENTE", IF(OR(H222="Não há recomendação", I222="Não há recomendação", H222="SEM RECOMENDAÇÃO", I222="SEM RECOMENDAÇÃO"), "NÃO RECOMENDOU", "ERROU"))), "")</f>
        <v/>
      </c>
      <c r="K222" s="21" t="inlineStr">
        <is>
          <t>Gerenciamento de Capacidade e Desempenho</t>
        </is>
      </c>
      <c r="L222" s="21" t="inlineStr">
        <is>
          <t>Gerenciamento de Problemas</t>
        </is>
      </c>
      <c r="M222" s="21">
        <f>IF(K222&lt;&gt;"", IF(AND(C222=K222, D222=L222), "ACERTOU", IF(OR(C222=K222, D222=L222, C222=L222, D222=K222), "PARCIALMENTE", IF(OR(K222="Não há recomendação", L222="Não há recomendação", K222="SEM RECOMENDAÇÃO", L222="SEM RECOMENDAÇÃO"), "NÃO RECOMENDOU", "ERROU"))), "")</f>
        <v/>
      </c>
      <c r="N222" s="22">
        <f>IFERROR(INDEX([1]respota_rag_adaptativo!$A$2:$A$853, MATCH(_xlfn.CONCAT("*#",[1]analise_resposta!A222,"*"), [1]respota_rag_adaptativo!$C$2:$C$85, 0)), "")</f>
        <v/>
      </c>
      <c r="O222" s="22" t="n"/>
      <c r="P222" s="22">
        <f>IF(N222&lt;&gt;"", IF(AND(C222=N222, D222=O222), "ACERTOU", IF(OR(C222=N222, D222=O222, C222=O222, D222=N222), "PARCIALMENTE", IF(OR(N222="Não há recomendação", O222="Não há recomendação", N222="SEM RECOMENDAÇÃO", O222="SEM RECOMENDAÇÃO"), "NÃO RECOMENDOU", "ERROU"))), "")</f>
        <v/>
      </c>
      <c r="Q222" s="23">
        <f>IFERROR(INDEX([1]resposta_plan_exec!$A$2:$A$121, MATCH(_xlfn.CONCAT("*",[1]analise_resposta!A222,"*"), [1]resposta_plan_exec!$C$2:$C$121, 0)), "")</f>
        <v/>
      </c>
      <c r="R222" s="23">
        <f>IF([1]analise_resposta!A222="", "",
    _xlfn.LET(_xlpm.resultado, IFERROR(INDEX([1]resposta_plan_exec!$B$2:$B$121,
                           MATCH(_xlfn.CONCAT("*", [1]analise_resposta!A222, "*"),
                                   [1]resposta_plan_exec!$C$2:$C$121, 0)), ""),
        IF(_xlpm.resultado="", "", _xlpm.resultado)))</f>
        <v/>
      </c>
      <c r="S222" s="23" t="n"/>
    </row>
    <row r="223">
      <c r="A223" t="n">
        <v>1926</v>
      </c>
      <c r="B223" s="3" t="inlineStr">
        <is>
          <t>Urgente: Problemas de Conectividade com o Roteador Cisco ISR4331</t>
        </is>
      </c>
      <c r="C223" s="3" t="inlineStr">
        <is>
          <t>Gerenciamento de Incidentes</t>
        </is>
      </c>
      <c r="D223" s="3" t="inlineStr">
        <is>
          <t>Gerenciamento de Problemas</t>
        </is>
      </c>
      <c r="F223" s="5">
        <f>IFERROR(INDEX([1]resposta_chat_stream!$B$2:$B$34, MATCH(_xlfn.CONCAT("*#",[1]analise_resposta!A223,"*"), [1]resposta_chat_stream!$C$2:$C$34, 0)), "")</f>
        <v/>
      </c>
      <c r="G223" s="6">
        <f>IF(E223&lt;&gt;"", IF(AND(C223=E223, D223=F223), "ACERTOU", IF(OR(C223=E223, D223=F223, C223=F223, D223=E223), "PARCIALMENTE", IF(OR(E223="Não há recomendação", F223="Não há recomendação", E223="SEM RECOMENDAÇÃO", F223="SEM RECOMENDAÇÃO"), "NÃO RECOMENDOU", "ERROU"))), "")</f>
        <v/>
      </c>
      <c r="H223" s="20">
        <f>IFERROR(INDEX([1]reposta_chat!$A$2:$A$121, MATCH(_xlfn.CONCAT("*#",[1]analise_resposta!A223,"*"), [1]reposta_chat!$C$2:$C$121, 0)), "")</f>
        <v/>
      </c>
      <c r="I223" s="20">
        <f>IFERROR(INDEX([1]reposta_chat!$B$2:$B$121, MATCH(_xlfn.CONCAT("*#",[1]analise_resposta!A223,"*"), [1]reposta_chat!$C$2:$C$121, 0)), "")</f>
        <v/>
      </c>
      <c r="J223" s="20">
        <f>IF(H223&lt;&gt;"", IF(AND(C223=H223, D223=I223), "ACERTOU", IF(OR(C223=H223, D223=I223, C223=I223, D223=H223), "PARCIALMENTE", IF(OR(H223="Não há recomendação", I223="Não há recomendação", H223="SEM RECOMENDAÇÃO", I223="SEM RECOMENDAÇÃO"), "NÃO RECOMENDOU", "ERROU"))), "")</f>
        <v/>
      </c>
      <c r="K223" s="21" t="inlineStr">
        <is>
          <t>Gerenciamento de Problemas</t>
        </is>
      </c>
      <c r="L223" s="21" t="inlineStr">
        <is>
          <t>Gerenciamento de Configuração de Serviço</t>
        </is>
      </c>
      <c r="M223" s="21">
        <f>IF(K223&lt;&gt;"", IF(AND(C223=K223, D223=L223), "ACERTOU", IF(OR(C223=K223, D223=L223, C223=L223, D223=K223), "PARCIALMENTE", IF(OR(K223="Não há recomendação", L223="Não há recomendação", K223="SEM RECOMENDAÇÃO", L223="SEM RECOMENDAÇÃO"), "NÃO RECOMENDOU", "ERROU"))), "")</f>
        <v/>
      </c>
      <c r="N223" s="22">
        <f>IFERROR(INDEX([1]respota_rag_adaptativo!$A$2:$A$853, MATCH(_xlfn.CONCAT("*#",[1]analise_resposta!A223,"*"), [1]respota_rag_adaptativo!$C$2:$C$85, 0)), "")</f>
        <v/>
      </c>
      <c r="O223" s="22" t="n"/>
      <c r="P223" s="22">
        <f>IF(N223&lt;&gt;"", IF(AND(C223=N223, D223=O223), "ACERTOU", IF(OR(C223=N223, D223=O223, C223=O223, D223=N223), "PARCIALMENTE", IF(OR(N223="Não há recomendação", O223="Não há recomendação", N223="SEM RECOMENDAÇÃO", O223="SEM RECOMENDAÇÃO"), "NÃO RECOMENDOU", "ERROU"))), "")</f>
        <v/>
      </c>
      <c r="Q223" s="23">
        <f>IFERROR(INDEX([1]resposta_plan_exec!$A$2:$A$121, MATCH(_xlfn.CONCAT("*",[1]analise_resposta!A223,"*"), [1]resposta_plan_exec!$C$2:$C$121, 0)), "")</f>
        <v/>
      </c>
      <c r="R223" s="23">
        <f>IF([1]analise_resposta!A223="", "",
    _xlfn.LET(_xlpm.resultado, IFERROR(INDEX([1]resposta_plan_exec!$B$2:$B$121,
                           MATCH(_xlfn.CONCAT("*", [1]analise_resposta!A223, "*"),
                                   [1]resposta_plan_exec!$C$2:$C$121, 0)), ""),
        IF(_xlpm.resultado="", "", _xlpm.resultado)))</f>
        <v/>
      </c>
      <c r="S223" s="23" t="n"/>
    </row>
    <row r="224">
      <c r="A224" t="n">
        <v>1930</v>
      </c>
      <c r="B224" s="3" t="inlineStr">
        <is>
          <t>Frequentes atolamentos de papel com a impressora</t>
        </is>
      </c>
      <c r="C224" s="3" t="inlineStr">
        <is>
          <t>Gerenciamento de Incidentes</t>
        </is>
      </c>
      <c r="D224" s="3" t="inlineStr">
        <is>
          <t>Gerenciamento de Problemas</t>
        </is>
      </c>
      <c r="F224" s="5">
        <f>IFERROR(INDEX([1]resposta_chat_stream!$B$2:$B$34, MATCH(_xlfn.CONCAT("*#",[1]analise_resposta!A224,"*"), [1]resposta_chat_stream!$C$2:$C$34, 0)), "")</f>
        <v/>
      </c>
      <c r="G224" s="6">
        <f>IF(E224&lt;&gt;"", IF(AND(C224=E224, D224=F224), "ACERTOU", IF(OR(C224=E224, D224=F224, C224=F224, D224=E224), "PARCIALMENTE", IF(OR(E224="Não há recomendação", F224="Não há recomendação", E224="SEM RECOMENDAÇÃO", F224="SEM RECOMENDAÇÃO"), "NÃO RECOMENDOU", "ERROU"))), "")</f>
        <v/>
      </c>
      <c r="H224" s="20">
        <f>IFERROR(INDEX([1]reposta_chat!$A$2:$A$121, MATCH(_xlfn.CONCAT("*#",[1]analise_resposta!A224,"*"), [1]reposta_chat!$C$2:$C$121, 0)), "")</f>
        <v/>
      </c>
      <c r="I224" s="20">
        <f>IFERROR(INDEX([1]reposta_chat!$B$2:$B$121, MATCH(_xlfn.CONCAT("*#",[1]analise_resposta!A224,"*"), [1]reposta_chat!$C$2:$C$121, 0)), "")</f>
        <v/>
      </c>
      <c r="J224" s="20">
        <f>IF(H224&lt;&gt;"", IF(AND(C224=H224, D224=I224), "ACERTOU", IF(OR(C224=H224, D224=I224, C224=I224, D224=H224), "PARCIALMENTE", IF(OR(H224="Não há recomendação", I224="Não há recomendação", H224="SEM RECOMENDAÇÃO", I224="SEM RECOMENDAÇÃO"), "NÃO RECOMENDOU", "ERROU"))), "")</f>
        <v/>
      </c>
      <c r="K224" s="21" t="inlineStr">
        <is>
          <t>Gerenciamento de Fornecedor</t>
        </is>
      </c>
      <c r="L224" s="21" t="inlineStr">
        <is>
          <t>Gerenciamento de Problemas</t>
        </is>
      </c>
      <c r="M224" s="21">
        <f>IF(K224&lt;&gt;"", IF(AND(C224=K224, D224=L224), "ACERTOU", IF(OR(C224=K224, D224=L224, C224=L224, D224=K224), "PARCIALMENTE", IF(OR(K224="Não há recomendação", L224="Não há recomendação", K224="SEM RECOMENDAÇÃO", L224="SEM RECOMENDAÇÃO"), "NÃO RECOMENDOU", "ERROU"))), "")</f>
        <v/>
      </c>
      <c r="N224" s="22">
        <f>IFERROR(INDEX([1]respota_rag_adaptativo!$A$2:$A$853, MATCH(_xlfn.CONCAT("*#",[1]analise_resposta!A224,"*"), [1]respota_rag_adaptativo!$C$2:$C$85, 0)), "")</f>
        <v/>
      </c>
      <c r="O224" s="22" t="n"/>
      <c r="P224" s="22">
        <f>IF(N224&lt;&gt;"", IF(AND(C224=N224, D224=O224), "ACERTOU", IF(OR(C224=N224, D224=O224, C224=O224, D224=N224), "PARCIALMENTE", IF(OR(N224="Não há recomendação", O224="Não há recomendação", N224="SEM RECOMENDAÇÃO", O224="SEM RECOMENDAÇÃO"), "NÃO RECOMENDOU", "ERROU"))), "")</f>
        <v/>
      </c>
      <c r="Q224" s="23">
        <f>IFERROR(INDEX([1]resposta_plan_exec!$A$2:$A$121, MATCH(_xlfn.CONCAT("*",[1]analise_resposta!A224,"*"), [1]resposta_plan_exec!$C$2:$C$121, 0)), "")</f>
        <v/>
      </c>
      <c r="R224" s="23">
        <f>IF([1]analise_resposta!A224="", "",
    _xlfn.LET(_xlpm.resultado, IFERROR(INDEX([1]resposta_plan_exec!$B$2:$B$121,
                           MATCH(_xlfn.CONCAT("*", [1]analise_resposta!A224, "*"),
                                   [1]resposta_plan_exec!$C$2:$C$121, 0)), ""),
        IF(_xlpm.resultado="", "", _xlpm.resultado)))</f>
        <v/>
      </c>
      <c r="S224" s="23" t="n"/>
    </row>
    <row r="225">
      <c r="A225" t="n">
        <v>1937</v>
      </c>
      <c r="B225" s="3" t="inlineStr">
        <is>
          <t>Assistência Necessária para Problema com Debugging de Extensões</t>
        </is>
      </c>
      <c r="C225" s="3" t="inlineStr">
        <is>
          <t>Gerenciamento de Incidentes</t>
        </is>
      </c>
      <c r="D225" s="3" t="inlineStr">
        <is>
          <t>Gerenciamento de Problemas</t>
        </is>
      </c>
      <c r="F225" s="5">
        <f>IFERROR(INDEX([1]resposta_chat_stream!$B$2:$B$34, MATCH(_xlfn.CONCAT("*#",[1]analise_resposta!A225,"*"), [1]resposta_chat_stream!$C$2:$C$34, 0)), "")</f>
        <v/>
      </c>
      <c r="G225" s="6">
        <f>IF(E225&lt;&gt;"", IF(AND(C225=E225, D225=F225), "ACERTOU", IF(OR(C225=E225, D225=F225, C225=F225, D225=E225), "PARCIALMENTE", IF(OR(E225="Não há recomendação", F225="Não há recomendação", E225="SEM RECOMENDAÇÃO", F225="SEM RECOMENDAÇÃO"), "NÃO RECOMENDOU", "ERROU"))), "")</f>
        <v/>
      </c>
      <c r="H225" s="20">
        <f>IFERROR(INDEX([1]reposta_chat!$A$2:$A$121, MATCH(_xlfn.CONCAT("*#",[1]analise_resposta!A225,"*"), [1]reposta_chat!$C$2:$C$121, 0)), "")</f>
        <v/>
      </c>
      <c r="I225" s="20">
        <f>IFERROR(INDEX([1]reposta_chat!$B$2:$B$121, MATCH(_xlfn.CONCAT("*#",[1]analise_resposta!A225,"*"), [1]reposta_chat!$C$2:$C$121, 0)), "")</f>
        <v/>
      </c>
      <c r="J225" s="20">
        <f>IF(H225&lt;&gt;"", IF(AND(C225=H225, D225=I225), "ACERTOU", IF(OR(C225=H225, D225=I225, C225=I225, D225=H225), "PARCIALMENTE", IF(OR(H225="Não há recomendação", I225="Não há recomendação", H225="SEM RECOMENDAÇÃO", I225="SEM RECOMENDAÇÃO"), "NÃO RECOMENDOU", "ERROU"))), "")</f>
        <v/>
      </c>
      <c r="K225" s="21" t="inlineStr">
        <is>
          <t>Gerenciamento de Conhecimento</t>
        </is>
      </c>
      <c r="L225" s="21" t="inlineStr">
        <is>
          <t>Desenvolvimento e Gerenciamento de Software</t>
        </is>
      </c>
      <c r="M225" s="21">
        <f>IF(K225&lt;&gt;"", IF(AND(C225=K225, D225=L225), "ACERTOU", IF(OR(C225=K225, D225=L225, C225=L225, D225=K225), "PARCIALMENTE", IF(OR(K225="Não há recomendação", L225="Não há recomendação", K225="SEM RECOMENDAÇÃO", L225="SEM RECOMENDAÇÃO"), "NÃO RECOMENDOU", "ERROU"))), "")</f>
        <v/>
      </c>
      <c r="N225" s="22">
        <f>IFERROR(INDEX([1]respota_rag_adaptativo!$A$2:$A$853, MATCH(_xlfn.CONCAT("*#",[1]analise_resposta!A225,"*"), [1]respota_rag_adaptativo!$C$2:$C$85, 0)), "")</f>
        <v/>
      </c>
      <c r="O225" s="22" t="n"/>
      <c r="P225" s="22">
        <f>IF(N225&lt;&gt;"", IF(AND(C225=N225, D225=O225), "ACERTOU", IF(OR(C225=N225, D225=O225, C225=O225, D225=N225), "PARCIALMENTE", IF(OR(N225="Não há recomendação", O225="Não há recomendação", N225="SEM RECOMENDAÇÃO", O225="SEM RECOMENDAÇÃO"), "NÃO RECOMENDOU", "ERROU"))), "")</f>
        <v/>
      </c>
      <c r="Q225" s="23">
        <f>IFERROR(INDEX([1]resposta_plan_exec!$A$2:$A$121, MATCH(_xlfn.CONCAT("*",[1]analise_resposta!A225,"*"), [1]resposta_plan_exec!$C$2:$C$121, 0)), "")</f>
        <v/>
      </c>
      <c r="R225" s="23">
        <f>IF([1]analise_resposta!A225="", "",
    _xlfn.LET(_xlpm.resultado, IFERROR(INDEX([1]resposta_plan_exec!$B$2:$B$121,
                           MATCH(_xlfn.CONCAT("*", [1]analise_resposta!A225, "*"),
                                   [1]resposta_plan_exec!$C$2:$C$121, 0)), ""),
        IF(_xlpm.resultado="", "", _xlpm.resultado)))</f>
        <v/>
      </c>
      <c r="S225" s="23" t="n"/>
    </row>
    <row r="226">
      <c r="A226" t="n">
        <v>1941</v>
      </c>
      <c r="B226" s="3" t="inlineStr">
        <is>
          <t>Assistência necessária com a configuração sem fio para a Canon PIXMA MG3620</t>
        </is>
      </c>
      <c r="C226" s="3" t="inlineStr">
        <is>
          <t>Solicitação de Serviço</t>
        </is>
      </c>
      <c r="D226" s="3" t="inlineStr">
        <is>
          <t>Gerenciamento de Incidentes</t>
        </is>
      </c>
      <c r="F226" s="5">
        <f>IFERROR(INDEX([1]resposta_chat_stream!$B$2:$B$34, MATCH(_xlfn.CONCAT("*#",[1]analise_resposta!A226,"*"), [1]resposta_chat_stream!$C$2:$C$34, 0)), "")</f>
        <v/>
      </c>
      <c r="G226" s="6">
        <f>IF(E226&lt;&gt;"", IF(AND(C226=E226, D226=F226), "ACERTOU", IF(OR(C226=E226, D226=F226, C226=F226, D226=E226), "PARCIALMENTE", IF(OR(E226="Não há recomendação", F226="Não há recomendação", E226="SEM RECOMENDAÇÃO", F226="SEM RECOMENDAÇÃO"), "NÃO RECOMENDOU", "ERROU"))), "")</f>
        <v/>
      </c>
      <c r="H226" s="20">
        <f>IFERROR(INDEX([1]reposta_chat!$A$2:$A$121, MATCH(_xlfn.CONCAT("*#",[1]analise_resposta!A226,"*"), [1]reposta_chat!$C$2:$C$121, 0)), "")</f>
        <v/>
      </c>
      <c r="I226" s="20">
        <f>IFERROR(INDEX([1]reposta_chat!$B$2:$B$121, MATCH(_xlfn.CONCAT("*#",[1]analise_resposta!A226,"*"), [1]reposta_chat!$C$2:$C$121, 0)), "")</f>
        <v/>
      </c>
      <c r="J226" s="20">
        <f>IF(H226&lt;&gt;"", IF(AND(C226=H226, D226=I226), "ACERTOU", IF(OR(C226=H226, D226=I226, C226=I226, D226=H226), "PARCIALMENTE", IF(OR(H226="Não há recomendação", I226="Não há recomendação", H226="SEM RECOMENDAÇÃO", I226="SEM RECOMENDAÇÃO"), "NÃO RECOMENDOU", "ERROU"))), "")</f>
        <v/>
      </c>
      <c r="K226" s="21" t="inlineStr">
        <is>
          <t>Gerenciamento de Catálogo de Serviço</t>
        </is>
      </c>
      <c r="L226" s="21" t="inlineStr">
        <is>
          <t>Central de Serviço</t>
        </is>
      </c>
      <c r="M226" s="21">
        <f>IF(K226&lt;&gt;"", IF(AND(C226=K226, D226=L226), "ACERTOU", IF(OR(C226=K226, D226=L226, C226=L226, D226=K226), "PARCIALMENTE", IF(OR(K226="Não há recomendação", L226="Não há recomendação", K226="SEM RECOMENDAÇÃO", L226="SEM RECOMENDAÇÃO"), "NÃO RECOMENDOU", "ERROU"))), "")</f>
        <v/>
      </c>
      <c r="N226" s="22">
        <f>IFERROR(INDEX([1]respota_rag_adaptativo!$A$2:$A$853, MATCH(_xlfn.CONCAT("*#",[1]analise_resposta!A226,"*"), [1]respota_rag_adaptativo!$C$2:$C$85, 0)), "")</f>
        <v/>
      </c>
      <c r="O226" s="22" t="n"/>
      <c r="P226" s="22">
        <f>IF(N226&lt;&gt;"", IF(AND(C226=N226, D226=O226), "ACERTOU", IF(OR(C226=N226, D226=O226, C226=O226, D226=N226), "PARCIALMENTE", IF(OR(N226="Não há recomendação", O226="Não há recomendação", N226="SEM RECOMENDAÇÃO", O226="SEM RECOMENDAÇÃO"), "NÃO RECOMENDOU", "ERROU"))), "")</f>
        <v/>
      </c>
      <c r="Q226" s="23">
        <f>IFERROR(INDEX([1]resposta_plan_exec!$A$2:$A$121, MATCH(_xlfn.CONCAT("*",[1]analise_resposta!A226,"*"), [1]resposta_plan_exec!$C$2:$C$121, 0)), "")</f>
        <v/>
      </c>
      <c r="R226" s="23">
        <f>IF([1]analise_resposta!A226="", "",
    _xlfn.LET(_xlpm.resultado, IFERROR(INDEX([1]resposta_plan_exec!$B$2:$B$121,
                           MATCH(_xlfn.CONCAT("*", [1]analise_resposta!A226, "*"),
                                   [1]resposta_plan_exec!$C$2:$C$121, 0)), ""),
        IF(_xlpm.resultado="", "", _xlpm.resultado)))</f>
        <v/>
      </c>
      <c r="S226" s="23" t="n"/>
    </row>
    <row r="227">
      <c r="A227" t="n">
        <v>1948</v>
      </c>
      <c r="B227" s="3" t="inlineStr">
        <is>
          <t>Alta Prioridade: Queda do Sistema ao Acessar Painéis Scrum</t>
        </is>
      </c>
      <c r="C227" s="3" t="inlineStr">
        <is>
          <t>Gerenciamento de Incidentes</t>
        </is>
      </c>
      <c r="D227" s="3" t="inlineStr">
        <is>
          <t>Gerenciamento de Disponibilidade</t>
        </is>
      </c>
      <c r="F227" s="5">
        <f>IFERROR(INDEX([1]resposta_chat_stream!$B$2:$B$34, MATCH(_xlfn.CONCAT("*#",[1]analise_resposta!A227,"*"), [1]resposta_chat_stream!$C$2:$C$34, 0)), "")</f>
        <v/>
      </c>
      <c r="G227" s="6">
        <f>IF(E227&lt;&gt;"", IF(AND(C227=E227, D227=F227), "ACERTOU", IF(OR(C227=E227, D227=F227, C227=F227, D227=E227), "PARCIALMENTE", IF(OR(E227="Não há recomendação", F227="Não há recomendação", E227="SEM RECOMENDAÇÃO", F227="SEM RECOMENDAÇÃO"), "NÃO RECOMENDOU", "ERROU"))), "")</f>
        <v/>
      </c>
      <c r="H227" s="20">
        <f>IFERROR(INDEX([1]reposta_chat!$A$2:$A$121, MATCH(_xlfn.CONCAT("*#",[1]analise_resposta!A227,"*"), [1]reposta_chat!$C$2:$C$121, 0)), "")</f>
        <v/>
      </c>
      <c r="I227" s="20">
        <f>IFERROR(INDEX([1]reposta_chat!$B$2:$B$121, MATCH(_xlfn.CONCAT("*#",[1]analise_resposta!A227,"*"), [1]reposta_chat!$C$2:$C$121, 0)), "")</f>
        <v/>
      </c>
      <c r="J227" s="20">
        <f>IF(H227&lt;&gt;"", IF(AND(C227=H227, D227=I227), "ACERTOU", IF(OR(C227=H227, D227=I227, C227=I227, D227=H227), "PARCIALMENTE", IF(OR(H227="Não há recomendação", I227="Não há recomendação", H227="SEM RECOMENDAÇÃO", I227="SEM RECOMENDAÇÃO"), "NÃO RECOMENDOU", "ERROU"))), "")</f>
        <v/>
      </c>
      <c r="K227" s="21" t="inlineStr">
        <is>
          <t>Gerenciamento de Problemas</t>
        </is>
      </c>
      <c r="L227" s="21" t="inlineStr">
        <is>
          <t>Validação e Teste de Serviço</t>
        </is>
      </c>
      <c r="M227" s="21">
        <f>IF(K227&lt;&gt;"", IF(AND(C227=K227, D227=L227), "ACERTOU", IF(OR(C227=K227, D227=L227, C227=L227, D227=K227), "PARCIALMENTE", IF(OR(K227="Não há recomendação", L227="Não há recomendação", K227="SEM RECOMENDAÇÃO", L227="SEM RECOMENDAÇÃO"), "NÃO RECOMENDOU", "ERROU"))), "")</f>
        <v/>
      </c>
      <c r="N227" s="22">
        <f>IFERROR(INDEX([1]respota_rag_adaptativo!$A$2:$A$853, MATCH(_xlfn.CONCAT("*#",[1]analise_resposta!A227,"*"), [1]respota_rag_adaptativo!$C$2:$C$85, 0)), "")</f>
        <v/>
      </c>
      <c r="O227" s="22" t="n"/>
      <c r="P227" s="22">
        <f>IF(N227&lt;&gt;"", IF(AND(C227=N227, D227=O227), "ACERTOU", IF(OR(C227=N227, D227=O227, C227=O227, D227=N227), "PARCIALMENTE", IF(OR(N227="Não há recomendação", O227="Não há recomendação", N227="SEM RECOMENDAÇÃO", O227="SEM RECOMENDAÇÃO"), "NÃO RECOMENDOU", "ERROU"))), "")</f>
        <v/>
      </c>
      <c r="Q227" s="23">
        <f>IFERROR(INDEX([1]resposta_plan_exec!$A$2:$A$121, MATCH(_xlfn.CONCAT("*",[1]analise_resposta!A227,"*"), [1]resposta_plan_exec!$C$2:$C$121, 0)), "")</f>
        <v/>
      </c>
      <c r="R227" s="23">
        <f>IF([1]analise_resposta!A227="", "",
    _xlfn.LET(_xlpm.resultado, IFERROR(INDEX([1]resposta_plan_exec!$B$2:$B$121,
                           MATCH(_xlfn.CONCAT("*", [1]analise_resposta!A227, "*"),
                                   [1]resposta_plan_exec!$C$2:$C$121, 0)), ""),
        IF(_xlpm.resultado="", "", _xlpm.resultado)))</f>
        <v/>
      </c>
      <c r="S227" s="23" t="n"/>
    </row>
    <row r="228">
      <c r="A228" t="n">
        <v>1960</v>
      </c>
      <c r="B228" s="3" t="inlineStr">
        <is>
          <t>Problema de Piscar da Tela com Dell XPS 13 9310</t>
        </is>
      </c>
      <c r="C228" s="3" t="inlineStr">
        <is>
          <t>Gerenciamento de Incidentes</t>
        </is>
      </c>
      <c r="D228" s="3" t="inlineStr">
        <is>
          <t>Gerenciamento de Problemas</t>
        </is>
      </c>
      <c r="F228" s="5">
        <f>IFERROR(INDEX([1]resposta_chat_stream!$B$2:$B$34, MATCH(_xlfn.CONCAT("*#",[1]analise_resposta!A228,"*"), [1]resposta_chat_stream!$C$2:$C$34, 0)), "")</f>
        <v/>
      </c>
      <c r="G228" s="6">
        <f>IF(E228&lt;&gt;"", IF(AND(C228=E228, D228=F228), "ACERTOU", IF(OR(C228=E228, D228=F228, C228=F228, D228=E228), "PARCIALMENTE", IF(OR(E228="Não há recomendação", F228="Não há recomendação", E228="SEM RECOMENDAÇÃO", F228="SEM RECOMENDAÇÃO"), "NÃO RECOMENDOU", "ERROU"))), "")</f>
        <v/>
      </c>
      <c r="H228" s="20">
        <f>IFERROR(INDEX([1]reposta_chat!$A$2:$A$121, MATCH(_xlfn.CONCAT("*#",[1]analise_resposta!A228,"*"), [1]reposta_chat!$C$2:$C$121, 0)), "")</f>
        <v/>
      </c>
      <c r="I228" s="20">
        <f>IFERROR(INDEX([1]reposta_chat!$B$2:$B$121, MATCH(_xlfn.CONCAT("*#",[1]analise_resposta!A228,"*"), [1]reposta_chat!$C$2:$C$121, 0)), "")</f>
        <v/>
      </c>
      <c r="J228" s="20">
        <f>IF(H228&lt;&gt;"", IF(AND(C228=H228, D228=I228), "ACERTOU", IF(OR(C228=H228, D228=I228, C228=I228, D228=H228), "PARCIALMENTE", IF(OR(H228="Não há recomendação", I228="Não há recomendação", H228="SEM RECOMENDAÇÃO", I228="SEM RECOMENDAÇÃO"), "NÃO RECOMENDOU", "ERROU"))), "")</f>
        <v/>
      </c>
      <c r="K228" s="21" t="inlineStr">
        <is>
          <t>Gerenciamento de Problemas</t>
        </is>
      </c>
      <c r="L228" s="21" t="inlineStr">
        <is>
          <t>Gerenciamento de Fornecedor</t>
        </is>
      </c>
      <c r="M228" s="21">
        <f>IF(K228&lt;&gt;"", IF(AND(C228=K228, D228=L228), "ACERTOU", IF(OR(C228=K228, D228=L228, C228=L228, D228=K228), "PARCIALMENTE", IF(OR(K228="Não há recomendação", L228="Não há recomendação", K228="SEM RECOMENDAÇÃO", L228="SEM RECOMENDAÇÃO"), "NÃO RECOMENDOU", "ERROU"))), "")</f>
        <v/>
      </c>
      <c r="N228" s="22">
        <f>IFERROR(INDEX([1]respota_rag_adaptativo!$A$2:$A$853, MATCH(_xlfn.CONCAT("*#",[1]analise_resposta!A228,"*"), [1]respota_rag_adaptativo!$C$2:$C$85, 0)), "")</f>
        <v/>
      </c>
      <c r="O228" s="22" t="n"/>
      <c r="P228" s="22">
        <f>IF(N228&lt;&gt;"", IF(AND(C228=N228, D228=O228), "ACERTOU", IF(OR(C228=N228, D228=O228, C228=O228, D228=N228), "PARCIALMENTE", IF(OR(N228="Não há recomendação", O228="Não há recomendação", N228="SEM RECOMENDAÇÃO", O228="SEM RECOMENDAÇÃO"), "NÃO RECOMENDOU", "ERROU"))), "")</f>
        <v/>
      </c>
      <c r="Q228" s="23">
        <f>IFERROR(INDEX([1]resposta_plan_exec!$A$2:$A$121, MATCH(_xlfn.CONCAT("*",[1]analise_resposta!A228,"*"), [1]resposta_plan_exec!$C$2:$C$121, 0)), "")</f>
        <v/>
      </c>
      <c r="R228" s="23">
        <f>IF([1]analise_resposta!A228="", "",
    _xlfn.LET(_xlpm.resultado, IFERROR(INDEX([1]resposta_plan_exec!$B$2:$B$121,
                           MATCH(_xlfn.CONCAT("*", [1]analise_resposta!A228, "*"),
                                   [1]resposta_plan_exec!$C$2:$C$121, 0)), ""),
        IF(_xlpm.resultado="", "", _xlpm.resultado)))</f>
        <v/>
      </c>
      <c r="S228" s="23" t="n"/>
    </row>
    <row r="229">
      <c r="A229" t="n">
        <v>1961</v>
      </c>
      <c r="B229" s="3" t="inlineStr">
        <is>
          <t>Assistência Necessária para Upgrade do Teclado do Surface Pro 7</t>
        </is>
      </c>
      <c r="C229" s="3" t="inlineStr">
        <is>
          <t>Solicitação de Serviço</t>
        </is>
      </c>
      <c r="D229" s="3" t="inlineStr">
        <is>
          <t>Gerenciamento de Mudanças</t>
        </is>
      </c>
      <c r="F229" s="5">
        <f>IFERROR(INDEX([1]resposta_chat_stream!$B$2:$B$34, MATCH(_xlfn.CONCAT("*#",[1]analise_resposta!A229,"*"), [1]resposta_chat_stream!$C$2:$C$34, 0)), "")</f>
        <v/>
      </c>
      <c r="G229" s="6">
        <f>IF(E229&lt;&gt;"", IF(AND(C229=E229, D229=F229), "ACERTOU", IF(OR(C229=E229, D229=F229, C229=F229, D229=E229), "PARCIALMENTE", IF(OR(E229="Não há recomendação", F229="Não há recomendação", E229="SEM RECOMENDAÇÃO", F229="SEM RECOMENDAÇÃO"), "NÃO RECOMENDOU", "ERROU"))), "")</f>
        <v/>
      </c>
      <c r="H229" s="20">
        <f>IFERROR(INDEX([1]reposta_chat!$A$2:$A$121, MATCH(_xlfn.CONCAT("*#",[1]analise_resposta!A229,"*"), [1]reposta_chat!$C$2:$C$121, 0)), "")</f>
        <v/>
      </c>
      <c r="I229" s="20">
        <f>IFERROR(INDEX([1]reposta_chat!$B$2:$B$121, MATCH(_xlfn.CONCAT("*#",[1]analise_resposta!A229,"*"), [1]reposta_chat!$C$2:$C$121, 0)), "")</f>
        <v/>
      </c>
      <c r="J229" s="20">
        <f>IF(H229&lt;&gt;"", IF(AND(C229=H229, D229=I229), "ACERTOU", IF(OR(C229=H229, D229=I229, C229=I229, D229=H229), "PARCIALMENTE", IF(OR(H229="Não há recomendação", I229="Não há recomendação", H229="SEM RECOMENDAÇÃO", I229="SEM RECOMENDAÇÃO"), "NÃO RECOMENDOU", "ERROU"))), "")</f>
        <v/>
      </c>
      <c r="K229" s="21" t="inlineStr">
        <is>
          <t>Habilitação de Mudança</t>
        </is>
      </c>
      <c r="L229" s="21" t="inlineStr">
        <is>
          <t>Gerenciamento de Configuração de Serviço</t>
        </is>
      </c>
      <c r="M229" s="21">
        <f>IF(K229&lt;&gt;"", IF(AND(C229=K229, D229=L229), "ACERTOU", IF(OR(C229=K229, D229=L229, C229=L229, D229=K229), "PARCIALMENTE", IF(OR(K229="Não há recomendação", L229="Não há recomendação", K229="SEM RECOMENDAÇÃO", L229="SEM RECOMENDAÇÃO"), "NÃO RECOMENDOU", "ERROU"))), "")</f>
        <v/>
      </c>
      <c r="N229" s="22">
        <f>IFERROR(INDEX([1]respota_rag_adaptativo!$A$2:$A$853, MATCH(_xlfn.CONCAT("*#",[1]analise_resposta!A229,"*"), [1]respota_rag_adaptativo!$C$2:$C$85, 0)), "")</f>
        <v/>
      </c>
      <c r="O229" s="22" t="n"/>
      <c r="P229" s="22">
        <f>IF(N229&lt;&gt;"", IF(AND(C229=N229, D229=O229), "ACERTOU", IF(OR(C229=N229, D229=O229, C229=O229, D229=N229), "PARCIALMENTE", IF(OR(N229="Não há recomendação", O229="Não há recomendação", N229="SEM RECOMENDAÇÃO", O229="SEM RECOMENDAÇÃO"), "NÃO RECOMENDOU", "ERROU"))), "")</f>
        <v/>
      </c>
      <c r="Q229" s="23">
        <f>IFERROR(INDEX([1]resposta_plan_exec!$A$2:$A$121, MATCH(_xlfn.CONCAT("*",[1]analise_resposta!A229,"*"), [1]resposta_plan_exec!$C$2:$C$121, 0)), "")</f>
        <v/>
      </c>
      <c r="R229" s="23">
        <f>IF([1]analise_resposta!A229="", "",
    _xlfn.LET(_xlpm.resultado, IFERROR(INDEX([1]resposta_plan_exec!$B$2:$B$121,
                           MATCH(_xlfn.CONCAT("*", [1]analise_resposta!A229, "*"),
                                   [1]resposta_plan_exec!$C$2:$C$121, 0)), ""),
        IF(_xlpm.resultado="", "", _xlpm.resultado)))</f>
        <v/>
      </c>
      <c r="S229" s="23" t="n"/>
    </row>
    <row r="230">
      <c r="A230" t="n">
        <v>1969</v>
      </c>
      <c r="B230" s="3" t="inlineStr">
        <is>
          <t>Inquérito sobre Discrepância de Faturamento na AWS</t>
        </is>
      </c>
      <c r="C230" s="3" t="inlineStr">
        <is>
          <t>Gerenciamento Financeiro</t>
        </is>
      </c>
      <c r="D230" s="3" t="inlineStr">
        <is>
          <t>Gerenciamento de Incidentes</t>
        </is>
      </c>
      <c r="F230" s="5">
        <f>IFERROR(INDEX([1]resposta_chat_stream!$B$2:$B$34, MATCH(_xlfn.CONCAT("*#",[1]analise_resposta!A230,"*"), [1]resposta_chat_stream!$C$2:$C$34, 0)), "")</f>
        <v/>
      </c>
      <c r="G230" s="6">
        <f>IF(E230&lt;&gt;"", IF(AND(C230=E230, D230=F230), "ACERTOU", IF(OR(C230=E230, D230=F230, C230=F230, D230=E230), "PARCIALMENTE", IF(OR(E230="Não há recomendação", F230="Não há recomendação", E230="SEM RECOMENDAÇÃO", F230="SEM RECOMENDAÇÃO"), "NÃO RECOMENDOU", "ERROU"))), "")</f>
        <v/>
      </c>
      <c r="H230" s="20">
        <f>IFERROR(INDEX([1]reposta_chat!$A$2:$A$121, MATCH(_xlfn.CONCAT("*#",[1]analise_resposta!A230,"*"), [1]reposta_chat!$C$2:$C$121, 0)), "")</f>
        <v/>
      </c>
      <c r="I230" s="20">
        <f>IFERROR(INDEX([1]reposta_chat!$B$2:$B$121, MATCH(_xlfn.CONCAT("*#",[1]analise_resposta!A230,"*"), [1]reposta_chat!$C$2:$C$121, 0)), "")</f>
        <v/>
      </c>
      <c r="J230" s="20">
        <f>IF(H230&lt;&gt;"", IF(AND(C230=H230, D230=I230), "ACERTOU", IF(OR(C230=H230, D230=I230, C230=I230, D230=H230), "PARCIALMENTE", IF(OR(H230="Não há recomendação", I230="Não há recomendação", H230="SEM RECOMENDAÇÃO", I230="SEM RECOMENDAÇÃO"), "NÃO RECOMENDOU", "ERROU"))), "")</f>
        <v/>
      </c>
      <c r="K230" s="21" t="inlineStr">
        <is>
          <t>Gerenciamento Financeiro de Serviços</t>
        </is>
      </c>
      <c r="L230" s="21" t="inlineStr">
        <is>
          <t>Gerenciamento de Capacidade e Desempenho</t>
        </is>
      </c>
      <c r="M230" s="21">
        <f>IF(K230&lt;&gt;"", IF(AND(C230=K230, D230=L230), "ACERTOU", IF(OR(C230=K230, D230=L230, C230=L230, D230=K230), "PARCIALMENTE", IF(OR(K230="Não há recomendação", L230="Não há recomendação", K230="SEM RECOMENDAÇÃO", L230="SEM RECOMENDAÇÃO"), "NÃO RECOMENDOU", "ERROU"))), "")</f>
        <v/>
      </c>
      <c r="N230" s="22">
        <f>IFERROR(INDEX([1]respota_rag_adaptativo!$A$2:$A$853, MATCH(_xlfn.CONCAT("*#",[1]analise_resposta!A230,"*"), [1]respota_rag_adaptativo!$C$2:$C$85, 0)), "")</f>
        <v/>
      </c>
      <c r="O230" s="22" t="n"/>
      <c r="P230" s="22">
        <f>IF(N230&lt;&gt;"", IF(AND(C230=N230, D230=O230), "ACERTOU", IF(OR(C230=N230, D230=O230, C230=O230, D230=N230), "PARCIALMENTE", IF(OR(N230="Não há recomendação", O230="Não há recomendação", N230="SEM RECOMENDAÇÃO", O230="SEM RECOMENDAÇÃO"), "NÃO RECOMENDOU", "ERROU"))), "")</f>
        <v/>
      </c>
      <c r="Q230" s="23">
        <f>IFERROR(INDEX([1]resposta_plan_exec!$A$2:$A$121, MATCH(_xlfn.CONCAT("*",[1]analise_resposta!A230,"*"), [1]resposta_plan_exec!$C$2:$C$121, 0)), "")</f>
        <v/>
      </c>
      <c r="R230" s="23">
        <f>IF([1]analise_resposta!A230="", "",
    _xlfn.LET(_xlpm.resultado, IFERROR(INDEX([1]resposta_plan_exec!$B$2:$B$121,
                           MATCH(_xlfn.CONCAT("*", [1]analise_resposta!A230, "*"),
                                   [1]resposta_plan_exec!$C$2:$C$121, 0)), ""),
        IF(_xlpm.resultado="", "", _xlpm.resultado)))</f>
        <v/>
      </c>
      <c r="S230" s="23" t="n"/>
    </row>
    <row r="231">
      <c r="A231" t="n">
        <v>1985</v>
      </c>
      <c r="B231" s="3" t="inlineStr">
        <is>
          <t>Assistência Urgente Necessária para o Roteador Cisco ISR4331</t>
        </is>
      </c>
      <c r="C231" s="3" t="inlineStr">
        <is>
          <t>Gerenciamento de Incidentes</t>
        </is>
      </c>
      <c r="D231" s="3" t="inlineStr">
        <is>
          <t>Gerenciamento de Ativos de TI</t>
        </is>
      </c>
      <c r="F231" s="5">
        <f>IFERROR(INDEX([1]resposta_chat_stream!$B$2:$B$34, MATCH(_xlfn.CONCAT("*#",[1]analise_resposta!A231,"*"), [1]resposta_chat_stream!$C$2:$C$34, 0)), "")</f>
        <v/>
      </c>
      <c r="G231" s="6">
        <f>IF(E231&lt;&gt;"", IF(AND(C231=E231, D231=F231), "ACERTOU", IF(OR(C231=E231, D231=F231, C231=F231, D231=E231), "PARCIALMENTE", IF(OR(E231="Não há recomendação", F231="Não há recomendação", E231="SEM RECOMENDAÇÃO", F231="SEM RECOMENDAÇÃO"), "NÃO RECOMENDOU", "ERROU"))), "")</f>
        <v/>
      </c>
      <c r="H231" s="20">
        <f>IFERROR(INDEX([1]reposta_chat!$A$2:$A$121, MATCH(_xlfn.CONCAT("*#",[1]analise_resposta!A231,"*"), [1]reposta_chat!$C$2:$C$121, 0)), "")</f>
        <v/>
      </c>
      <c r="I231" s="20">
        <f>IFERROR(INDEX([1]reposta_chat!$B$2:$B$121, MATCH(_xlfn.CONCAT("*#",[1]analise_resposta!A231,"*"), [1]reposta_chat!$C$2:$C$121, 0)), "")</f>
        <v/>
      </c>
      <c r="J231" s="20">
        <f>IF(H231&lt;&gt;"", IF(AND(C231=H231, D231=I231), "ACERTOU", IF(OR(C231=H231, D231=I231, C231=I231, D231=H231), "PARCIALMENTE", IF(OR(H231="Não há recomendação", I231="Não há recomendação", H231="SEM RECOMENDAÇÃO", I231="SEM RECOMENDAÇÃO"), "NÃO RECOMENDOU", "ERROU"))), "")</f>
        <v/>
      </c>
      <c r="K231" s="21" t="inlineStr">
        <is>
          <t>Gerenciamento de Disponibilidade</t>
        </is>
      </c>
      <c r="L231" s="21" t="inlineStr">
        <is>
          <t>Gerenciamento de Problemas</t>
        </is>
      </c>
      <c r="M231" s="21">
        <f>IF(K231&lt;&gt;"", IF(AND(C231=K231, D231=L231), "ACERTOU", IF(OR(C231=K231, D231=L231, C231=L231, D231=K231), "PARCIALMENTE", IF(OR(K231="Não há recomendação", L231="Não há recomendação", K231="SEM RECOMENDAÇÃO", L231="SEM RECOMENDAÇÃO"), "NÃO RECOMENDOU", "ERROU"))), "")</f>
        <v/>
      </c>
      <c r="N231" s="22">
        <f>IFERROR(INDEX([1]respota_rag_adaptativo!$A$2:$A$853, MATCH(_xlfn.CONCAT("*#",[1]analise_resposta!A231,"*"), [1]respota_rag_adaptativo!$C$2:$C$85, 0)), "")</f>
        <v/>
      </c>
      <c r="O231" s="22" t="n"/>
      <c r="P231" s="22">
        <f>IF(N231&lt;&gt;"", IF(AND(C231=N231, D231=O231), "ACERTOU", IF(OR(C231=N231, D231=O231, C231=O231, D231=N231), "PARCIALMENTE", IF(OR(N231="Não há recomendação", O231="Não há recomendação", N231="SEM RECOMENDAÇÃO", O231="SEM RECOMENDAÇÃO"), "NÃO RECOMENDOU", "ERROU"))), "")</f>
        <v/>
      </c>
      <c r="Q231" s="23">
        <f>IFERROR(INDEX([1]resposta_plan_exec!$A$2:$A$121, MATCH(_xlfn.CONCAT("*",[1]analise_resposta!A231,"*"), [1]resposta_plan_exec!$C$2:$C$121, 0)), "")</f>
        <v/>
      </c>
      <c r="R231" s="23">
        <f>IF([1]analise_resposta!A231="", "",
    _xlfn.LET(_xlpm.resultado, IFERROR(INDEX([1]resposta_plan_exec!$B$2:$B$121,
                           MATCH(_xlfn.CONCAT("*", [1]analise_resposta!A231, "*"),
                                   [1]resposta_plan_exec!$C$2:$C$121, 0)), ""),
        IF(_xlpm.resultado="", "", _xlpm.resultado)))</f>
        <v/>
      </c>
      <c r="S231" s="23" t="n"/>
    </row>
    <row r="232">
      <c r="A232" t="n">
        <v>2018</v>
      </c>
      <c r="B232" s="3" t="inlineStr">
        <is>
          <t>Problema de Implantação na Nuvem AWS de Alta Prioridade</t>
        </is>
      </c>
      <c r="C232" s="3" t="inlineStr">
        <is>
          <t>Gerenciamento de Incidentes</t>
        </is>
      </c>
      <c r="D232" s="3" t="inlineStr">
        <is>
          <t>Gerenciamento de Mudanças</t>
        </is>
      </c>
      <c r="F232" s="5">
        <f>IFERROR(INDEX([1]resposta_chat_stream!$B$2:$B$34, MATCH(_xlfn.CONCAT("*#",[1]analise_resposta!A232,"*"), [1]resposta_chat_stream!$C$2:$C$34, 0)), "")</f>
        <v/>
      </c>
      <c r="G232" s="6">
        <f>IF(E232&lt;&gt;"", IF(AND(C232=E232, D232=F232), "ACERTOU", IF(OR(C232=E232, D232=F232, C232=F232, D232=E232), "PARCIALMENTE", IF(OR(E232="Não há recomendação", F232="Não há recomendação", E232="SEM RECOMENDAÇÃO", F232="SEM RECOMENDAÇÃO"), "NÃO RECOMENDOU", "ERROU"))), "")</f>
        <v/>
      </c>
      <c r="H232" s="20">
        <f>IFERROR(INDEX([1]reposta_chat!$A$2:$A$121, MATCH(_xlfn.CONCAT("*#",[1]analise_resposta!A232,"*"), [1]reposta_chat!$C$2:$C$121, 0)), "")</f>
        <v/>
      </c>
      <c r="I232" s="20">
        <f>IFERROR(INDEX([1]reposta_chat!$B$2:$B$121, MATCH(_xlfn.CONCAT("*#",[1]analise_resposta!A232,"*"), [1]reposta_chat!$C$2:$C$121, 0)), "")</f>
        <v/>
      </c>
      <c r="J232" s="20">
        <f>IF(H232&lt;&gt;"", IF(AND(C232=H232, D232=I232), "ACERTOU", IF(OR(C232=H232, D232=I232, C232=I232, D232=H232), "PARCIALMENTE", IF(OR(H232="Não há recomendação", I232="Não há recomendação", H232="SEM RECOMENDAÇÃO", I232="SEM RECOMENDAÇÃO"), "NÃO RECOMENDOU", "ERROU"))), "")</f>
        <v/>
      </c>
      <c r="K232" s="21" t="inlineStr">
        <is>
          <t>Gerenciamento de Infraestrutura e Plataforma</t>
        </is>
      </c>
      <c r="L232" s="21" t="inlineStr">
        <is>
          <t>Habilitação de Mudança</t>
        </is>
      </c>
      <c r="M232" s="21">
        <f>IF(K232&lt;&gt;"", IF(AND(C232=K232, D232=L232), "ACERTOU", IF(OR(C232=K232, D232=L232, C232=L232, D232=K232), "PARCIALMENTE", IF(OR(K232="Não há recomendação", L232="Não há recomendação", K232="SEM RECOMENDAÇÃO", L232="SEM RECOMENDAÇÃO"), "NÃO RECOMENDOU", "ERROU"))), "")</f>
        <v/>
      </c>
      <c r="N232" s="22">
        <f>IFERROR(INDEX([1]respota_rag_adaptativo!$A$2:$A$853, MATCH(_xlfn.CONCAT("*#",[1]analise_resposta!A232,"*"), [1]respota_rag_adaptativo!$C$2:$C$85, 0)), "")</f>
        <v/>
      </c>
      <c r="O232" s="22" t="n"/>
      <c r="P232" s="22">
        <f>IF(N232&lt;&gt;"", IF(AND(C232=N232, D232=O232), "ACERTOU", IF(OR(C232=N232, D232=O232, C232=O232, D232=N232), "PARCIALMENTE", IF(OR(N232="Não há recomendação", O232="Não há recomendação", N232="SEM RECOMENDAÇÃO", O232="SEM RECOMENDAÇÃO"), "NÃO RECOMENDOU", "ERROU"))), "")</f>
        <v/>
      </c>
      <c r="Q232" s="23">
        <f>IFERROR(INDEX([1]resposta_plan_exec!$A$2:$A$121, MATCH(_xlfn.CONCAT("*",[1]analise_resposta!A232,"*"), [1]resposta_plan_exec!$C$2:$C$121, 0)), "")</f>
        <v/>
      </c>
      <c r="R232" s="23">
        <f>IF([1]analise_resposta!A232="", "",
    _xlfn.LET(_xlpm.resultado, IFERROR(INDEX([1]resposta_plan_exec!$B$2:$B$121,
                           MATCH(_xlfn.CONCAT("*", [1]analise_resposta!A232, "*"),
                                   [1]resposta_plan_exec!$C$2:$C$121, 0)), ""),
        IF(_xlpm.resultado="", "", _xlpm.resultado)))</f>
        <v/>
      </c>
      <c r="S232" s="23" t="n"/>
    </row>
    <row r="233">
      <c r="A233" t="n">
        <v>2023</v>
      </c>
      <c r="B233" s="3" t="inlineStr">
        <is>
          <t>Problema com a Impressão da HP DeskJet 3755</t>
        </is>
      </c>
      <c r="C233" s="3" t="inlineStr">
        <is>
          <t>Gerenciamento de Incidentes</t>
        </is>
      </c>
      <c r="D233" s="3" t="inlineStr">
        <is>
          <t>Gerenciamento de Problemas</t>
        </is>
      </c>
      <c r="F233" s="5">
        <f>IFERROR(INDEX([1]resposta_chat_stream!$B$2:$B$34, MATCH(_xlfn.CONCAT("*#",[1]analise_resposta!A233,"*"), [1]resposta_chat_stream!$C$2:$C$34, 0)), "")</f>
        <v/>
      </c>
      <c r="G233" s="6">
        <f>IF(E233&lt;&gt;"", IF(AND(C233=E233, D233=F233), "ACERTOU", IF(OR(C233=E233, D233=F233, C233=F233, D233=E233), "PARCIALMENTE", IF(OR(E233="Não há recomendação", F233="Não há recomendação", E233="SEM RECOMENDAÇÃO", F233="SEM RECOMENDAÇÃO"), "NÃO RECOMENDOU", "ERROU"))), "")</f>
        <v/>
      </c>
      <c r="H233" s="20">
        <f>IFERROR(INDEX([1]reposta_chat!$A$2:$A$121, MATCH(_xlfn.CONCAT("*#",[1]analise_resposta!A233,"*"), [1]reposta_chat!$C$2:$C$121, 0)), "")</f>
        <v/>
      </c>
      <c r="I233" s="20">
        <f>IFERROR(INDEX([1]reposta_chat!$B$2:$B$121, MATCH(_xlfn.CONCAT("*#",[1]analise_resposta!A233,"*"), [1]reposta_chat!$C$2:$C$121, 0)), "")</f>
        <v/>
      </c>
      <c r="J233" s="20">
        <f>IF(H233&lt;&gt;"", IF(AND(C233=H233, D233=I233), "ACERTOU", IF(OR(C233=H233, D233=I233, C233=I233, D233=H233), "PARCIALMENTE", IF(OR(H233="Não há recomendação", I233="Não há recomendação", H233="SEM RECOMENDAÇÃO", I233="SEM RECOMENDAÇÃO"), "NÃO RECOMENDOU", "ERROU"))), "")</f>
        <v/>
      </c>
      <c r="K233" s="21" t="inlineStr">
        <is>
          <t>Gerenciamento de Problemas</t>
        </is>
      </c>
      <c r="L233" s="21" t="inlineStr">
        <is>
          <t>Gerenciamento de Fornecedor</t>
        </is>
      </c>
      <c r="M233" s="21">
        <f>IF(K233&lt;&gt;"", IF(AND(C233=K233, D233=L233), "ACERTOU", IF(OR(C233=K233, D233=L233, C233=L233, D233=K233), "PARCIALMENTE", IF(OR(K233="Não há recomendação", L233="Não há recomendação", K233="SEM RECOMENDAÇÃO", L233="SEM RECOMENDAÇÃO"), "NÃO RECOMENDOU", "ERROU"))), "")</f>
        <v/>
      </c>
      <c r="N233" s="22">
        <f>IFERROR(INDEX([1]respota_rag_adaptativo!$A$2:$A$853, MATCH(_xlfn.CONCAT("*#",[1]analise_resposta!A233,"*"), [1]respota_rag_adaptativo!$C$2:$C$85, 0)), "")</f>
        <v/>
      </c>
      <c r="O233" s="22" t="n"/>
      <c r="P233" s="22">
        <f>IF(N233&lt;&gt;"", IF(AND(C233=N233, D233=O233), "ACERTOU", IF(OR(C233=N233, D233=O233, C233=O233, D233=N233), "PARCIALMENTE", IF(OR(N233="Não há recomendação", O233="Não há recomendação", N233="SEM RECOMENDAÇÃO", O233="SEM RECOMENDAÇÃO"), "NÃO RECOMENDOU", "ERROU"))), "")</f>
        <v/>
      </c>
      <c r="Q233" s="23">
        <f>IFERROR(INDEX([1]resposta_plan_exec!$A$2:$A$121, MATCH(_xlfn.CONCAT("*",[1]analise_resposta!A233,"*"), [1]resposta_plan_exec!$C$2:$C$121, 0)), "")</f>
        <v/>
      </c>
      <c r="R233" s="23">
        <f>IF([1]analise_resposta!A233="", "",
    _xlfn.LET(_xlpm.resultado, IFERROR(INDEX([1]resposta_plan_exec!$B$2:$B$121,
                           MATCH(_xlfn.CONCAT("*", [1]analise_resposta!A233, "*"),
                                   [1]resposta_plan_exec!$C$2:$C$121, 0)), ""),
        IF(_xlpm.resultado="", "", _xlpm.resultado)))</f>
        <v/>
      </c>
      <c r="S233" s="23" t="n"/>
    </row>
    <row r="234">
      <c r="A234" t="n">
        <v>2032</v>
      </c>
      <c r="B234" s="3" t="inlineStr">
        <is>
          <t>Esclarecimento sobre a Taxa de Assinatura</t>
        </is>
      </c>
      <c r="C234" s="3" t="inlineStr">
        <is>
          <t>Gerenciamento Financeiro</t>
        </is>
      </c>
      <c r="D234" s="3" t="inlineStr">
        <is>
          <t>Gerenciamento de Nível de Serviço</t>
        </is>
      </c>
      <c r="F234" s="5">
        <f>IFERROR(INDEX([1]resposta_chat_stream!$B$2:$B$34, MATCH(_xlfn.CONCAT("*#",[1]analise_resposta!A234,"*"), [1]resposta_chat_stream!$C$2:$C$34, 0)), "")</f>
        <v/>
      </c>
      <c r="G234" s="6">
        <f>IF(E234&lt;&gt;"", IF(AND(C234=E234, D234=F234), "ACERTOU", IF(OR(C234=E234, D234=F234, C234=F234, D234=E234), "PARCIALMENTE", IF(OR(E234="Não há recomendação", F234="Não há recomendação", E234="SEM RECOMENDAÇÃO", F234="SEM RECOMENDAÇÃO"), "NÃO RECOMENDOU", "ERROU"))), "")</f>
        <v/>
      </c>
      <c r="H234" s="20">
        <f>IFERROR(INDEX([1]reposta_chat!$A$2:$A$121, MATCH(_xlfn.CONCAT("*#",[1]analise_resposta!A234,"*"), [1]reposta_chat!$C$2:$C$121, 0)), "")</f>
        <v/>
      </c>
      <c r="I234" s="20">
        <f>IFERROR(INDEX([1]reposta_chat!$B$2:$B$121, MATCH(_xlfn.CONCAT("*#",[1]analise_resposta!A234,"*"), [1]reposta_chat!$C$2:$C$121, 0)), "")</f>
        <v/>
      </c>
      <c r="J234" s="20">
        <f>IF(H234&lt;&gt;"", IF(AND(C234=H234, D234=I234), "ACERTOU", IF(OR(C234=H234, D234=I234, C234=I234, D234=H234), "PARCIALMENTE", IF(OR(H234="Não há recomendação", I234="Não há recomendação", H234="SEM RECOMENDAÇÃO", I234="SEM RECOMENDAÇÃO"), "NÃO RECOMENDOU", "ERROU"))), "")</f>
        <v/>
      </c>
      <c r="K234" s="21" t="inlineStr">
        <is>
          <t>Gerenciamento de Relacionamento</t>
        </is>
      </c>
      <c r="L234" s="21" t="inlineStr">
        <is>
          <t>Gerenciamento Financeiro de Serviços</t>
        </is>
      </c>
      <c r="M234" s="21">
        <f>IF(K234&lt;&gt;"", IF(AND(C234=K234, D234=L234), "ACERTOU", IF(OR(C234=K234, D234=L234, C234=L234, D234=K234), "PARCIALMENTE", IF(OR(K234="Não há recomendação", L234="Não há recomendação", K234="SEM RECOMENDAÇÃO", L234="SEM RECOMENDAÇÃO"), "NÃO RECOMENDOU", "ERROU"))), "")</f>
        <v/>
      </c>
      <c r="N234" s="22">
        <f>IFERROR(INDEX([1]respota_rag_adaptativo!$A$2:$A$853, MATCH(_xlfn.CONCAT("*#",[1]analise_resposta!A234,"*"), [1]respota_rag_adaptativo!$C$2:$C$85, 0)), "")</f>
        <v/>
      </c>
      <c r="O234" s="22" t="n"/>
      <c r="P234" s="22">
        <f>IF(N234&lt;&gt;"", IF(AND(C234=N234, D234=O234), "ACERTOU", IF(OR(C234=N234, D234=O234, C234=O234, D234=N234), "PARCIALMENTE", IF(OR(N234="Não há recomendação", O234="Não há recomendação", N234="SEM RECOMENDAÇÃO", O234="SEM RECOMENDAÇÃO"), "NÃO RECOMENDOU", "ERROU"))), "")</f>
        <v/>
      </c>
      <c r="Q234" s="23">
        <f>IFERROR(INDEX([1]resposta_plan_exec!$A$2:$A$121, MATCH(_xlfn.CONCAT("*",[1]analise_resposta!A234,"*"), [1]resposta_plan_exec!$C$2:$C$121, 0)), "")</f>
        <v/>
      </c>
      <c r="R234" s="23">
        <f>IF([1]analise_resposta!A234="", "",
    _xlfn.LET(_xlpm.resultado, IFERROR(INDEX([1]resposta_plan_exec!$B$2:$B$121,
                           MATCH(_xlfn.CONCAT("*", [1]analise_resposta!A234, "*"),
                                   [1]resposta_plan_exec!$C$2:$C$121, 0)), ""),
        IF(_xlpm.resultado="", "", _xlpm.resultado)))</f>
        <v/>
      </c>
      <c r="S234" s="23" t="n"/>
    </row>
    <row r="235">
      <c r="A235" t="n">
        <v>2054</v>
      </c>
      <c r="B235" s="3" t="inlineStr">
        <is>
          <t>Problemas de Conectividade Durante Chamadas de Vídeo no Zoom</t>
        </is>
      </c>
      <c r="C235" s="3" t="inlineStr">
        <is>
          <t>Gerenciamento de Incidentes</t>
        </is>
      </c>
      <c r="D235" s="3" t="inlineStr">
        <is>
          <t>Gerenciamento de Problemas</t>
        </is>
      </c>
      <c r="F235" s="5">
        <f>IFERROR(INDEX([1]resposta_chat_stream!$B$2:$B$34, MATCH(_xlfn.CONCAT("*#",[1]analise_resposta!A235,"*"), [1]resposta_chat_stream!$C$2:$C$34, 0)), "")</f>
        <v/>
      </c>
      <c r="G235" s="6">
        <f>IF(E235&lt;&gt;"", IF(AND(C235=E235, D235=F235), "ACERTOU", IF(OR(C235=E235, D235=F235, C235=F235, D235=E235), "PARCIALMENTE", IF(OR(E235="Não há recomendação", F235="Não há recomendação", E235="SEM RECOMENDAÇÃO", F235="SEM RECOMENDAÇÃO"), "NÃO RECOMENDOU", "ERROU"))), "")</f>
        <v/>
      </c>
      <c r="H235" s="20">
        <f>IFERROR(INDEX([1]reposta_chat!$A$2:$A$121, MATCH(_xlfn.CONCAT("*#",[1]analise_resposta!A235,"*"), [1]reposta_chat!$C$2:$C$121, 0)), "")</f>
        <v/>
      </c>
      <c r="I235" s="20">
        <f>IFERROR(INDEX([1]reposta_chat!$B$2:$B$121, MATCH(_xlfn.CONCAT("*#",[1]analise_resposta!A235,"*"), [1]reposta_chat!$C$2:$C$121, 0)), "")</f>
        <v/>
      </c>
      <c r="J235" s="20">
        <f>IF(H235&lt;&gt;"", IF(AND(C235=H235, D235=I235), "ACERTOU", IF(OR(C235=H235, D235=I235, C235=I235, D235=H235), "PARCIALMENTE", IF(OR(H235="Não há recomendação", I235="Não há recomendação", H235="SEM RECOMENDAÇÃO", I235="SEM RECOMENDAÇÃO"), "NÃO RECOMENDOU", "ERROU"))), "")</f>
        <v/>
      </c>
      <c r="K235" s="21" t="inlineStr">
        <is>
          <t>Gerenciamento de Infraestrutura e Plataforma</t>
        </is>
      </c>
      <c r="L235" s="21" t="inlineStr">
        <is>
          <t>Gerenciamento de Problemas</t>
        </is>
      </c>
      <c r="M235" s="21">
        <f>IF(K235&lt;&gt;"", IF(AND(C235=K235, D235=L235), "ACERTOU", IF(OR(C235=K235, D235=L235, C235=L235, D235=K235), "PARCIALMENTE", IF(OR(K235="Não há recomendação", L235="Não há recomendação", K235="SEM RECOMENDAÇÃO", L235="SEM RECOMENDAÇÃO"), "NÃO RECOMENDOU", "ERROU"))), "")</f>
        <v/>
      </c>
      <c r="N235" s="22">
        <f>IFERROR(INDEX([1]respota_rag_adaptativo!$A$2:$A$853, MATCH(_xlfn.CONCAT("*#",[1]analise_resposta!A235,"*"), [1]respota_rag_adaptativo!$C$2:$C$85, 0)), "")</f>
        <v/>
      </c>
      <c r="O235" s="22" t="n"/>
      <c r="P235" s="22">
        <f>IF(N235&lt;&gt;"", IF(AND(C235=N235, D235=O235), "ACERTOU", IF(OR(C235=N235, D235=O235, C235=O235, D235=N235), "PARCIALMENTE", IF(OR(N235="Não há recomendação", O235="Não há recomendação", N235="SEM RECOMENDAÇÃO", O235="SEM RECOMENDAÇÃO"), "NÃO RECOMENDOU", "ERROU"))), "")</f>
        <v/>
      </c>
      <c r="Q235" s="23">
        <f>IFERROR(INDEX([1]resposta_plan_exec!$A$2:$A$121, MATCH(_xlfn.CONCAT("*",[1]analise_resposta!A235,"*"), [1]resposta_plan_exec!$C$2:$C$121, 0)), "")</f>
        <v/>
      </c>
      <c r="R235" s="23">
        <f>IF([1]analise_resposta!A235="", "",
    _xlfn.LET(_xlpm.resultado, IFERROR(INDEX([1]resposta_plan_exec!$B$2:$B$121,
                           MATCH(_xlfn.CONCAT("*", [1]analise_resposta!A235, "*"),
                                   [1]resposta_plan_exec!$C$2:$C$121, 0)), ""),
        IF(_xlpm.resultado="", "", _xlpm.resultado)))</f>
        <v/>
      </c>
      <c r="S235" s="23" t="n"/>
    </row>
    <row r="236">
      <c r="A236" t="n">
        <v>2061</v>
      </c>
      <c r="B236" s="3" t="inlineStr">
        <is>
          <t>Solicitação de Atualização do Zoom</t>
        </is>
      </c>
      <c r="C236" s="3" t="inlineStr">
        <is>
          <t>Solicitação de Serviço</t>
        </is>
      </c>
      <c r="D236" s="3" t="inlineStr">
        <is>
          <t>Gerenciamento de Segurança</t>
        </is>
      </c>
      <c r="F236" s="5">
        <f>IFERROR(INDEX([1]resposta_chat_stream!$B$2:$B$34, MATCH(_xlfn.CONCAT("*#",[1]analise_resposta!A236,"*"), [1]resposta_chat_stream!$C$2:$C$34, 0)), "")</f>
        <v/>
      </c>
      <c r="G236" s="6">
        <f>IF(E236&lt;&gt;"", IF(AND(C236=E236, D236=F236), "ACERTOU", IF(OR(C236=E236, D236=F236, C236=F236, D236=E236), "PARCIALMENTE", IF(OR(E236="Não há recomendação", F236="Não há recomendação", E236="SEM RECOMENDAÇÃO", F236="SEM RECOMENDAÇÃO"), "NÃO RECOMENDOU", "ERROU"))), "")</f>
        <v/>
      </c>
      <c r="H236" s="20">
        <f>IFERROR(INDEX([1]reposta_chat!$A$2:$A$121, MATCH(_xlfn.CONCAT("*#",[1]analise_resposta!A236,"*"), [1]reposta_chat!$C$2:$C$121, 0)), "")</f>
        <v/>
      </c>
      <c r="I236" s="20">
        <f>IFERROR(INDEX([1]reposta_chat!$B$2:$B$121, MATCH(_xlfn.CONCAT("*#",[1]analise_resposta!A236,"*"), [1]reposta_chat!$C$2:$C$121, 0)), "")</f>
        <v/>
      </c>
      <c r="J236" s="20">
        <f>IF(H236&lt;&gt;"", IF(AND(C236=H236, D236=I236), "ACERTOU", IF(OR(C236=H236, D236=I236, C236=I236, D236=H236), "PARCIALMENTE", IF(OR(H236="Não há recomendação", I236="Não há recomendação", H236="SEM RECOMENDAÇÃO", I236="SEM RECOMENDAÇÃO"), "NÃO RECOMENDOU", "ERROU"))), "")</f>
        <v/>
      </c>
      <c r="K236" s="21" t="inlineStr">
        <is>
          <t>Habilitação de Mudança</t>
        </is>
      </c>
      <c r="L236" s="21" t="inlineStr">
        <is>
          <t>Gerenciamento de Segurança da Informação</t>
        </is>
      </c>
      <c r="M236" s="21">
        <f>IF(K236&lt;&gt;"", IF(AND(C236=K236, D236=L236), "ACERTOU", IF(OR(C236=K236, D236=L236, C236=L236, D236=K236), "PARCIALMENTE", IF(OR(K236="Não há recomendação", L236="Não há recomendação", K236="SEM RECOMENDAÇÃO", L236="SEM RECOMENDAÇÃO"), "NÃO RECOMENDOU", "ERROU"))), "")</f>
        <v/>
      </c>
      <c r="N236" s="22">
        <f>IFERROR(INDEX([1]respota_rag_adaptativo!$A$2:$A$853, MATCH(_xlfn.CONCAT("*#",[1]analise_resposta!A236,"*"), [1]respota_rag_adaptativo!$C$2:$C$85, 0)), "")</f>
        <v/>
      </c>
      <c r="O236" s="22" t="n"/>
      <c r="P236" s="22">
        <f>IF(N236&lt;&gt;"", IF(AND(C236=N236, D236=O236), "ACERTOU", IF(OR(C236=N236, D236=O236, C236=O236, D236=N236), "PARCIALMENTE", IF(OR(N236="Não há recomendação", O236="Não há recomendação", N236="SEM RECOMENDAÇÃO", O236="SEM RECOMENDAÇÃO"), "NÃO RECOMENDOU", "ERROU"))), "")</f>
        <v/>
      </c>
      <c r="Q236" s="23">
        <f>IFERROR(INDEX([1]resposta_plan_exec!$A$2:$A$121, MATCH(_xlfn.CONCAT("*",[1]analise_resposta!A236,"*"), [1]resposta_plan_exec!$C$2:$C$121, 0)), "")</f>
        <v/>
      </c>
      <c r="R236" s="23">
        <f>IF([1]analise_resposta!A236="", "",
    _xlfn.LET(_xlpm.resultado, IFERROR(INDEX([1]resposta_plan_exec!$B$2:$B$121,
                           MATCH(_xlfn.CONCAT("*", [1]analise_resposta!A236, "*"),
                                   [1]resposta_plan_exec!$C$2:$C$121, 0)), ""),
        IF(_xlpm.resultado="", "", _xlpm.resultado)))</f>
        <v/>
      </c>
      <c r="S236" s="23" t="n"/>
    </row>
    <row r="237">
      <c r="A237" t="n">
        <v>2080</v>
      </c>
      <c r="B237" s="3" t="inlineStr">
        <is>
          <t>Pedido de Troca: Dell XPS 13 9310</t>
        </is>
      </c>
      <c r="C237" s="3" t="inlineStr">
        <is>
          <t>Solicitação de Serviço</t>
        </is>
      </c>
      <c r="D237" s="3" t="inlineStr">
        <is>
          <t>Gerenciamento de Ativos de TI</t>
        </is>
      </c>
      <c r="F237" s="5">
        <f>IFERROR(INDEX([1]resposta_chat_stream!$B$2:$B$34, MATCH(_xlfn.CONCAT("*#",[1]analise_resposta!A237,"*"), [1]resposta_chat_stream!$C$2:$C$34, 0)), "")</f>
        <v/>
      </c>
      <c r="G237" s="6">
        <f>IF(E237&lt;&gt;"", IF(AND(C237=E237, D237=F237), "ACERTOU", IF(OR(C237=E237, D237=F237, C237=F237, D237=E237), "PARCIALMENTE", IF(OR(E237="Não há recomendação", F237="Não há recomendação", E237="SEM RECOMENDAÇÃO", F237="SEM RECOMENDAÇÃO"), "NÃO RECOMENDOU", "ERROU"))), "")</f>
        <v/>
      </c>
      <c r="H237" s="20">
        <f>IFERROR(INDEX([1]reposta_chat!$A$2:$A$121, MATCH(_xlfn.CONCAT("*#",[1]analise_resposta!A237,"*"), [1]reposta_chat!$C$2:$C$121, 0)), "")</f>
        <v/>
      </c>
      <c r="I237" s="20">
        <f>IFERROR(INDEX([1]reposta_chat!$B$2:$B$121, MATCH(_xlfn.CONCAT("*#",[1]analise_resposta!A237,"*"), [1]reposta_chat!$C$2:$C$121, 0)), "")</f>
        <v/>
      </c>
      <c r="J237" s="20">
        <f>IF(H237&lt;&gt;"", IF(AND(C237=H237, D237=I237), "ACERTOU", IF(OR(C237=H237, D237=I237, C237=I237, D237=H237), "PARCIALMENTE", IF(OR(H237="Não há recomendação", I237="Não há recomendação", H237="SEM RECOMENDAÇÃO", I237="SEM RECOMENDAÇÃO"), "NÃO RECOMENDOU", "ERROU"))), "")</f>
        <v/>
      </c>
      <c r="K237" s="21" t="inlineStr">
        <is>
          <t>Validação e Teste de Serviço</t>
        </is>
      </c>
      <c r="L237" s="21" t="inlineStr">
        <is>
          <t>Gerenciamento de Fornecedor</t>
        </is>
      </c>
      <c r="M237" s="21">
        <f>IF(K237&lt;&gt;"", IF(AND(C237=K237, D237=L237), "ACERTOU", IF(OR(C237=K237, D237=L237, C237=L237, D237=K237), "PARCIALMENTE", IF(OR(K237="Não há recomendação", L237="Não há recomendação", K237="SEM RECOMENDAÇÃO", L237="SEM RECOMENDAÇÃO"), "NÃO RECOMENDOU", "ERROU"))), "")</f>
        <v/>
      </c>
      <c r="N237" s="22">
        <f>IFERROR(INDEX([1]respota_rag_adaptativo!$A$2:$A$853, MATCH(_xlfn.CONCAT("*#",[1]analise_resposta!A237,"*"), [1]respota_rag_adaptativo!$C$2:$C$85, 0)), "")</f>
        <v/>
      </c>
      <c r="O237" s="22" t="n"/>
      <c r="P237" s="22">
        <f>IF(N237&lt;&gt;"", IF(AND(C237=N237, D237=O237), "ACERTOU", IF(OR(C237=N237, D237=O237, C237=O237, D237=N237), "PARCIALMENTE", IF(OR(N237="Não há recomendação", O237="Não há recomendação", N237="SEM RECOMENDAÇÃO", O237="SEM RECOMENDAÇÃO"), "NÃO RECOMENDOU", "ERROU"))), "")</f>
        <v/>
      </c>
      <c r="Q237" s="23">
        <f>IFERROR(INDEX([1]resposta_plan_exec!$A$2:$A$121, MATCH(_xlfn.CONCAT("*",[1]analise_resposta!A237,"*"), [1]resposta_plan_exec!$C$2:$C$121, 0)), "")</f>
        <v/>
      </c>
      <c r="R237" s="23">
        <f>IF([1]analise_resposta!A237="", "",
    _xlfn.LET(_xlpm.resultado, IFERROR(INDEX([1]resposta_plan_exec!$B$2:$B$121,
                           MATCH(_xlfn.CONCAT("*", [1]analise_resposta!A237, "*"),
                                   [1]resposta_plan_exec!$C$2:$C$121, 0)), ""),
        IF(_xlpm.resultado="", "", _xlpm.resultado)))</f>
        <v/>
      </c>
      <c r="S237" s="23" t="n"/>
    </row>
    <row r="238">
      <c r="A238" t="n">
        <v>2115</v>
      </c>
      <c r="B238" s="3" t="inlineStr">
        <is>
          <t>Problema com notificações do Jira</t>
        </is>
      </c>
      <c r="C238" s="3" t="inlineStr">
        <is>
          <t>Gerenciamento de Incidentes</t>
        </is>
      </c>
      <c r="D238" s="3" t="inlineStr">
        <is>
          <t>Gerenciamento de Problemas</t>
        </is>
      </c>
      <c r="F238" s="5">
        <f>IFERROR(INDEX([1]resposta_chat_stream!$B$2:$B$34, MATCH(_xlfn.CONCAT("*#",[1]analise_resposta!A238,"*"), [1]resposta_chat_stream!$C$2:$C$34, 0)), "")</f>
        <v/>
      </c>
      <c r="G238" s="6">
        <f>IF(E238&lt;&gt;"", IF(AND(C238=E238, D238=F238), "ACERTOU", IF(OR(C238=E238, D238=F238, C238=F238, D238=E238), "PARCIALMENTE", IF(OR(E238="Não há recomendação", F238="Não há recomendação", E238="SEM RECOMENDAÇÃO", F238="SEM RECOMENDAÇÃO"), "NÃO RECOMENDOU", "ERROU"))), "")</f>
        <v/>
      </c>
      <c r="H238" s="20">
        <f>IFERROR(INDEX([1]reposta_chat!$A$2:$A$121, MATCH(_xlfn.CONCAT("*#",[1]analise_resposta!A238,"*"), [1]reposta_chat!$C$2:$C$121, 0)), "")</f>
        <v/>
      </c>
      <c r="I238" s="20">
        <f>IFERROR(INDEX([1]reposta_chat!$B$2:$B$121, MATCH(_xlfn.CONCAT("*#",[1]analise_resposta!A238,"*"), [1]reposta_chat!$C$2:$C$121, 0)), "")</f>
        <v/>
      </c>
      <c r="J238" s="20">
        <f>IF(H238&lt;&gt;"", IF(AND(C238=H238, D238=I238), "ACERTOU", IF(OR(C238=H238, D238=I238, C238=I238, D238=H238), "PARCIALMENTE", IF(OR(H238="Não há recomendação", I238="Não há recomendação", H238="SEM RECOMENDAÇÃO", I238="SEM RECOMENDAÇÃO"), "NÃO RECOMENDOU", "ERROU"))), "")</f>
        <v/>
      </c>
      <c r="K238" s="21" t="inlineStr">
        <is>
          <t>Gerenciamento de Configuração de Serviço</t>
        </is>
      </c>
      <c r="L238" s="21" t="inlineStr">
        <is>
          <t>Gerenciamento de Problemas</t>
        </is>
      </c>
      <c r="M238" s="21">
        <f>IF(K238&lt;&gt;"", IF(AND(C238=K238, D238=L238), "ACERTOU", IF(OR(C238=K238, D238=L238, C238=L238, D238=K238), "PARCIALMENTE", IF(OR(K238="Não há recomendação", L238="Não há recomendação", K238="SEM RECOMENDAÇÃO", L238="SEM RECOMENDAÇÃO"), "NÃO RECOMENDOU", "ERROU"))), "")</f>
        <v/>
      </c>
      <c r="N238" s="22">
        <f>IFERROR(INDEX([1]respota_rag_adaptativo!$A$2:$A$853, MATCH(_xlfn.CONCAT("*#",[1]analise_resposta!A238,"*"), [1]respota_rag_adaptativo!$C$2:$C$85, 0)), "")</f>
        <v/>
      </c>
      <c r="O238" s="22" t="n"/>
      <c r="P238" s="22">
        <f>IF(N238&lt;&gt;"", IF(AND(C238=N238, D238=O238), "ACERTOU", IF(OR(C238=N238, D238=O238, C238=O238, D238=N238), "PARCIALMENTE", IF(OR(N238="Não há recomendação", O238="Não há recomendação", N238="SEM RECOMENDAÇÃO", O238="SEM RECOMENDAÇÃO"), "NÃO RECOMENDOU", "ERROU"))), "")</f>
        <v/>
      </c>
      <c r="Q238" s="23">
        <f>IFERROR(INDEX([1]resposta_plan_exec!$A$2:$A$121, MATCH(_xlfn.CONCAT("*",[1]analise_resposta!A238,"*"), [1]resposta_plan_exec!$C$2:$C$121, 0)), "")</f>
        <v/>
      </c>
      <c r="R238" s="23">
        <f>IF([1]analise_resposta!A238="", "",
    _xlfn.LET(_xlpm.resultado, IFERROR(INDEX([1]resposta_plan_exec!$B$2:$B$121,
                           MATCH(_xlfn.CONCAT("*", [1]analise_resposta!A238, "*"),
                                   [1]resposta_plan_exec!$C$2:$C$121, 0)), ""),
        IF(_xlpm.resultado="", "", _xlpm.resultado)))</f>
        <v/>
      </c>
      <c r="S238" s="23" t="n"/>
    </row>
    <row r="239">
      <c r="A239" t="n">
        <v>2125</v>
      </c>
      <c r="B239" s="3" t="inlineStr">
        <is>
          <t>Precisamos de Assistência para Resposta Lenta a Consultas no MySQL 8.0.30</t>
        </is>
      </c>
      <c r="C239" s="3" t="inlineStr">
        <is>
          <t>Gerenciamento de Incidentes</t>
        </is>
      </c>
      <c r="D239" s="3" t="inlineStr">
        <is>
          <t>Gerenciamento de Capacidade</t>
        </is>
      </c>
      <c r="F239" s="5">
        <f>IFERROR(INDEX([1]resposta_chat_stream!$B$2:$B$34, MATCH(_xlfn.CONCAT("*#",[1]analise_resposta!A239,"*"), [1]resposta_chat_stream!$C$2:$C$34, 0)), "")</f>
        <v/>
      </c>
      <c r="G239" s="6">
        <f>IF(E239&lt;&gt;"", IF(AND(C239=E239, D239=F239), "ACERTOU", IF(OR(C239=E239, D239=F239, C239=F239, D239=E239), "PARCIALMENTE", IF(OR(E239="Não há recomendação", F239="Não há recomendação", E239="SEM RECOMENDAÇÃO", F239="SEM RECOMENDAÇÃO"), "NÃO RECOMENDOU", "ERROU"))), "")</f>
        <v/>
      </c>
      <c r="H239" s="20">
        <f>IFERROR(INDEX([1]reposta_chat!$A$2:$A$121, MATCH(_xlfn.CONCAT("*#",[1]analise_resposta!A239,"*"), [1]reposta_chat!$C$2:$C$121, 0)), "")</f>
        <v/>
      </c>
      <c r="I239" s="20">
        <f>IFERROR(INDEX([1]reposta_chat!$B$2:$B$121, MATCH(_xlfn.CONCAT("*#",[1]analise_resposta!A239,"*"), [1]reposta_chat!$C$2:$C$121, 0)), "")</f>
        <v/>
      </c>
      <c r="J239" s="20">
        <f>IF(H239&lt;&gt;"", IF(AND(C239=H239, D239=I239), "ACERTOU", IF(OR(C239=H239, D239=I239, C239=I239, D239=H239), "PARCIALMENTE", IF(OR(H239="Não há recomendação", I239="Não há recomendação", H239="SEM RECOMENDAÇÃO", I239="SEM RECOMENDAÇÃO"), "NÃO RECOMENDOU", "ERROU"))), "")</f>
        <v/>
      </c>
      <c r="K239" s="21" t="inlineStr">
        <is>
          <t>Gerenciamento de Capacidade e Desempenho</t>
        </is>
      </c>
      <c r="L239" s="21" t="inlineStr">
        <is>
          <t>Gerenciamento de Problemas</t>
        </is>
      </c>
      <c r="M239" s="21">
        <f>IF(K239&lt;&gt;"", IF(AND(C239=K239, D239=L239), "ACERTOU", IF(OR(C239=K239, D239=L239, C239=L239, D239=K239), "PARCIALMENTE", IF(OR(K239="Não há recomendação", L239="Não há recomendação", K239="SEM RECOMENDAÇÃO", L239="SEM RECOMENDAÇÃO"), "NÃO RECOMENDOU", "ERROU"))), "")</f>
        <v/>
      </c>
      <c r="N239" s="22">
        <f>IFERROR(INDEX([1]respota_rag_adaptativo!$A$2:$A$853, MATCH(_xlfn.CONCAT("*#",[1]analise_resposta!A239,"*"), [1]respota_rag_adaptativo!$C$2:$C$85, 0)), "")</f>
        <v/>
      </c>
      <c r="O239" s="22" t="n"/>
      <c r="P239" s="22">
        <f>IF(N239&lt;&gt;"", IF(AND(C239=N239, D239=O239), "ACERTOU", IF(OR(C239=N239, D239=O239, C239=O239, D239=N239), "PARCIALMENTE", IF(OR(N239="Não há recomendação", O239="Não há recomendação", N239="SEM RECOMENDAÇÃO", O239="SEM RECOMENDAÇÃO"), "NÃO RECOMENDOU", "ERROU"))), "")</f>
        <v/>
      </c>
      <c r="Q239" s="23">
        <f>IFERROR(INDEX([1]resposta_plan_exec!$A$2:$A$121, MATCH(_xlfn.CONCAT("*",[1]analise_resposta!A239,"*"), [1]resposta_plan_exec!$C$2:$C$121, 0)), "")</f>
        <v/>
      </c>
      <c r="R239" s="23">
        <f>IF([1]analise_resposta!A239="", "",
    _xlfn.LET(_xlpm.resultado, IFERROR(INDEX([1]resposta_plan_exec!$B$2:$B$121,
                           MATCH(_xlfn.CONCAT("*", [1]analise_resposta!A239, "*"),
                                   [1]resposta_plan_exec!$C$2:$C$121, 0)), ""),
        IF(_xlpm.resultado="", "", _xlpm.resultado)))</f>
        <v/>
      </c>
      <c r="S239" s="23" t="n"/>
    </row>
    <row r="240">
      <c r="A240" t="n">
        <v>2143</v>
      </c>
      <c r="B240" s="3" t="inlineStr">
        <is>
          <t>Urgente: Problema de Downtime da AWS</t>
        </is>
      </c>
      <c r="C240" s="3" t="inlineStr">
        <is>
          <t>Gerenciamento de Incidentes</t>
        </is>
      </c>
      <c r="D240" s="3" t="inlineStr">
        <is>
          <t>Gerenciamento de Disponibilidade</t>
        </is>
      </c>
      <c r="F240" s="5">
        <f>IFERROR(INDEX([1]resposta_chat_stream!$B$2:$B$34, MATCH(_xlfn.CONCAT("*#",[1]analise_resposta!A240,"*"), [1]resposta_chat_stream!$C$2:$C$34, 0)), "")</f>
        <v/>
      </c>
      <c r="G240" s="6">
        <f>IF(E240&lt;&gt;"", IF(AND(C240=E240, D240=F240), "ACERTOU", IF(OR(C240=E240, D240=F240, C240=F240, D240=E240), "PARCIALMENTE", IF(OR(E240="Não há recomendação", F240="Não há recomendação", E240="SEM RECOMENDAÇÃO", F240="SEM RECOMENDAÇÃO"), "NÃO RECOMENDOU", "ERROU"))), "")</f>
        <v/>
      </c>
      <c r="H240" s="20">
        <f>IFERROR(INDEX([1]reposta_chat!$A$2:$A$121, MATCH(_xlfn.CONCAT("*#",[1]analise_resposta!A240,"*"), [1]reposta_chat!$C$2:$C$121, 0)), "")</f>
        <v/>
      </c>
      <c r="I240" s="20">
        <f>IFERROR(INDEX([1]reposta_chat!$B$2:$B$121, MATCH(_xlfn.CONCAT("*#",[1]analise_resposta!A240,"*"), [1]reposta_chat!$C$2:$C$121, 0)), "")</f>
        <v/>
      </c>
      <c r="J240" s="20">
        <f>IF(H240&lt;&gt;"", IF(AND(C240=H240, D240=I240), "ACERTOU", IF(OR(C240=H240, D240=I240, C240=I240, D240=H240), "PARCIALMENTE", IF(OR(H240="Não há recomendação", I240="Não há recomendação", H240="SEM RECOMENDAÇÃO", I240="SEM RECOMENDAÇÃO"), "NÃO RECOMENDOU", "ERROU"))), "")</f>
        <v/>
      </c>
      <c r="K240" s="21" t="inlineStr">
        <is>
          <t>Gerenciamento de Continuidade de Serviço</t>
        </is>
      </c>
      <c r="L240" s="21" t="inlineStr">
        <is>
          <t>Gerenciamento de Disponibilidade</t>
        </is>
      </c>
      <c r="M240" s="21">
        <f>IF(K240&lt;&gt;"", IF(AND(C240=K240, D240=L240), "ACERTOU", IF(OR(C240=K240, D240=L240, C240=L240, D240=K240), "PARCIALMENTE", IF(OR(K240="Não há recomendação", L240="Não há recomendação", K240="SEM RECOMENDAÇÃO", L240="SEM RECOMENDAÇÃO"), "NÃO RECOMENDOU", "ERROU"))), "")</f>
        <v/>
      </c>
      <c r="N240" s="22">
        <f>IFERROR(INDEX([1]respota_rag_adaptativo!$A$2:$A$853, MATCH(_xlfn.CONCAT("*#",[1]analise_resposta!A240,"*"), [1]respota_rag_adaptativo!$C$2:$C$85, 0)), "")</f>
        <v/>
      </c>
      <c r="O240" s="22" t="n"/>
      <c r="P240" s="22">
        <f>IF(N240&lt;&gt;"", IF(AND(C240=N240, D240=O240), "ACERTOU", IF(OR(C240=N240, D240=O240, C240=O240, D240=N240), "PARCIALMENTE", IF(OR(N240="Não há recomendação", O240="Não há recomendação", N240="SEM RECOMENDAÇÃO", O240="SEM RECOMENDAÇÃO"), "NÃO RECOMENDOU", "ERROU"))), "")</f>
        <v/>
      </c>
      <c r="Q240" s="23">
        <f>IFERROR(INDEX([1]resposta_plan_exec!$A$2:$A$121, MATCH(_xlfn.CONCAT("*",[1]analise_resposta!A240,"*"), [1]resposta_plan_exec!$C$2:$C$121, 0)), "")</f>
        <v/>
      </c>
      <c r="R240" s="23">
        <f>IF([1]analise_resposta!A240="", "",
    _xlfn.LET(_xlpm.resultado, IFERROR(INDEX([1]resposta_plan_exec!$B$2:$B$121,
                           MATCH(_xlfn.CONCAT("*", [1]analise_resposta!A240, "*"),
                                   [1]resposta_plan_exec!$C$2:$C$121, 0)), ""),
        IF(_xlpm.resultado="", "", _xlpm.resultado)))</f>
        <v/>
      </c>
      <c r="S240" s="23" t="n"/>
    </row>
    <row r="241">
      <c r="A241" t="n">
        <v>2149</v>
      </c>
      <c r="B241" s="3" t="inlineStr">
        <is>
          <t>Problema de Cobrança Duplicada na Compra</t>
        </is>
      </c>
      <c r="C241" s="3" t="inlineStr">
        <is>
          <t>Gerenciamento Financeiro</t>
        </is>
      </c>
      <c r="D241" s="3" t="inlineStr">
        <is>
          <t>Gerenciamento de Incidentes</t>
        </is>
      </c>
      <c r="F241" s="5">
        <f>IFERROR(INDEX([1]resposta_chat_stream!$B$2:$B$34, MATCH(_xlfn.CONCAT("*#",[1]analise_resposta!A241,"*"), [1]resposta_chat_stream!$C$2:$C$34, 0)), "")</f>
        <v/>
      </c>
      <c r="G241" s="6">
        <f>IF(E241&lt;&gt;"", IF(AND(C241=E241, D241=F241), "ACERTOU", IF(OR(C241=E241, D241=F241, C241=F241, D241=E241), "PARCIALMENTE", IF(OR(E241="Não há recomendação", F241="Não há recomendação", E241="SEM RECOMENDAÇÃO", F241="SEM RECOMENDAÇÃO"), "NÃO RECOMENDOU", "ERROU"))), "")</f>
        <v/>
      </c>
      <c r="H241" s="20">
        <f>IFERROR(INDEX([1]reposta_chat!$A$2:$A$121, MATCH(_xlfn.CONCAT("*#",[1]analise_resposta!A241,"*"), [1]reposta_chat!$C$2:$C$121, 0)), "")</f>
        <v/>
      </c>
      <c r="I241" s="20">
        <f>IFERROR(INDEX([1]reposta_chat!$B$2:$B$121, MATCH(_xlfn.CONCAT("*#",[1]analise_resposta!A241,"*"), [1]reposta_chat!$C$2:$C$121, 0)), "")</f>
        <v/>
      </c>
      <c r="J241" s="20">
        <f>IF(H241&lt;&gt;"", IF(AND(C241=H241, D241=I241), "ACERTOU", IF(OR(C241=H241, D241=I241, C241=I241, D241=H241), "PARCIALMENTE", IF(OR(H241="Não há recomendação", I241="Não há recomendação", H241="SEM RECOMENDAÇÃO", I241="SEM RECOMENDAÇÃO"), "NÃO RECOMENDOU", "ERROU"))), "")</f>
        <v/>
      </c>
      <c r="K241" s="21" t="inlineStr">
        <is>
          <t>Gerenciamento Financeiro de Serviços</t>
        </is>
      </c>
      <c r="L241" s="21" t="inlineStr">
        <is>
          <t>Validação e Teste de Serviço</t>
        </is>
      </c>
      <c r="M241" s="21">
        <f>IF(K241&lt;&gt;"", IF(AND(C241=K241, D241=L241), "ACERTOU", IF(OR(C241=K241, D241=L241, C241=L241, D241=K241), "PARCIALMENTE", IF(OR(K241="Não há recomendação", L241="Não há recomendação", K241="SEM RECOMENDAÇÃO", L241="SEM RECOMENDAÇÃO"), "NÃO RECOMENDOU", "ERROU"))), "")</f>
        <v/>
      </c>
      <c r="N241" s="22">
        <f>IFERROR(INDEX([1]respota_rag_adaptativo!$A$2:$A$853, MATCH(_xlfn.CONCAT("*#",[1]analise_resposta!A241,"*"), [1]respota_rag_adaptativo!$C$2:$C$85, 0)), "")</f>
        <v/>
      </c>
      <c r="O241" s="22" t="n"/>
      <c r="P241" s="22">
        <f>IF(N241&lt;&gt;"", IF(AND(C241=N241, D241=O241), "ACERTOU", IF(OR(C241=N241, D241=O241, C241=O241, D241=N241), "PARCIALMENTE", IF(OR(N241="Não há recomendação", O241="Não há recomendação", N241="SEM RECOMENDAÇÃO", O241="SEM RECOMENDAÇÃO"), "NÃO RECOMENDOU", "ERROU"))), "")</f>
        <v/>
      </c>
      <c r="Q241" s="23">
        <f>IFERROR(INDEX([1]resposta_plan_exec!$A$2:$A$121, MATCH(_xlfn.CONCAT("*",[1]analise_resposta!A241,"*"), [1]resposta_plan_exec!$C$2:$C$121, 0)), "")</f>
        <v/>
      </c>
      <c r="R241" s="23">
        <f>IF([1]analise_resposta!A241="", "",
    _xlfn.LET(_xlpm.resultado, IFERROR(INDEX([1]resposta_plan_exec!$B$2:$B$121,
                           MATCH(_xlfn.CONCAT("*", [1]analise_resposta!A241, "*"),
                                   [1]resposta_plan_exec!$C$2:$C$121, 0)), ""),
        IF(_xlpm.resultado="", "", _xlpm.resultado)))</f>
        <v/>
      </c>
      <c r="S241" s="23" t="n"/>
    </row>
    <row r="242">
      <c r="A242" t="n">
        <v>2175</v>
      </c>
      <c r="B242" s="3" t="inlineStr">
        <is>
          <t>Solicitação de Serviço de Consultoria em TI</t>
        </is>
      </c>
      <c r="C242" s="3" t="inlineStr">
        <is>
          <t>Solicitação de Serviço</t>
        </is>
      </c>
      <c r="D242" s="3" t="inlineStr">
        <is>
          <t>Gerenciamento de Nível de Serviço</t>
        </is>
      </c>
      <c r="F242" s="5">
        <f>IFERROR(INDEX([1]resposta_chat_stream!$B$2:$B$34, MATCH(_xlfn.CONCAT("*#",[1]analise_resposta!A242,"*"), [1]resposta_chat_stream!$C$2:$C$34, 0)), "")</f>
        <v/>
      </c>
      <c r="G242" s="6">
        <f>IF(E242&lt;&gt;"", IF(AND(C242=E242, D242=F242), "ACERTOU", IF(OR(C242=E242, D242=F242, C242=F242, D242=E242), "PARCIALMENTE", IF(OR(E242="Não há recomendação", F242="Não há recomendação", E242="SEM RECOMENDAÇÃO", F242="SEM RECOMENDAÇÃO"), "NÃO RECOMENDOU", "ERROU"))), "")</f>
        <v/>
      </c>
      <c r="H242" s="20">
        <f>IFERROR(INDEX([1]reposta_chat!$A$2:$A$121, MATCH(_xlfn.CONCAT("*#",[1]analise_resposta!A242,"*"), [1]reposta_chat!$C$2:$C$121, 0)), "")</f>
        <v/>
      </c>
      <c r="I242" s="20">
        <f>IFERROR(INDEX([1]reposta_chat!$B$2:$B$121, MATCH(_xlfn.CONCAT("*#",[1]analise_resposta!A242,"*"), [1]reposta_chat!$C$2:$C$121, 0)), "")</f>
        <v/>
      </c>
      <c r="J242" s="20">
        <f>IF(H242&lt;&gt;"", IF(AND(C242=H242, D242=I242), "ACERTOU", IF(OR(C242=H242, D242=I242, C242=I242, D242=H242), "PARCIALMENTE", IF(OR(H242="Não há recomendação", I242="Não há recomendação", H242="SEM RECOMENDAÇÃO", I242="SEM RECOMENDAÇÃO"), "NÃO RECOMENDOU", "ERROU"))), "")</f>
        <v/>
      </c>
      <c r="K242" s="21" t="inlineStr">
        <is>
          <t>Gerenciamento de Relacionamento</t>
        </is>
      </c>
      <c r="L242" s="21" t="inlineStr">
        <is>
          <t>Gerenciamento de Requisição de Serviço</t>
        </is>
      </c>
      <c r="M242" s="21">
        <f>IF(K242&lt;&gt;"", IF(AND(C242=K242, D242=L242), "ACERTOU", IF(OR(C242=K242, D242=L242, C242=L242, D242=K242), "PARCIALMENTE", IF(OR(K242="Não há recomendação", L242="Não há recomendação", K242="SEM RECOMENDAÇÃO", L242="SEM RECOMENDAÇÃO"), "NÃO RECOMENDOU", "ERROU"))), "")</f>
        <v/>
      </c>
      <c r="N242" s="22">
        <f>IFERROR(INDEX([1]respota_rag_adaptativo!$A$2:$A$853, MATCH(_xlfn.CONCAT("*#",[1]analise_resposta!A242,"*"), [1]respota_rag_adaptativo!$C$2:$C$85, 0)), "")</f>
        <v/>
      </c>
      <c r="O242" s="22" t="n"/>
      <c r="P242" s="22">
        <f>IF(N242&lt;&gt;"", IF(AND(C242=N242, D242=O242), "ACERTOU", IF(OR(C242=N242, D242=O242, C242=O242, D242=N242), "PARCIALMENTE", IF(OR(N242="Não há recomendação", O242="Não há recomendação", N242="SEM RECOMENDAÇÃO", O242="SEM RECOMENDAÇÃO"), "NÃO RECOMENDOU", "ERROU"))), "")</f>
        <v/>
      </c>
      <c r="Q242" s="23">
        <f>IFERROR(INDEX([1]resposta_plan_exec!$A$2:$A$121, MATCH(_xlfn.CONCAT("*",[1]analise_resposta!A242,"*"), [1]resposta_plan_exec!$C$2:$C$121, 0)), "")</f>
        <v/>
      </c>
      <c r="R242" s="23">
        <f>IF([1]analise_resposta!A242="", "",
    _xlfn.LET(_xlpm.resultado, IFERROR(INDEX([1]resposta_plan_exec!$B$2:$B$121,
                           MATCH(_xlfn.CONCAT("*", [1]analise_resposta!A242, "*"),
                                   [1]resposta_plan_exec!$C$2:$C$121, 0)), ""),
        IF(_xlpm.resultado="", "", _xlpm.resultado)))</f>
        <v/>
      </c>
      <c r="S242" s="23" t="n"/>
    </row>
    <row r="243">
      <c r="A243" t="n">
        <v>2184</v>
      </c>
      <c r="B243" s="3" t="inlineStr">
        <is>
          <t>Solicitação de Atualização da Integração de Faturamento e Otimização do Fluxo de Trabalho</t>
        </is>
      </c>
      <c r="C243" s="3" t="inlineStr">
        <is>
          <t>Solicitação de Serviço</t>
        </is>
      </c>
      <c r="D243" s="3" t="inlineStr">
        <is>
          <t>Gerenciamento Financeiro</t>
        </is>
      </c>
      <c r="F243" s="5">
        <f>IFERROR(INDEX([1]resposta_chat_stream!$B$2:$B$34, MATCH(_xlfn.CONCAT("*#",[1]analise_resposta!A243,"*"), [1]resposta_chat_stream!$C$2:$C$34, 0)), "")</f>
        <v/>
      </c>
      <c r="G243" s="6">
        <f>IF(E243&lt;&gt;"", IF(AND(C243=E243, D243=F243), "ACERTOU", IF(OR(C243=E243, D243=F243, C243=F243, D243=E243), "PARCIALMENTE", IF(OR(E243="Não há recomendação", F243="Não há recomendação", E243="SEM RECOMENDAÇÃO", F243="SEM RECOMENDAÇÃO"), "NÃO RECOMENDOU", "ERROU"))), "")</f>
        <v/>
      </c>
      <c r="H243" s="20">
        <f>IFERROR(INDEX([1]reposta_chat!$A$2:$A$121, MATCH(_xlfn.CONCAT("*#",[1]analise_resposta!A243,"*"), [1]reposta_chat!$C$2:$C$121, 0)), "")</f>
        <v/>
      </c>
      <c r="I243" s="20">
        <f>IFERROR(INDEX([1]reposta_chat!$B$2:$B$121, MATCH(_xlfn.CONCAT("*#",[1]analise_resposta!A243,"*"), [1]reposta_chat!$C$2:$C$121, 0)), "")</f>
        <v/>
      </c>
      <c r="J243" s="20">
        <f>IF(H243&lt;&gt;"", IF(AND(C243=H243, D243=I243), "ACERTOU", IF(OR(C243=H243, D243=I243, C243=I243, D243=H243), "PARCIALMENTE", IF(OR(H243="Não há recomendação", I243="Não há recomendação", H243="SEM RECOMENDAÇÃO", I243="SEM RECOMENDAÇÃO"), "NÃO RECOMENDOU", "ERROU"))), "")</f>
        <v/>
      </c>
      <c r="K243" s="21" t="inlineStr">
        <is>
          <t>Habilitação de Mudança</t>
        </is>
      </c>
      <c r="L243" s="21" t="inlineStr">
        <is>
          <t>Gerenciamento de Requisição de Serviço</t>
        </is>
      </c>
      <c r="M243" s="21">
        <f>IF(K243&lt;&gt;"", IF(AND(C243=K243, D243=L243), "ACERTOU", IF(OR(C243=K243, D243=L243, C243=L243, D243=K243), "PARCIALMENTE", IF(OR(K243="Não há recomendação", L243="Não há recomendação", K243="SEM RECOMENDAÇÃO", L243="SEM RECOMENDAÇÃO"), "NÃO RECOMENDOU", "ERROU"))), "")</f>
        <v/>
      </c>
      <c r="N243" s="22">
        <f>IFERROR(INDEX([1]respota_rag_adaptativo!$A$2:$A$853, MATCH(_xlfn.CONCAT("*#",[1]analise_resposta!A243,"*"), [1]respota_rag_adaptativo!$C$2:$C$85, 0)), "")</f>
        <v/>
      </c>
      <c r="O243" s="22" t="n"/>
      <c r="P243" s="22">
        <f>IF(N243&lt;&gt;"", IF(AND(C243=N243, D243=O243), "ACERTOU", IF(OR(C243=N243, D243=O243, C243=O243, D243=N243), "PARCIALMENTE", IF(OR(N243="Não há recomendação", O243="Não há recomendação", N243="SEM RECOMENDAÇÃO", O243="SEM RECOMENDAÇÃO"), "NÃO RECOMENDOU", "ERROU"))), "")</f>
        <v/>
      </c>
      <c r="Q243" s="23">
        <f>IFERROR(INDEX([1]resposta_plan_exec!$A$2:$A$121, MATCH(_xlfn.CONCAT("*",[1]analise_resposta!A243,"*"), [1]resposta_plan_exec!$C$2:$C$121, 0)), "")</f>
        <v/>
      </c>
      <c r="R243" s="23">
        <f>IF([1]analise_resposta!A243="", "",
    _xlfn.LET(_xlpm.resultado, IFERROR(INDEX([1]resposta_plan_exec!$B$2:$B$121,
                           MATCH(_xlfn.CONCAT("*", [1]analise_resposta!A243, "*"),
                                   [1]resposta_plan_exec!$C$2:$C$121, 0)), ""),
        IF(_xlpm.resultado="", "", _xlpm.resultado)))</f>
        <v/>
      </c>
      <c r="S243" s="23" t="n"/>
    </row>
    <row r="244">
      <c r="A244" t="n">
        <v>2189</v>
      </c>
      <c r="B244" s="3" t="inlineStr">
        <is>
          <t>Falhas de Implantação e Solicitação de Otimização de Custos</t>
        </is>
      </c>
      <c r="C244" s="3" t="inlineStr">
        <is>
          <t>Gerenciamento de Incidentes</t>
        </is>
      </c>
      <c r="D244" s="3" t="inlineStr">
        <is>
          <t>Gerenciamento Financeiro</t>
        </is>
      </c>
      <c r="F244" s="5">
        <f>IFERROR(INDEX([1]resposta_chat_stream!$B$2:$B$34, MATCH(_xlfn.CONCAT("*#",[1]analise_resposta!A244,"*"), [1]resposta_chat_stream!$C$2:$C$34, 0)), "")</f>
        <v/>
      </c>
      <c r="G244" s="6">
        <f>IF(E244&lt;&gt;"", IF(AND(C244=E244, D244=F244), "ACERTOU", IF(OR(C244=E244, D244=F244, C244=F244, D244=E244), "PARCIALMENTE", IF(OR(E244="Não há recomendação", F244="Não há recomendação", E244="SEM RECOMENDAÇÃO", F244="SEM RECOMENDAÇÃO"), "NÃO RECOMENDOU", "ERROU"))), "")</f>
        <v/>
      </c>
      <c r="H244" s="20">
        <f>IFERROR(INDEX([1]reposta_chat!$A$2:$A$121, MATCH(_xlfn.CONCAT("*#",[1]analise_resposta!A244,"*"), [1]reposta_chat!$C$2:$C$121, 0)), "")</f>
        <v/>
      </c>
      <c r="I244" s="20">
        <f>IFERROR(INDEX([1]reposta_chat!$B$2:$B$121, MATCH(_xlfn.CONCAT("*#",[1]analise_resposta!A244,"*"), [1]reposta_chat!$C$2:$C$121, 0)), "")</f>
        <v/>
      </c>
      <c r="J244" s="20">
        <f>IF(H244&lt;&gt;"", IF(AND(C244=H244, D244=I244), "ACERTOU", IF(OR(C244=H244, D244=I244, C244=I244, D244=H244), "PARCIALMENTE", IF(OR(H244="Não há recomendação", I244="Não há recomendação", H244="SEM RECOMENDAÇÃO", I244="SEM RECOMENDAÇÃO"), "NÃO RECOMENDOU", "ERROU"))), "")</f>
        <v/>
      </c>
      <c r="K244" s="21" t="inlineStr">
        <is>
          <t>Gerenciamento de Liberação</t>
        </is>
      </c>
      <c r="L244" s="21" t="inlineStr">
        <is>
          <t>Gerenciamento de Infraestrutura e Plataforma</t>
        </is>
      </c>
      <c r="M244" s="21">
        <f>IF(K244&lt;&gt;"", IF(AND(C244=K244, D244=L244), "ACERTOU", IF(OR(C244=K244, D244=L244, C244=L244, D244=K244), "PARCIALMENTE", IF(OR(K244="Não há recomendação", L244="Não há recomendação", K244="SEM RECOMENDAÇÃO", L244="SEM RECOMENDAÇÃO"), "NÃO RECOMENDOU", "ERROU"))), "")</f>
        <v/>
      </c>
      <c r="N244" s="22">
        <f>IFERROR(INDEX([1]respota_rag_adaptativo!$A$2:$A$853, MATCH(_xlfn.CONCAT("*#",[1]analise_resposta!A244,"*"), [1]respota_rag_adaptativo!$C$2:$C$85, 0)), "")</f>
        <v/>
      </c>
      <c r="O244" s="22" t="n"/>
      <c r="P244" s="22">
        <f>IF(N244&lt;&gt;"", IF(AND(C244=N244, D244=O244), "ACERTOU", IF(OR(C244=N244, D244=O244, C244=O244, D244=N244), "PARCIALMENTE", IF(OR(N244="Não há recomendação", O244="Não há recomendação", N244="SEM RECOMENDAÇÃO", O244="SEM RECOMENDAÇÃO"), "NÃO RECOMENDOU", "ERROU"))), "")</f>
        <v/>
      </c>
      <c r="Q244" s="23">
        <f>IFERROR(INDEX([1]resposta_plan_exec!$A$2:$A$121, MATCH(_xlfn.CONCAT("*",[1]analise_resposta!A244,"*"), [1]resposta_plan_exec!$C$2:$C$121, 0)), "")</f>
        <v/>
      </c>
      <c r="R244" s="23">
        <f>IF([1]analise_resposta!A244="", "",
    _xlfn.LET(_xlpm.resultado, IFERROR(INDEX([1]resposta_plan_exec!$B$2:$B$121,
                           MATCH(_xlfn.CONCAT("*", [1]analise_resposta!A244, "*"),
                                   [1]resposta_plan_exec!$C$2:$C$121, 0)), ""),
        IF(_xlpm.resultado="", "", _xlpm.resultado)))</f>
        <v/>
      </c>
      <c r="S244" s="23" t="n"/>
    </row>
    <row r="245">
      <c r="A245" t="n">
        <v>2195</v>
      </c>
      <c r="B245" s="3" t="inlineStr">
        <is>
          <t>Solicitação de Orientação: Otimização de Configurações de Servidor</t>
        </is>
      </c>
      <c r="C245" s="3" t="inlineStr">
        <is>
          <t>Solicitação de Serviço</t>
        </is>
      </c>
      <c r="D245" s="3" t="inlineStr">
        <is>
          <t>Gerenciamento de Capacidade</t>
        </is>
      </c>
      <c r="F245" s="5">
        <f>IFERROR(INDEX([1]resposta_chat_stream!$B$2:$B$34, MATCH(_xlfn.CONCAT("*#",[1]analise_resposta!A245,"*"), [1]resposta_chat_stream!$C$2:$C$34, 0)), "")</f>
        <v/>
      </c>
      <c r="G245" s="6">
        <f>IF(E245&lt;&gt;"", IF(AND(C245=E245, D245=F245), "ACERTOU", IF(OR(C245=E245, D245=F245, C245=F245, D245=E245), "PARCIALMENTE", IF(OR(E245="Não há recomendação", F245="Não há recomendação", E245="SEM RECOMENDAÇÃO", F245="SEM RECOMENDAÇÃO"), "NÃO RECOMENDOU", "ERROU"))), "")</f>
        <v/>
      </c>
      <c r="H245" s="20">
        <f>IFERROR(INDEX([1]reposta_chat!$A$2:$A$121, MATCH(_xlfn.CONCAT("*#",[1]analise_resposta!A245,"*"), [1]reposta_chat!$C$2:$C$121, 0)), "")</f>
        <v/>
      </c>
      <c r="I245" s="20">
        <f>IFERROR(INDEX([1]reposta_chat!$B$2:$B$121, MATCH(_xlfn.CONCAT("*#",[1]analise_resposta!A245,"*"), [1]reposta_chat!$C$2:$C$121, 0)), "")</f>
        <v/>
      </c>
      <c r="J245" s="20">
        <f>IF(H245&lt;&gt;"", IF(AND(C245=H245, D245=I245), "ACERTOU", IF(OR(C245=H245, D245=I245, C245=I245, D245=H245), "PARCIALMENTE", IF(OR(H245="Não há recomendação", I245="Não há recomendação", H245="SEM RECOMENDAÇÃO", I245="SEM RECOMENDAÇÃO"), "NÃO RECOMENDOU", "ERROU"))), "")</f>
        <v/>
      </c>
      <c r="K245" s="21" t="inlineStr">
        <is>
          <t>Gerenciamento de Capacidade e Desempenho</t>
        </is>
      </c>
      <c r="L245" s="21" t="inlineStr">
        <is>
          <t>Gerenciamento de Requisição de Serviço</t>
        </is>
      </c>
      <c r="M245" s="21">
        <f>IF(K245&lt;&gt;"", IF(AND(C245=K245, D245=L245), "ACERTOU", IF(OR(C245=K245, D245=L245, C245=L245, D245=K245), "PARCIALMENTE", IF(OR(K245="Não há recomendação", L245="Não há recomendação", K245="SEM RECOMENDAÇÃO", L245="SEM RECOMENDAÇÃO"), "NÃO RECOMENDOU", "ERROU"))), "")</f>
        <v/>
      </c>
      <c r="N245" s="22">
        <f>IFERROR(INDEX([1]respota_rag_adaptativo!$A$2:$A$853, MATCH(_xlfn.CONCAT("*#",[1]analise_resposta!A245,"*"), [1]respota_rag_adaptativo!$C$2:$C$85, 0)), "")</f>
        <v/>
      </c>
      <c r="O245" s="22" t="n"/>
      <c r="P245" s="22">
        <f>IF(N245&lt;&gt;"", IF(AND(C245=N245, D245=O245), "ACERTOU", IF(OR(C245=N245, D245=O245, C245=O245, D245=N245), "PARCIALMENTE", IF(OR(N245="Não há recomendação", O245="Não há recomendação", N245="SEM RECOMENDAÇÃO", O245="SEM RECOMENDAÇÃO"), "NÃO RECOMENDOU", "ERROU"))), "")</f>
        <v/>
      </c>
      <c r="Q245" s="23">
        <f>IFERROR(INDEX([1]resposta_plan_exec!$A$2:$A$121, MATCH(_xlfn.CONCAT("*",[1]analise_resposta!A245,"*"), [1]resposta_plan_exec!$C$2:$C$121, 0)), "")</f>
        <v/>
      </c>
      <c r="R245" s="23">
        <f>IF([1]analise_resposta!A245="", "",
    _xlfn.LET(_xlpm.resultado, IFERROR(INDEX([1]resposta_plan_exec!$B$2:$B$121,
                           MATCH(_xlfn.CONCAT("*", [1]analise_resposta!A245, "*"),
                                   [1]resposta_plan_exec!$C$2:$C$121, 0)), ""),
        IF(_xlpm.resultado="", "", _xlpm.resultado)))</f>
        <v/>
      </c>
      <c r="S245" s="23" t="n"/>
    </row>
    <row r="246">
      <c r="A246" t="n">
        <v>2204</v>
      </c>
      <c r="B246" s="3" t="inlineStr">
        <is>
          <t>Assistência Necessária para Soluções de TI</t>
        </is>
      </c>
      <c r="C246" s="3" t="inlineStr">
        <is>
          <t>Solicitação de Serviço</t>
        </is>
      </c>
      <c r="D246" s="3" t="inlineStr">
        <is>
          <t>Gerenciamento de Nível de Serviço</t>
        </is>
      </c>
      <c r="F246" s="5">
        <f>IFERROR(INDEX([1]resposta_chat_stream!$B$2:$B$34, MATCH(_xlfn.CONCAT("*#",[1]analise_resposta!A246,"*"), [1]resposta_chat_stream!$C$2:$C$34, 0)), "")</f>
        <v/>
      </c>
      <c r="G246" s="6">
        <f>IF(E246&lt;&gt;"", IF(AND(C246=E246, D246=F246), "ACERTOU", IF(OR(C246=E246, D246=F246, C246=F246, D246=E246), "PARCIALMENTE", IF(OR(E246="Não há recomendação", F246="Não há recomendação", E246="SEM RECOMENDAÇÃO", F246="SEM RECOMENDAÇÃO"), "NÃO RECOMENDOU", "ERROU"))), "")</f>
        <v/>
      </c>
      <c r="H246" s="20">
        <f>IFERROR(INDEX([1]reposta_chat!$A$2:$A$121, MATCH(_xlfn.CONCAT("*#",[1]analise_resposta!A246,"*"), [1]reposta_chat!$C$2:$C$121, 0)), "")</f>
        <v/>
      </c>
      <c r="I246" s="20">
        <f>IFERROR(INDEX([1]reposta_chat!$B$2:$B$121, MATCH(_xlfn.CONCAT("*#",[1]analise_resposta!A246,"*"), [1]reposta_chat!$C$2:$C$121, 0)), "")</f>
        <v/>
      </c>
      <c r="J246" s="20">
        <f>IF(H246&lt;&gt;"", IF(AND(C246=H246, D246=I246), "ACERTOU", IF(OR(C246=H246, D246=I246, C246=I246, D246=H246), "PARCIALMENTE", IF(OR(H246="Não há recomendação", I246="Não há recomendação", H246="SEM RECOMENDAÇÃO", I246="SEM RECOMENDAÇÃO"), "NÃO RECOMENDOU", "ERROU"))), "")</f>
        <v/>
      </c>
      <c r="K246" s="21" t="inlineStr">
        <is>
          <t>Melhoria Contínua</t>
        </is>
      </c>
      <c r="L246" s="21" t="inlineStr">
        <is>
          <t>Desenvolvimento e Gerenciamento de Software</t>
        </is>
      </c>
      <c r="M246" s="21">
        <f>IF(K246&lt;&gt;"", IF(AND(C246=K246, D246=L246), "ACERTOU", IF(OR(C246=K246, D246=L246, C246=L246, D246=K246), "PARCIALMENTE", IF(OR(K246="Não há recomendação", L246="Não há recomendação", K246="SEM RECOMENDAÇÃO", L246="SEM RECOMENDAÇÃO"), "NÃO RECOMENDOU", "ERROU"))), "")</f>
        <v/>
      </c>
      <c r="N246" s="22">
        <f>IFERROR(INDEX([1]respota_rag_adaptativo!$A$2:$A$853, MATCH(_xlfn.CONCAT("*#",[1]analise_resposta!A246,"*"), [1]respota_rag_adaptativo!$C$2:$C$85, 0)), "")</f>
        <v/>
      </c>
      <c r="O246" s="22" t="n"/>
      <c r="P246" s="22">
        <f>IF(N246&lt;&gt;"", IF(AND(C246=N246, D246=O246), "ACERTOU", IF(OR(C246=N246, D246=O246, C246=O246, D246=N246), "PARCIALMENTE", IF(OR(N246="Não há recomendação", O246="Não há recomendação", N246="SEM RECOMENDAÇÃO", O246="SEM RECOMENDAÇÃO"), "NÃO RECOMENDOU", "ERROU"))), "")</f>
        <v/>
      </c>
      <c r="Q246" s="23">
        <f>IFERROR(INDEX([1]resposta_plan_exec!$A$2:$A$121, MATCH(_xlfn.CONCAT("*",[1]analise_resposta!A246,"*"), [1]resposta_plan_exec!$C$2:$C$121, 0)), "")</f>
        <v/>
      </c>
      <c r="R246" s="23">
        <f>IF([1]analise_resposta!A246="", "",
    _xlfn.LET(_xlpm.resultado, IFERROR(INDEX([1]resposta_plan_exec!$B$2:$B$121,
                           MATCH(_xlfn.CONCAT("*", [1]analise_resposta!A246, "*"),
                                   [1]resposta_plan_exec!$C$2:$C$121, 0)), ""),
        IF(_xlpm.resultado="", "", _xlpm.resultado)))</f>
        <v/>
      </c>
      <c r="S246" s="23" t="n"/>
    </row>
    <row r="247">
      <c r="A247" t="n">
        <v>2207</v>
      </c>
      <c r="B247" s="3" t="inlineStr">
        <is>
          <t>Problema de Cobrança: Renovação da Assinatura do Adobe Photoshop</t>
        </is>
      </c>
      <c r="C247" s="3" t="inlineStr">
        <is>
          <t>Gerenciamento Financeiro</t>
        </is>
      </c>
      <c r="D247" s="3" t="inlineStr">
        <is>
          <t>Gerenciamento de Incidentes</t>
        </is>
      </c>
      <c r="F247" s="5">
        <f>IFERROR(INDEX([1]resposta_chat_stream!$B$2:$B$34, MATCH(_xlfn.CONCAT("*#",[1]analise_resposta!A247,"*"), [1]resposta_chat_stream!$C$2:$C$34, 0)), "")</f>
        <v/>
      </c>
      <c r="G247" s="6">
        <f>IF(E247&lt;&gt;"", IF(AND(C247=E247, D247=F247), "ACERTOU", IF(OR(C247=E247, D247=F247, C247=F247, D247=E247), "PARCIALMENTE", IF(OR(E247="Não há recomendação", F247="Não há recomendação", E247="SEM RECOMENDAÇÃO", F247="SEM RECOMENDAÇÃO"), "NÃO RECOMENDOU", "ERROU"))), "")</f>
        <v/>
      </c>
      <c r="H247" s="20">
        <f>IFERROR(INDEX([1]reposta_chat!$A$2:$A$121, MATCH(_xlfn.CONCAT("*#",[1]analise_resposta!A247,"*"), [1]reposta_chat!$C$2:$C$121, 0)), "")</f>
        <v/>
      </c>
      <c r="I247" s="20">
        <f>IFERROR(INDEX([1]reposta_chat!$B$2:$B$121, MATCH(_xlfn.CONCAT("*#",[1]analise_resposta!A247,"*"), [1]reposta_chat!$C$2:$C$121, 0)), "")</f>
        <v/>
      </c>
      <c r="J247" s="20">
        <f>IF(H247&lt;&gt;"", IF(AND(C247=H247, D247=I247), "ACERTOU", IF(OR(C247=H247, D247=I247, C247=I247, D247=H247), "PARCIALMENTE", IF(OR(H247="Não há recomendação", I247="Não há recomendação", H247="SEM RECOMENDAÇÃO", I247="SEM RECOMENDAÇÃO"), "NÃO RECOMENDOU", "ERROU"))), "")</f>
        <v/>
      </c>
      <c r="K247" s="21" t="inlineStr">
        <is>
          <t>Gerenciamento Financeiro de Serviço</t>
        </is>
      </c>
      <c r="L247" s="21" t="inlineStr">
        <is>
          <t>Gerenciamento de Incidentes</t>
        </is>
      </c>
      <c r="M247" s="21">
        <f>IF(K247&lt;&gt;"", IF(AND(C247=K247, D247=L247), "ACERTOU", IF(OR(C247=K247, D247=L247, C247=L247, D247=K247), "PARCIALMENTE", IF(OR(K247="Não há recomendação", L247="Não há recomendação", K247="SEM RECOMENDAÇÃO", L247="SEM RECOMENDAÇÃO"), "NÃO RECOMENDOU", "ERROU"))), "")</f>
        <v/>
      </c>
      <c r="N247" s="22">
        <f>IFERROR(INDEX([1]respota_rag_adaptativo!$A$2:$A$853, MATCH(_xlfn.CONCAT("*#",[1]analise_resposta!A247,"*"), [1]respota_rag_adaptativo!$C$2:$C$85, 0)), "")</f>
        <v/>
      </c>
      <c r="O247" s="22" t="n"/>
      <c r="P247" s="22">
        <f>IF(N247&lt;&gt;"", IF(AND(C247=N247, D247=O247), "ACERTOU", IF(OR(C247=N247, D247=O247, C247=O247, D247=N247), "PARCIALMENTE", IF(OR(N247="Não há recomendação", O247="Não há recomendação", N247="SEM RECOMENDAÇÃO", O247="SEM RECOMENDAÇÃO"), "NÃO RECOMENDOU", "ERROU"))), "")</f>
        <v/>
      </c>
      <c r="Q247" s="23">
        <f>IFERROR(INDEX([1]resposta_plan_exec!$A$2:$A$121, MATCH(_xlfn.CONCAT("*",[1]analise_resposta!A247,"*"), [1]resposta_plan_exec!$C$2:$C$121, 0)), "")</f>
        <v/>
      </c>
      <c r="R247" s="23">
        <f>IF([1]analise_resposta!A247="", "",
    _xlfn.LET(_xlpm.resultado, IFERROR(INDEX([1]resposta_plan_exec!$B$2:$B$121,
                           MATCH(_xlfn.CONCAT("*", [1]analise_resposta!A247, "*"),
                                   [1]resposta_plan_exec!$C$2:$C$121, 0)), ""),
        IF(_xlpm.resultado="", "", _xlpm.resultado)))</f>
        <v/>
      </c>
      <c r="S247" s="23" t="n"/>
    </row>
    <row r="248">
      <c r="A248" t="n">
        <v>2209</v>
      </c>
      <c r="B248" s="3" t="inlineStr">
        <is>
          <t>Urgente: Impacto crítico na conectividade da rede corporativa</t>
        </is>
      </c>
      <c r="C248" s="3" t="inlineStr">
        <is>
          <t>Gerenciamento de Incidentes</t>
        </is>
      </c>
      <c r="D248" s="3" t="inlineStr">
        <is>
          <t>Gerenciamento de Disponibilidade</t>
        </is>
      </c>
      <c r="F248" s="5">
        <f>IFERROR(INDEX([1]resposta_chat_stream!$B$2:$B$34, MATCH(_xlfn.CONCAT("*#",[1]analise_resposta!A248,"*"), [1]resposta_chat_stream!$C$2:$C$34, 0)), "")</f>
        <v/>
      </c>
      <c r="G248" s="6">
        <f>IF(E248&lt;&gt;"", IF(AND(C248=E248, D248=F248), "ACERTOU", IF(OR(C248=E248, D248=F248, C248=F248, D248=E248), "PARCIALMENTE", IF(OR(E248="Não há recomendação", F248="Não há recomendação", E248="SEM RECOMENDAÇÃO", F248="SEM RECOMENDAÇÃO"), "NÃO RECOMENDOU", "ERROU"))), "")</f>
        <v/>
      </c>
      <c r="H248" s="20">
        <f>IFERROR(INDEX([1]reposta_chat!$A$2:$A$121, MATCH(_xlfn.CONCAT("*#",[1]analise_resposta!A248,"*"), [1]reposta_chat!$C$2:$C$121, 0)), "")</f>
        <v/>
      </c>
      <c r="I248" s="20">
        <f>IFERROR(INDEX([1]reposta_chat!$B$2:$B$121, MATCH(_xlfn.CONCAT("*#",[1]analise_resposta!A248,"*"), [1]reposta_chat!$C$2:$C$121, 0)), "")</f>
        <v/>
      </c>
      <c r="J248" s="20">
        <f>IF(H248&lt;&gt;"", IF(AND(C248=H248, D248=I248), "ACERTOU", IF(OR(C248=H248, D248=I248, C248=I248, D248=H248), "PARCIALMENTE", IF(OR(H248="Não há recomendação", I248="Não há recomendação", H248="SEM RECOMENDAÇÃO", I248="SEM RECOMENDAÇÃO"), "NÃO RECOMENDOU", "ERROU"))), "")</f>
        <v/>
      </c>
      <c r="K248" s="21" t="inlineStr">
        <is>
          <t>Gerenciamento de Disponibilidade</t>
        </is>
      </c>
      <c r="L248" s="21" t="inlineStr">
        <is>
          <t>Gerenciamento de Incidentes</t>
        </is>
      </c>
      <c r="M248" s="21">
        <f>IF(K248&lt;&gt;"", IF(AND(C248=K248, D248=L248), "ACERTOU", IF(OR(C248=K248, D248=L248, C248=L248, D248=K248), "PARCIALMENTE", IF(OR(K248="Não há recomendação", L248="Não há recomendação", K248="SEM RECOMENDAÇÃO", L248="SEM RECOMENDAÇÃO"), "NÃO RECOMENDOU", "ERROU"))), "")</f>
        <v/>
      </c>
      <c r="N248" s="22">
        <f>IFERROR(INDEX([1]respota_rag_adaptativo!$A$2:$A$853, MATCH(_xlfn.CONCAT("*#",[1]analise_resposta!A248,"*"), [1]respota_rag_adaptativo!$C$2:$C$85, 0)), "")</f>
        <v/>
      </c>
      <c r="O248" s="22" t="n"/>
      <c r="P248" s="22">
        <f>IF(N248&lt;&gt;"", IF(AND(C248=N248, D248=O248), "ACERTOU", IF(OR(C248=N248, D248=O248, C248=O248, D248=N248), "PARCIALMENTE", IF(OR(N248="Não há recomendação", O248="Não há recomendação", N248="SEM RECOMENDAÇÃO", O248="SEM RECOMENDAÇÃO"), "NÃO RECOMENDOU", "ERROU"))), "")</f>
        <v/>
      </c>
      <c r="Q248" s="23">
        <f>IFERROR(INDEX([1]resposta_plan_exec!$A$2:$A$121, MATCH(_xlfn.CONCAT("*",[1]analise_resposta!A248,"*"), [1]resposta_plan_exec!$C$2:$C$121, 0)), "")</f>
        <v/>
      </c>
      <c r="R248" s="23">
        <f>IF([1]analise_resposta!A248="", "",
    _xlfn.LET(_xlpm.resultado, IFERROR(INDEX([1]resposta_plan_exec!$B$2:$B$121,
                           MATCH(_xlfn.CONCAT("*", [1]analise_resposta!A248, "*"),
                                   [1]resposta_plan_exec!$C$2:$C$121, 0)), ""),
        IF(_xlpm.resultado="", "", _xlpm.resultado)))</f>
        <v/>
      </c>
      <c r="S248" s="23" t="n"/>
    </row>
    <row r="249">
      <c r="A249" t="n">
        <v>2213</v>
      </c>
      <c r="B249" s="3" t="inlineStr">
        <is>
          <t>Assistência com Erro de Faturamento</t>
        </is>
      </c>
      <c r="C249" s="3" t="inlineStr">
        <is>
          <t>Gerenciamento Financeiro</t>
        </is>
      </c>
      <c r="D249" s="3" t="inlineStr">
        <is>
          <t>Gerenciamento de Incidentes</t>
        </is>
      </c>
      <c r="F249" s="5">
        <f>IFERROR(INDEX([1]resposta_chat_stream!$B$2:$B$34, MATCH(_xlfn.CONCAT("*#",[1]analise_resposta!A249,"*"), [1]resposta_chat_stream!$C$2:$C$34, 0)), "")</f>
        <v/>
      </c>
      <c r="G249" s="6">
        <f>IF(E249&lt;&gt;"", IF(AND(C249=E249, D249=F249), "ACERTOU", IF(OR(C249=E249, D249=F249, C249=F249, D249=E249), "PARCIALMENTE", IF(OR(E249="Não há recomendação", F249="Não há recomendação", E249="SEM RECOMENDAÇÃO", F249="SEM RECOMENDAÇÃO"), "NÃO RECOMENDOU", "ERROU"))), "")</f>
        <v/>
      </c>
      <c r="H249" s="20">
        <f>IFERROR(INDEX([1]reposta_chat!$A$2:$A$121, MATCH(_xlfn.CONCAT("*#",[1]analise_resposta!A249,"*"), [1]reposta_chat!$C$2:$C$121, 0)), "")</f>
        <v/>
      </c>
      <c r="I249" s="20">
        <f>IFERROR(INDEX([1]reposta_chat!$B$2:$B$121, MATCH(_xlfn.CONCAT("*#",[1]analise_resposta!A249,"*"), [1]reposta_chat!$C$2:$C$121, 0)), "")</f>
        <v/>
      </c>
      <c r="J249" s="20">
        <f>IF(H249&lt;&gt;"", IF(AND(C249=H249, D249=I249), "ACERTOU", IF(OR(C249=H249, D249=I249, C249=I249, D249=H249), "PARCIALMENTE", IF(OR(H249="Não há recomendação", I249="Não há recomendação", H249="SEM RECOMENDAÇÃO", I249="SEM RECOMENDAÇÃO"), "NÃO RECOMENDOU", "ERROU"))), "")</f>
        <v/>
      </c>
      <c r="K249" s="21" t="inlineStr">
        <is>
          <t>Gerenciamento Financeiro de Serviço</t>
        </is>
      </c>
      <c r="L249" s="21" t="inlineStr">
        <is>
          <t>Gerenciamento de Requisição de Serviço</t>
        </is>
      </c>
      <c r="M249" s="21">
        <f>IF(K249&lt;&gt;"", IF(AND(C249=K249, D249=L249), "ACERTOU", IF(OR(C249=K249, D249=L249, C249=L249, D249=K249), "PARCIALMENTE", IF(OR(K249="Não há recomendação", L249="Não há recomendação", K249="SEM RECOMENDAÇÃO", L249="SEM RECOMENDAÇÃO"), "NÃO RECOMENDOU", "ERROU"))), "")</f>
        <v/>
      </c>
      <c r="N249" s="22">
        <f>IFERROR(INDEX([1]respota_rag_adaptativo!$A$2:$A$853, MATCH(_xlfn.CONCAT("*#",[1]analise_resposta!A249,"*"), [1]respota_rag_adaptativo!$C$2:$C$85, 0)), "")</f>
        <v/>
      </c>
      <c r="O249" s="22" t="n"/>
      <c r="P249" s="22">
        <f>IF(N249&lt;&gt;"", IF(AND(C249=N249, D249=O249), "ACERTOU", IF(OR(C249=N249, D249=O249, C249=O249, D249=N249), "PARCIALMENTE", IF(OR(N249="Não há recomendação", O249="Não há recomendação", N249="SEM RECOMENDAÇÃO", O249="SEM RECOMENDAÇÃO"), "NÃO RECOMENDOU", "ERROU"))), "")</f>
        <v/>
      </c>
      <c r="Q249" s="23">
        <f>IFERROR(INDEX([1]resposta_plan_exec!$A$2:$A$121, MATCH(_xlfn.CONCAT("*",[1]analise_resposta!A249,"*"), [1]resposta_plan_exec!$C$2:$C$121, 0)), "")</f>
        <v/>
      </c>
      <c r="R249" s="23">
        <f>IF([1]analise_resposta!A249="", "",
    _xlfn.LET(_xlpm.resultado, IFERROR(INDEX([1]resposta_plan_exec!$B$2:$B$121,
                           MATCH(_xlfn.CONCAT("*", [1]analise_resposta!A249, "*"),
                                   [1]resposta_plan_exec!$C$2:$C$121, 0)), ""),
        IF(_xlpm.resultado="", "", _xlpm.resultado)))</f>
        <v/>
      </c>
      <c r="S249" s="23" t="n"/>
    </row>
    <row r="250">
      <c r="A250" t="n">
        <v>2228</v>
      </c>
      <c r="B250" s="3" t="inlineStr">
        <is>
          <t>Solicitação de Suporte Urgente: Problema com Dell XPS 13 9310</t>
        </is>
      </c>
      <c r="C250" s="3" t="inlineStr">
        <is>
          <t>Gerenciamento de Incidentes</t>
        </is>
      </c>
      <c r="D250" s="3" t="inlineStr">
        <is>
          <t>Gerenciamento de Problemas</t>
        </is>
      </c>
      <c r="F250" s="5">
        <f>IFERROR(INDEX([1]resposta_chat_stream!$B$2:$B$34, MATCH(_xlfn.CONCAT("*#",[1]analise_resposta!A250,"*"), [1]resposta_chat_stream!$C$2:$C$34, 0)), "")</f>
        <v/>
      </c>
      <c r="G250" s="6">
        <f>IF(E250&lt;&gt;"", IF(AND(C250=E250, D250=F250), "ACERTOU", IF(OR(C250=E250, D250=F250, C250=F250, D250=E250), "PARCIALMENTE", IF(OR(E250="Não há recomendação", F250="Não há recomendação", E250="SEM RECOMENDAÇÃO", F250="SEM RECOMENDAÇÃO"), "NÃO RECOMENDOU", "ERROU"))), "")</f>
        <v/>
      </c>
      <c r="H250" s="20">
        <f>IFERROR(INDEX([1]reposta_chat!$A$2:$A$121, MATCH(_xlfn.CONCAT("*#",[1]analise_resposta!A250,"*"), [1]reposta_chat!$C$2:$C$121, 0)), "")</f>
        <v/>
      </c>
      <c r="I250" s="20">
        <f>IFERROR(INDEX([1]reposta_chat!$B$2:$B$121, MATCH(_xlfn.CONCAT("*#",[1]analise_resposta!A250,"*"), [1]reposta_chat!$C$2:$C$121, 0)), "")</f>
        <v/>
      </c>
      <c r="J250" s="20">
        <f>IF(H250&lt;&gt;"", IF(AND(C250=H250, D250=I250), "ACERTOU", IF(OR(C250=H250, D250=I250, C250=I250, D250=H250), "PARCIALMENTE", IF(OR(H250="Não há recomendação", I250="Não há recomendação", H250="SEM RECOMENDAÇÃO", I250="SEM RECOMENDAÇÃO"), "NÃO RECOMENDOU", "ERROU"))), "")</f>
        <v/>
      </c>
      <c r="K250" s="21" t="inlineStr">
        <is>
          <t>Habilitação de Mudança</t>
        </is>
      </c>
      <c r="L250" s="21" t="inlineStr">
        <is>
          <t>Gerenciamento de Liberação</t>
        </is>
      </c>
      <c r="M250" s="21">
        <f>IF(K250&lt;&gt;"", IF(AND(C250=K250, D250=L250), "ACERTOU", IF(OR(C250=K250, D250=L250, C250=L250, D250=K250), "PARCIALMENTE", IF(OR(K250="Não há recomendação", L250="Não há recomendação", K250="SEM RECOMENDAÇÃO", L250="SEM RECOMENDAÇÃO"), "NÃO RECOMENDOU", "ERROU"))), "")</f>
        <v/>
      </c>
      <c r="N250" s="22">
        <f>IFERROR(INDEX([1]respota_rag_adaptativo!$A$2:$A$853, MATCH(_xlfn.CONCAT("*#",[1]analise_resposta!A250,"*"), [1]respota_rag_adaptativo!$C$2:$C$85, 0)), "")</f>
        <v/>
      </c>
      <c r="O250" s="22" t="n"/>
      <c r="P250" s="22">
        <f>IF(N250&lt;&gt;"", IF(AND(C250=N250, D250=O250), "ACERTOU", IF(OR(C250=N250, D250=O250, C250=O250, D250=N250), "PARCIALMENTE", IF(OR(N250="Não há recomendação", O250="Não há recomendação", N250="SEM RECOMENDAÇÃO", O250="SEM RECOMENDAÇÃO"), "NÃO RECOMENDOU", "ERROU"))), "")</f>
        <v/>
      </c>
      <c r="Q250" s="23">
        <f>IFERROR(INDEX([1]resposta_plan_exec!$A$2:$A$121, MATCH(_xlfn.CONCAT("*",[1]analise_resposta!A250,"*"), [1]resposta_plan_exec!$C$2:$C$121, 0)), "")</f>
        <v/>
      </c>
      <c r="R250" s="23">
        <f>IF([1]analise_resposta!A250="", "",
    _xlfn.LET(_xlpm.resultado, IFERROR(INDEX([1]resposta_plan_exec!$B$2:$B$121,
                           MATCH(_xlfn.CONCAT("*", [1]analise_resposta!A250, "*"),
                                   [1]resposta_plan_exec!$C$2:$C$121, 0)), ""),
        IF(_xlpm.resultado="", "", _xlpm.resultado)))</f>
        <v/>
      </c>
      <c r="S250" s="23" t="n"/>
    </row>
    <row r="251">
      <c r="A251" t="n">
        <v>2235</v>
      </c>
      <c r="B251" s="3" t="inlineStr">
        <is>
          <t>Solicitação de Upgrade para Office 365 Business</t>
        </is>
      </c>
      <c r="C251" s="3" t="inlineStr">
        <is>
          <t>Solicitação de Serviço</t>
        </is>
      </c>
      <c r="D251" s="3" t="inlineStr">
        <is>
          <t>Gerenciamento Financeiro</t>
        </is>
      </c>
      <c r="F251" s="5">
        <f>IFERROR(INDEX([1]resposta_chat_stream!$B$2:$B$34, MATCH(_xlfn.CONCAT("*#",[1]analise_resposta!A251,"*"), [1]resposta_chat_stream!$C$2:$C$34, 0)), "")</f>
        <v/>
      </c>
      <c r="G251" s="6">
        <f>IF(E251&lt;&gt;"", IF(AND(C251=E251, D251=F251), "ACERTOU", IF(OR(C251=E251, D251=F251, C251=F251, D251=E251), "PARCIALMENTE", IF(OR(E251="Não há recomendação", F251="Não há recomendação", E251="SEM RECOMENDAÇÃO", F251="SEM RECOMENDAÇÃO"), "NÃO RECOMENDOU", "ERROU"))), "")</f>
        <v/>
      </c>
      <c r="H251" s="20">
        <f>IFERROR(INDEX([1]reposta_chat!$A$2:$A$121, MATCH(_xlfn.CONCAT("*#",[1]analise_resposta!A251,"*"), [1]reposta_chat!$C$2:$C$121, 0)), "")</f>
        <v/>
      </c>
      <c r="I251" s="20">
        <f>IFERROR(INDEX([1]reposta_chat!$B$2:$B$121, MATCH(_xlfn.CONCAT("*#",[1]analise_resposta!A251,"*"), [1]reposta_chat!$C$2:$C$121, 0)), "")</f>
        <v/>
      </c>
      <c r="J251" s="20">
        <f>IF(H251&lt;&gt;"", IF(AND(C251=H251, D251=I251), "ACERTOU", IF(OR(C251=H251, D251=I251, C251=I251, D251=H251), "PARCIALMENTE", IF(OR(H251="Não há recomendação", I251="Não há recomendação", H251="SEM RECOMENDAÇÃO", I251="SEM RECOMENDAÇÃO"), "NÃO RECOMENDOU", "ERROU"))), "")</f>
        <v/>
      </c>
      <c r="K251" s="21" t="inlineStr">
        <is>
          <t>Gerenciamento de Requisição de Serviço</t>
        </is>
      </c>
      <c r="L251" s="21" t="inlineStr">
        <is>
          <t>Gerenciamento Financeiro de Serviço</t>
        </is>
      </c>
      <c r="M251" s="21">
        <f>IF(K251&lt;&gt;"", IF(AND(C251=K251, D251=L251), "ACERTOU", IF(OR(C251=K251, D251=L251, C251=L251, D251=K251), "PARCIALMENTE", IF(OR(K251="Não há recomendação", L251="Não há recomendação", K251="SEM RECOMENDAÇÃO", L251="SEM RECOMENDAÇÃO"), "NÃO RECOMENDOU", "ERROU"))), "")</f>
        <v/>
      </c>
      <c r="N251" s="22">
        <f>IFERROR(INDEX([1]respota_rag_adaptativo!$A$2:$A$853, MATCH(_xlfn.CONCAT("*#",[1]analise_resposta!A251,"*"), [1]respota_rag_adaptativo!$C$2:$C$85, 0)), "")</f>
        <v/>
      </c>
      <c r="O251" s="22" t="n"/>
      <c r="P251" s="22">
        <f>IF(N251&lt;&gt;"", IF(AND(C251=N251, D251=O251), "ACERTOU", IF(OR(C251=N251, D251=O251, C251=O251, D251=N251), "PARCIALMENTE", IF(OR(N251="Não há recomendação", O251="Não há recomendação", N251="SEM RECOMENDAÇÃO", O251="SEM RECOMENDAÇÃO"), "NÃO RECOMENDOU", "ERROU"))), "")</f>
        <v/>
      </c>
      <c r="Q251" s="23">
        <f>IFERROR(INDEX([1]resposta_plan_exec!$A$2:$A$121, MATCH(_xlfn.CONCAT("*",[1]analise_resposta!A251,"*"), [1]resposta_plan_exec!$C$2:$C$121, 0)), "")</f>
        <v/>
      </c>
      <c r="R251" s="23">
        <f>IF([1]analise_resposta!A251="", "",
    _xlfn.LET(_xlpm.resultado, IFERROR(INDEX([1]resposta_plan_exec!$B$2:$B$121,
                           MATCH(_xlfn.CONCAT("*", [1]analise_resposta!A251, "*"),
                                   [1]resposta_plan_exec!$C$2:$C$121, 0)), ""),
        IF(_xlpm.resultado="", "", _xlpm.resultado)))</f>
        <v/>
      </c>
      <c r="S251" s="23" t="n"/>
    </row>
    <row r="252">
      <c r="A252" t="n">
        <v>2291</v>
      </c>
      <c r="B252" s="3" t="inlineStr">
        <is>
          <t>Solicitação Urgente de Solução de Problemas para o Roteador Cisco ISR4331</t>
        </is>
      </c>
      <c r="C252" s="3" t="inlineStr">
        <is>
          <t>Gerenciamento de Incidentes</t>
        </is>
      </c>
      <c r="D252" s="3" t="inlineStr">
        <is>
          <t>Gerenciamento de Disponibilidade</t>
        </is>
      </c>
      <c r="F252" s="5">
        <f>IFERROR(INDEX([1]resposta_chat_stream!$B$2:$B$34, MATCH(_xlfn.CONCAT("*#",[1]analise_resposta!A252,"*"), [1]resposta_chat_stream!$C$2:$C$34, 0)), "")</f>
        <v/>
      </c>
      <c r="G252" s="6">
        <f>IF(E252&lt;&gt;"", IF(AND(C252=E252, D252=F252), "ACERTOU", IF(OR(C252=E252, D252=F252, C252=F252, D252=E252), "PARCIALMENTE", IF(OR(E252="Não há recomendação", F252="Não há recomendação", E252="SEM RECOMENDAÇÃO", F252="SEM RECOMENDAÇÃO"), "NÃO RECOMENDOU", "ERROU"))), "")</f>
        <v/>
      </c>
      <c r="H252" s="20">
        <f>IFERROR(INDEX([1]reposta_chat!$A$2:$A$121, MATCH(_xlfn.CONCAT("*#",[1]analise_resposta!A252,"*"), [1]reposta_chat!$C$2:$C$121, 0)), "")</f>
        <v/>
      </c>
      <c r="I252" s="20">
        <f>IFERROR(INDEX([1]reposta_chat!$B$2:$B$121, MATCH(_xlfn.CONCAT("*#",[1]analise_resposta!A252,"*"), [1]reposta_chat!$C$2:$C$121, 0)), "")</f>
        <v/>
      </c>
      <c r="J252" s="20">
        <f>IF(H252&lt;&gt;"", IF(AND(C252=H252, D252=I252), "ACERTOU", IF(OR(C252=H252, D252=I252, C252=I252, D252=H252), "PARCIALMENTE", IF(OR(H252="Não há recomendação", I252="Não há recomendação", H252="SEM RECOMENDAÇÃO", I252="SEM RECOMENDAÇÃO"), "NÃO RECOMENDOU", "ERROU"))), "")</f>
        <v/>
      </c>
      <c r="K252" s="21" t="inlineStr">
        <is>
          <t>Gerenciamento de Incidentes</t>
        </is>
      </c>
      <c r="L252" s="21" t="inlineStr">
        <is>
          <t>Gerenciamento de Problemas</t>
        </is>
      </c>
      <c r="M252" s="21">
        <f>IF(K252&lt;&gt;"", IF(AND(C252=K252, D252=L252), "ACERTOU", IF(OR(C252=K252, D252=L252, C252=L252, D252=K252), "PARCIALMENTE", IF(OR(K252="Não há recomendação", L252="Não há recomendação", K252="SEM RECOMENDAÇÃO", L252="SEM RECOMENDAÇÃO"), "NÃO RECOMENDOU", "ERROU"))), "")</f>
        <v/>
      </c>
      <c r="N252" s="22">
        <f>IFERROR(INDEX([1]respota_rag_adaptativo!$A$2:$A$853, MATCH(_xlfn.CONCAT("*#",[1]analise_resposta!A252,"*"), [1]respota_rag_adaptativo!$C$2:$C$85, 0)), "")</f>
        <v/>
      </c>
      <c r="O252" s="22" t="n"/>
      <c r="P252" s="22">
        <f>IF(N252&lt;&gt;"", IF(AND(C252=N252, D252=O252), "ACERTOU", IF(OR(C252=N252, D252=O252, C252=O252, D252=N252), "PARCIALMENTE", IF(OR(N252="Não há recomendação", O252="Não há recomendação", N252="SEM RECOMENDAÇÃO", O252="SEM RECOMENDAÇÃO"), "NÃO RECOMENDOU", "ERROU"))), "")</f>
        <v/>
      </c>
      <c r="Q252" s="23">
        <f>IFERROR(INDEX([1]resposta_plan_exec!$A$2:$A$121, MATCH(_xlfn.CONCAT("*",[1]analise_resposta!A252,"*"), [1]resposta_plan_exec!$C$2:$C$121, 0)), "")</f>
        <v/>
      </c>
      <c r="R252" s="23">
        <f>IF([1]analise_resposta!A252="", "",
    _xlfn.LET(_xlpm.resultado, IFERROR(INDEX([1]resposta_plan_exec!$B$2:$B$121,
                           MATCH(_xlfn.CONCAT("*", [1]analise_resposta!A252, "*"),
                                   [1]resposta_plan_exec!$C$2:$C$121, 0)), ""),
        IF(_xlpm.resultado="", "", _xlpm.resultado)))</f>
        <v/>
      </c>
      <c r="S252" s="23" t="n"/>
    </row>
    <row r="253">
      <c r="A253" t="n">
        <v>2293</v>
      </c>
      <c r="B253" s="3" t="inlineStr">
        <is>
          <t>Consultoria de TI urgente necessária para problemas de servidor</t>
        </is>
      </c>
      <c r="C253" s="3" t="inlineStr">
        <is>
          <t>Solicitação de Serviço</t>
        </is>
      </c>
      <c r="D253" s="3" t="inlineStr">
        <is>
          <t>Gerenciamento de Problemas</t>
        </is>
      </c>
      <c r="F253" s="5">
        <f>IFERROR(INDEX([1]resposta_chat_stream!$B$2:$B$34, MATCH(_xlfn.CONCAT("*#",[1]analise_resposta!A253,"*"), [1]resposta_chat_stream!$C$2:$C$34, 0)), "")</f>
        <v/>
      </c>
      <c r="G253" s="6">
        <f>IF(E253&lt;&gt;"", IF(AND(C253=E253, D253=F253), "ACERTOU", IF(OR(C253=E253, D253=F253, C253=F253, D253=E253), "PARCIALMENTE", IF(OR(E253="Não há recomendação", F253="Não há recomendação", E253="SEM RECOMENDAÇÃO", F253="SEM RECOMENDAÇÃO"), "NÃO RECOMENDOU", "ERROU"))), "")</f>
        <v/>
      </c>
      <c r="H253" s="20">
        <f>IFERROR(INDEX([1]reposta_chat!$A$2:$A$121, MATCH(_xlfn.CONCAT("*#",[1]analise_resposta!A253,"*"), [1]reposta_chat!$C$2:$C$121, 0)), "")</f>
        <v/>
      </c>
      <c r="I253" s="20">
        <f>IFERROR(INDEX([1]reposta_chat!$B$2:$B$121, MATCH(_xlfn.CONCAT("*#",[1]analise_resposta!A253,"*"), [1]reposta_chat!$C$2:$C$121, 0)), "")</f>
        <v/>
      </c>
      <c r="J253" s="20">
        <f>IF(H253&lt;&gt;"", IF(AND(C253=H253, D253=I253), "ACERTOU", IF(OR(C253=H253, D253=I253, C253=I253, D253=H253), "PARCIALMENTE", IF(OR(H253="Não há recomendação", I253="Não há recomendação", H253="SEM RECOMENDAÇÃO", I253="SEM RECOMENDAÇÃO"), "NÃO RECOMENDOU", "ERROU"))), "")</f>
        <v/>
      </c>
      <c r="K253" s="21" t="inlineStr">
        <is>
          <t>Gerenciamento de Problemas</t>
        </is>
      </c>
      <c r="L253" s="21" t="inlineStr">
        <is>
          <t>Melhoria Contínua</t>
        </is>
      </c>
      <c r="M253" s="21">
        <f>IF(K253&lt;&gt;"", IF(AND(C253=K253, D253=L253), "ACERTOU", IF(OR(C253=K253, D253=L253, C253=L253, D253=K253), "PARCIALMENTE", IF(OR(K253="Não há recomendação", L253="Não há recomendação", K253="SEM RECOMENDAÇÃO", L253="SEM RECOMENDAÇÃO"), "NÃO RECOMENDOU", "ERROU"))), "")</f>
        <v/>
      </c>
      <c r="N253" s="22">
        <f>IFERROR(INDEX([1]respota_rag_adaptativo!$A$2:$A$853, MATCH(_xlfn.CONCAT("*#",[1]analise_resposta!A253,"*"), [1]respota_rag_adaptativo!$C$2:$C$85, 0)), "")</f>
        <v/>
      </c>
      <c r="O253" s="22" t="n"/>
      <c r="P253" s="22">
        <f>IF(N253&lt;&gt;"", IF(AND(C253=N253, D253=O253), "ACERTOU", IF(OR(C253=N253, D253=O253, C253=O253, D253=N253), "PARCIALMENTE", IF(OR(N253="Não há recomendação", O253="Não há recomendação", N253="SEM RECOMENDAÇÃO", O253="SEM RECOMENDAÇÃO"), "NÃO RECOMENDOU", "ERROU"))), "")</f>
        <v/>
      </c>
      <c r="Q253" s="23">
        <f>IFERROR(INDEX([1]resposta_plan_exec!$A$2:$A$121, MATCH(_xlfn.CONCAT("*",[1]analise_resposta!A253,"*"), [1]resposta_plan_exec!$C$2:$C$121, 0)), "")</f>
        <v/>
      </c>
      <c r="R253" s="23">
        <f>IF([1]analise_resposta!A253="", "",
    _xlfn.LET(_xlpm.resultado, IFERROR(INDEX([1]resposta_plan_exec!$B$2:$B$121,
                           MATCH(_xlfn.CONCAT("*", [1]analise_resposta!A253, "*"),
                                   [1]resposta_plan_exec!$C$2:$C$121, 0)), ""),
        IF(_xlpm.resultado="", "", _xlpm.resultado)))</f>
        <v/>
      </c>
      <c r="S253" s="23" t="n"/>
    </row>
    <row r="254">
      <c r="A254" t="n">
        <v>2295</v>
      </c>
      <c r="B254" s="3" t="inlineStr">
        <is>
          <t>Problemas intermitentes de conectividade com o roteador Cisco ISR4331</t>
        </is>
      </c>
      <c r="C254" s="3" t="inlineStr">
        <is>
          <t>Gerenciamento de Incidentes</t>
        </is>
      </c>
      <c r="D254" s="3" t="inlineStr">
        <is>
          <t>Gerenciamento de Problemas</t>
        </is>
      </c>
      <c r="F254" s="5">
        <f>IFERROR(INDEX([1]resposta_chat_stream!$B$2:$B$34, MATCH(_xlfn.CONCAT("*#",[1]analise_resposta!A254,"*"), [1]resposta_chat_stream!$C$2:$C$34, 0)), "")</f>
        <v/>
      </c>
      <c r="G254" s="6">
        <f>IF(E254&lt;&gt;"", IF(AND(C254=E254, D254=F254), "ACERTOU", IF(OR(C254=E254, D254=F254, C254=F254, D254=E254), "PARCIALMENTE", IF(OR(E254="Não há recomendação", F254="Não há recomendação", E254="SEM RECOMENDAÇÃO", F254="SEM RECOMENDAÇÃO"), "NÃO RECOMENDOU", "ERROU"))), "")</f>
        <v/>
      </c>
      <c r="H254" s="20">
        <f>IFERROR(INDEX([1]reposta_chat!$A$2:$A$121, MATCH(_xlfn.CONCAT("*#",[1]analise_resposta!A254,"*"), [1]reposta_chat!$C$2:$C$121, 0)), "")</f>
        <v/>
      </c>
      <c r="I254" s="20">
        <f>IFERROR(INDEX([1]reposta_chat!$B$2:$B$121, MATCH(_xlfn.CONCAT("*#",[1]analise_resposta!A254,"*"), [1]reposta_chat!$C$2:$C$121, 0)), "")</f>
        <v/>
      </c>
      <c r="J254" s="20">
        <f>IF(H254&lt;&gt;"", IF(AND(C254=H254, D254=I254), "ACERTOU", IF(OR(C254=H254, D254=I254, C254=I254, D254=H254), "PARCIALMENTE", IF(OR(H254="Não há recomendação", I254="Não há recomendação", H254="SEM RECOMENDAÇÃO", I254="SEM RECOMENDAÇÃO"), "NÃO RECOMENDOU", "ERROU"))), "")</f>
        <v/>
      </c>
      <c r="K254" s="21" t="inlineStr">
        <is>
          <t>Gerenciamento de Problemas</t>
        </is>
      </c>
      <c r="L254" s="21" t="inlineStr">
        <is>
          <t>Gerenciamento de Incidentes</t>
        </is>
      </c>
      <c r="M254" s="21">
        <f>IF(K254&lt;&gt;"", IF(AND(C254=K254, D254=L254), "ACERTOU", IF(OR(C254=K254, D254=L254, C254=L254, D254=K254), "PARCIALMENTE", IF(OR(K254="Não há recomendação", L254="Não há recomendação", K254="SEM RECOMENDAÇÃO", L254="SEM RECOMENDAÇÃO"), "NÃO RECOMENDOU", "ERROU"))), "")</f>
        <v/>
      </c>
      <c r="N254" s="22">
        <f>IFERROR(INDEX([1]respota_rag_adaptativo!$A$2:$A$853, MATCH(_xlfn.CONCAT("*#",[1]analise_resposta!A254,"*"), [1]respota_rag_adaptativo!$C$2:$C$85, 0)), "")</f>
        <v/>
      </c>
      <c r="O254" s="22" t="n"/>
      <c r="P254" s="22">
        <f>IF(N254&lt;&gt;"", IF(AND(C254=N254, D254=O254), "ACERTOU", IF(OR(C254=N254, D254=O254, C254=O254, D254=N254), "PARCIALMENTE", IF(OR(N254="Não há recomendação", O254="Não há recomendação", N254="SEM RECOMENDAÇÃO", O254="SEM RECOMENDAÇÃO"), "NÃO RECOMENDOU", "ERROU"))), "")</f>
        <v/>
      </c>
      <c r="Q254" s="23">
        <f>IFERROR(INDEX([1]resposta_plan_exec!$A$2:$A$121, MATCH(_xlfn.CONCAT("*",[1]analise_resposta!A254,"*"), [1]resposta_plan_exec!$C$2:$C$121, 0)), "")</f>
        <v/>
      </c>
      <c r="R254" s="23">
        <f>IF([1]analise_resposta!A254="", "",
    _xlfn.LET(_xlpm.resultado, IFERROR(INDEX([1]resposta_plan_exec!$B$2:$B$121,
                           MATCH(_xlfn.CONCAT("*", [1]analise_resposta!A254, "*"),
                                   [1]resposta_plan_exec!$C$2:$C$121, 0)), ""),
        IF(_xlpm.resultado="", "", _xlpm.resultado)))</f>
        <v/>
      </c>
      <c r="S254" s="23" t="n"/>
    </row>
    <row r="255">
      <c r="A255" t="n">
        <v>2296</v>
      </c>
      <c r="B255" s="3" t="inlineStr">
        <is>
          <t>Incidente de Baixa Prioridade: Problemas de Conexão do Roteador Cisco ISR4331</t>
        </is>
      </c>
      <c r="C255" s="3" t="inlineStr">
        <is>
          <t>Gerenciamento de Incidentes</t>
        </is>
      </c>
      <c r="D255" s="3" t="inlineStr">
        <is>
          <t>Gerenciamento de Problemas</t>
        </is>
      </c>
      <c r="F255" s="5">
        <f>IFERROR(INDEX([1]resposta_chat_stream!$B$2:$B$34, MATCH(_xlfn.CONCAT("*#",[1]analise_resposta!A255,"*"), [1]resposta_chat_stream!$C$2:$C$34, 0)), "")</f>
        <v/>
      </c>
      <c r="G255" s="6">
        <f>IF(E255&lt;&gt;"", IF(AND(C255=E255, D255=F255), "ACERTOU", IF(OR(C255=E255, D255=F255, C255=F255, D255=E255), "PARCIALMENTE", IF(OR(E255="Não há recomendação", F255="Não há recomendação", E255="SEM RECOMENDAÇÃO", F255="SEM RECOMENDAÇÃO"), "NÃO RECOMENDOU", "ERROU"))), "")</f>
        <v/>
      </c>
      <c r="H255" s="20">
        <f>IFERROR(INDEX([1]reposta_chat!$A$2:$A$121, MATCH(_xlfn.CONCAT("*#",[1]analise_resposta!A255,"*"), [1]reposta_chat!$C$2:$C$121, 0)), "")</f>
        <v/>
      </c>
      <c r="I255" s="20">
        <f>IFERROR(INDEX([1]reposta_chat!$B$2:$B$121, MATCH(_xlfn.CONCAT("*#",[1]analise_resposta!A255,"*"), [1]reposta_chat!$C$2:$C$121, 0)), "")</f>
        <v/>
      </c>
      <c r="J255" s="20">
        <f>IF(H255&lt;&gt;"", IF(AND(C255=H255, D255=I255), "ACERTOU", IF(OR(C255=H255, D255=I255, C255=I255, D255=H255), "PARCIALMENTE", IF(OR(H255="Não há recomendação", I255="Não há recomendação", H255="SEM RECOMENDAÇÃO", I255="SEM RECOMENDAÇÃO"), "NÃO RECOMENDOU", "ERROU"))), "")</f>
        <v/>
      </c>
      <c r="K255" s="21" t="inlineStr">
        <is>
          <t>Gerenciamento de Problemas</t>
        </is>
      </c>
      <c r="L255" s="21" t="inlineStr">
        <is>
          <t>Gerenciamento de Incidentes</t>
        </is>
      </c>
      <c r="M255" s="21">
        <f>IF(K255&lt;&gt;"", IF(AND(C255=K255, D255=L255), "ACERTOU", IF(OR(C255=K255, D255=L255, C255=L255, D255=K255), "PARCIALMENTE", IF(OR(K255="Não há recomendação", L255="Não há recomendação", K255="SEM RECOMENDAÇÃO", L255="SEM RECOMENDAÇÃO"), "NÃO RECOMENDOU", "ERROU"))), "")</f>
        <v/>
      </c>
      <c r="N255" s="22">
        <f>IFERROR(INDEX([1]respota_rag_adaptativo!$A$2:$A$853, MATCH(_xlfn.CONCAT("*#",[1]analise_resposta!A255,"*"), [1]respota_rag_adaptativo!$C$2:$C$85, 0)), "")</f>
        <v/>
      </c>
      <c r="O255" s="22" t="n"/>
      <c r="P255" s="22">
        <f>IF(N255&lt;&gt;"", IF(AND(C255=N255, D255=O255), "ACERTOU", IF(OR(C255=N255, D255=O255, C255=O255, D255=N255), "PARCIALMENTE", IF(OR(N255="Não há recomendação", O255="Não há recomendação", N255="SEM RECOMENDAÇÃO", O255="SEM RECOMENDAÇÃO"), "NÃO RECOMENDOU", "ERROU"))), "")</f>
        <v/>
      </c>
      <c r="Q255" s="23">
        <f>IFERROR(INDEX([1]resposta_plan_exec!$A$2:$A$121, MATCH(_xlfn.CONCAT("*",[1]analise_resposta!A255,"*"), [1]resposta_plan_exec!$C$2:$C$121, 0)), "")</f>
        <v/>
      </c>
      <c r="R255" s="23">
        <f>IF([1]analise_resposta!A255="", "",
    _xlfn.LET(_xlpm.resultado, IFERROR(INDEX([1]resposta_plan_exec!$B$2:$B$121,
                           MATCH(_xlfn.CONCAT("*", [1]analise_resposta!A255, "*"),
                                   [1]resposta_plan_exec!$C$2:$C$121, 0)), ""),
        IF(_xlpm.resultado="", "", _xlpm.resultado)))</f>
        <v/>
      </c>
      <c r="S255" s="23" t="n"/>
    </row>
    <row r="256">
      <c r="A256" t="n">
        <v>2307</v>
      </c>
      <c r="B256" s="3" t="inlineStr">
        <is>
          <t>Pedido para Abordar Discrepâncias na Declaração de Cobrança</t>
        </is>
      </c>
      <c r="C256" s="3" t="inlineStr">
        <is>
          <t>Gerenciamento Financeiro</t>
        </is>
      </c>
      <c r="D256" s="3" t="inlineStr">
        <is>
          <t>Gerenciamento de Incidentes</t>
        </is>
      </c>
      <c r="F256" s="5">
        <f>IFERROR(INDEX([1]resposta_chat_stream!$B$2:$B$34, MATCH(_xlfn.CONCAT("*#",[1]analise_resposta!A256,"*"), [1]resposta_chat_stream!$C$2:$C$34, 0)), "")</f>
        <v/>
      </c>
      <c r="G256" s="6">
        <f>IF(E256&lt;&gt;"", IF(AND(C256=E256, D256=F256), "ACERTOU", IF(OR(C256=E256, D256=F256, C256=F256, D256=E256), "PARCIALMENTE", IF(OR(E256="Não há recomendação", F256="Não há recomendação", E256="SEM RECOMENDAÇÃO", F256="SEM RECOMENDAÇÃO"), "NÃO RECOMENDOU", "ERROU"))), "")</f>
        <v/>
      </c>
      <c r="H256" s="20">
        <f>IFERROR(INDEX([1]reposta_chat!$A$2:$A$121, MATCH(_xlfn.CONCAT("*#",[1]analise_resposta!A256,"*"), [1]reposta_chat!$C$2:$C$121, 0)), "")</f>
        <v/>
      </c>
      <c r="I256" s="20">
        <f>IFERROR(INDEX([1]reposta_chat!$B$2:$B$121, MATCH(_xlfn.CONCAT("*#",[1]analise_resposta!A256,"*"), [1]reposta_chat!$C$2:$C$121, 0)), "")</f>
        <v/>
      </c>
      <c r="J256" s="20">
        <f>IF(H256&lt;&gt;"", IF(AND(C256=H256, D256=I256), "ACERTOU", IF(OR(C256=H256, D256=I256, C256=I256, D256=H256), "PARCIALMENTE", IF(OR(H256="Não há recomendação", I256="Não há recomendação", H256="SEM RECOMENDAÇÃO", I256="SEM RECOMENDAÇÃO"), "NÃO RECOMENDOU", "ERROU"))), "")</f>
        <v/>
      </c>
      <c r="K256" s="21" t="inlineStr">
        <is>
          <t>Gerenciamento Financeiro de Serviço</t>
        </is>
      </c>
      <c r="L256" s="21" t="inlineStr">
        <is>
          <t>Gerenciamento de Relacionamento</t>
        </is>
      </c>
      <c r="M256" s="21">
        <f>IF(K256&lt;&gt;"", IF(AND(C256=K256, D256=L256), "ACERTOU", IF(OR(C256=K256, D256=L256, C256=L256, D256=K256), "PARCIALMENTE", IF(OR(K256="Não há recomendação", L256="Não há recomendação", K256="SEM RECOMENDAÇÃO", L256="SEM RECOMENDAÇÃO"), "NÃO RECOMENDOU", "ERROU"))), "")</f>
        <v/>
      </c>
      <c r="N256" s="22">
        <f>IFERROR(INDEX([1]respota_rag_adaptativo!$A$2:$A$853, MATCH(_xlfn.CONCAT("*#",[1]analise_resposta!A256,"*"), [1]respota_rag_adaptativo!$C$2:$C$85, 0)), "")</f>
        <v/>
      </c>
      <c r="O256" s="22" t="n"/>
      <c r="P256" s="22">
        <f>IF(N256&lt;&gt;"", IF(AND(C256=N256, D256=O256), "ACERTOU", IF(OR(C256=N256, D256=O256, C256=O256, D256=N256), "PARCIALMENTE", IF(OR(N256="Não há recomendação", O256="Não há recomendação", N256="SEM RECOMENDAÇÃO", O256="SEM RECOMENDAÇÃO"), "NÃO RECOMENDOU", "ERROU"))), "")</f>
        <v/>
      </c>
      <c r="Q256" s="23">
        <f>IFERROR(INDEX([1]resposta_plan_exec!$A$2:$A$121, MATCH(_xlfn.CONCAT("*",[1]analise_resposta!A256,"*"), [1]resposta_plan_exec!$C$2:$C$121, 0)), "")</f>
        <v/>
      </c>
      <c r="R256" s="23">
        <f>IF([1]analise_resposta!A256="", "",
    _xlfn.LET(_xlpm.resultado, IFERROR(INDEX([1]resposta_plan_exec!$B$2:$B$121,
                           MATCH(_xlfn.CONCAT("*", [1]analise_resposta!A256, "*"),
                                   [1]resposta_plan_exec!$C$2:$C$121, 0)), ""),
        IF(_xlpm.resultado="", "", _xlpm.resultado)))</f>
        <v/>
      </c>
      <c r="S256" s="23" t="n"/>
    </row>
    <row r="257">
      <c r="A257" t="n">
        <v>2308</v>
      </c>
      <c r="B257" s="3" t="inlineStr">
        <is>
          <t>Urgente: Interrupção de Rede</t>
        </is>
      </c>
      <c r="C257" s="3" t="inlineStr">
        <is>
          <t>Gerenciamento de Incidentes</t>
        </is>
      </c>
      <c r="D257" s="3" t="inlineStr">
        <is>
          <t>Gerenciamento de Disponibilidade</t>
        </is>
      </c>
      <c r="F257" s="5">
        <f>IFERROR(INDEX([1]resposta_chat_stream!$B$2:$B$34, MATCH(_xlfn.CONCAT("*#",[1]analise_resposta!A257,"*"), [1]resposta_chat_stream!$C$2:$C$34, 0)), "")</f>
        <v/>
      </c>
      <c r="G257" s="6">
        <f>IF(E257&lt;&gt;"", IF(AND(C257=E257, D257=F257), "ACERTOU", IF(OR(C257=E257, D257=F257, C257=F257, D257=E257), "PARCIALMENTE", IF(OR(E257="Não há recomendação", F257="Não há recomendação", E257="SEM RECOMENDAÇÃO", F257="SEM RECOMENDAÇÃO"), "NÃO RECOMENDOU", "ERROU"))), "")</f>
        <v/>
      </c>
      <c r="H257" s="20">
        <f>IFERROR(INDEX([1]reposta_chat!$A$2:$A$121, MATCH(_xlfn.CONCAT("*#",[1]analise_resposta!A257,"*"), [1]reposta_chat!$C$2:$C$121, 0)), "")</f>
        <v/>
      </c>
      <c r="I257" s="20">
        <f>IFERROR(INDEX([1]reposta_chat!$B$2:$B$121, MATCH(_xlfn.CONCAT("*#",[1]analise_resposta!A257,"*"), [1]reposta_chat!$C$2:$C$121, 0)), "")</f>
        <v/>
      </c>
      <c r="J257" s="20">
        <f>IF(H257&lt;&gt;"", IF(AND(C257=H257, D257=I257), "ACERTOU", IF(OR(C257=H257, D257=I257, C257=I257, D257=H257), "PARCIALMENTE", IF(OR(H257="Não há recomendação", I257="Não há recomendação", H257="SEM RECOMENDAÇÃO", I257="SEM RECOMENDAÇÃO"), "NÃO RECOMENDOU", "ERROU"))), "")</f>
        <v/>
      </c>
      <c r="K257" s="21" t="inlineStr">
        <is>
          <t>Gerenciamento de Disponibilidade</t>
        </is>
      </c>
      <c r="L257" s="21" t="inlineStr">
        <is>
          <t>Gerenciamento de Incidentes</t>
        </is>
      </c>
      <c r="M257" s="21">
        <f>IF(K257&lt;&gt;"", IF(AND(C257=K257, D257=L257), "ACERTOU", IF(OR(C257=K257, D257=L257, C257=L257, D257=K257), "PARCIALMENTE", IF(OR(K257="Não há recomendação", L257="Não há recomendação", K257="SEM RECOMENDAÇÃO", L257="SEM RECOMENDAÇÃO"), "NÃO RECOMENDOU", "ERROU"))), "")</f>
        <v/>
      </c>
      <c r="N257" s="22">
        <f>IFERROR(INDEX([1]respota_rag_adaptativo!$A$2:$A$853, MATCH(_xlfn.CONCAT("*#",[1]analise_resposta!A257,"*"), [1]respota_rag_adaptativo!$C$2:$C$85, 0)), "")</f>
        <v/>
      </c>
      <c r="O257" s="22" t="n"/>
      <c r="P257" s="22">
        <f>IF(N257&lt;&gt;"", IF(AND(C257=N257, D257=O257), "ACERTOU", IF(OR(C257=N257, D257=O257, C257=O257, D257=N257), "PARCIALMENTE", IF(OR(N257="Não há recomendação", O257="Não há recomendação", N257="SEM RECOMENDAÇÃO", O257="SEM RECOMENDAÇÃO"), "NÃO RECOMENDOU", "ERROU"))), "")</f>
        <v/>
      </c>
      <c r="Q257" s="23">
        <f>IFERROR(INDEX([1]resposta_plan_exec!$A$2:$A$121, MATCH(_xlfn.CONCAT("*",[1]analise_resposta!A257,"*"), [1]resposta_plan_exec!$C$2:$C$121, 0)), "")</f>
        <v/>
      </c>
      <c r="R257" s="23">
        <f>IF([1]analise_resposta!A257="", "",
    _xlfn.LET(_xlpm.resultado, IFERROR(INDEX([1]resposta_plan_exec!$B$2:$B$121,
                           MATCH(_xlfn.CONCAT("*", [1]analise_resposta!A257, "*"),
                                   [1]resposta_plan_exec!$C$2:$C$121, 0)), ""),
        IF(_xlpm.resultado="", "", _xlpm.resultado)))</f>
        <v/>
      </c>
      <c r="S257" s="23" t="n"/>
    </row>
    <row r="258">
      <c r="A258" t="n">
        <v>2319</v>
      </c>
      <c r="B258" s="3" t="inlineStr">
        <is>
          <t>Interrupção Crítica de Serviço</t>
        </is>
      </c>
      <c r="C258" s="3" t="inlineStr">
        <is>
          <t>Gerenciamento de Incidentes</t>
        </is>
      </c>
      <c r="D258" s="3" t="inlineStr">
        <is>
          <t>Gerenciamento de Disponibilidade</t>
        </is>
      </c>
      <c r="F258" s="5">
        <f>IFERROR(INDEX([1]resposta_chat_stream!$B$2:$B$34, MATCH(_xlfn.CONCAT("*#",[1]analise_resposta!A258,"*"), [1]resposta_chat_stream!$C$2:$C$34, 0)), "")</f>
        <v/>
      </c>
      <c r="G258" s="6">
        <f>IF(E258&lt;&gt;"", IF(AND(C258=E258, D258=F258), "ACERTOU", IF(OR(C258=E258, D258=F258, C258=F258, D258=E258), "PARCIALMENTE", IF(OR(E258="Não há recomendação", F258="Não há recomendação", E258="SEM RECOMENDAÇÃO", F258="SEM RECOMENDAÇÃO"), "NÃO RECOMENDOU", "ERROU"))), "")</f>
        <v/>
      </c>
      <c r="H258" s="20">
        <f>IFERROR(INDEX([1]reposta_chat!$A$2:$A$121, MATCH(_xlfn.CONCAT("*#",[1]analise_resposta!A258,"*"), [1]reposta_chat!$C$2:$C$121, 0)), "")</f>
        <v/>
      </c>
      <c r="I258" s="20">
        <f>IFERROR(INDEX([1]reposta_chat!$B$2:$B$121, MATCH(_xlfn.CONCAT("*#",[1]analise_resposta!A258,"*"), [1]reposta_chat!$C$2:$C$121, 0)), "")</f>
        <v/>
      </c>
      <c r="J258" s="20">
        <f>IF(H258&lt;&gt;"", IF(AND(C258=H258, D258=I258), "ACERTOU", IF(OR(C258=H258, D258=I258, C258=I258, D258=H258), "PARCIALMENTE", IF(OR(H258="Não há recomendação", I258="Não há recomendação", H258="SEM RECOMENDAÇÃO", I258="SEM RECOMENDAÇÃO"), "NÃO RECOMENDOU", "ERROU"))), "")</f>
        <v/>
      </c>
      <c r="K258" s="21" t="inlineStr">
        <is>
          <t>Gerenciamento de Continuidade de Serviço</t>
        </is>
      </c>
      <c r="L258" s="21" t="inlineStr">
        <is>
          <t>Gerenciamento de Incidentes</t>
        </is>
      </c>
      <c r="M258" s="21">
        <f>IF(K258&lt;&gt;"", IF(AND(C258=K258, D258=L258), "ACERTOU", IF(OR(C258=K258, D258=L258, C258=L258, D258=K258), "PARCIALMENTE", IF(OR(K258="Não há recomendação", L258="Não há recomendação", K258="SEM RECOMENDAÇÃO", L258="SEM RECOMENDAÇÃO"), "NÃO RECOMENDOU", "ERROU"))), "")</f>
        <v/>
      </c>
      <c r="N258" s="22">
        <f>IFERROR(INDEX([1]respota_rag_adaptativo!$A$2:$A$853, MATCH(_xlfn.CONCAT("*#",[1]analise_resposta!A258,"*"), [1]respota_rag_adaptativo!$C$2:$C$85, 0)), "")</f>
        <v/>
      </c>
      <c r="O258" s="22" t="n"/>
      <c r="P258" s="22">
        <f>IF(N258&lt;&gt;"", IF(AND(C258=N258, D258=O258), "ACERTOU", IF(OR(C258=N258, D258=O258, C258=O258, D258=N258), "PARCIALMENTE", IF(OR(N258="Não há recomendação", O258="Não há recomendação", N258="SEM RECOMENDAÇÃO", O258="SEM RECOMENDAÇÃO"), "NÃO RECOMENDOU", "ERROU"))), "")</f>
        <v/>
      </c>
      <c r="Q258" s="23">
        <f>IFERROR(INDEX([1]resposta_plan_exec!$A$2:$A$121, MATCH(_xlfn.CONCAT("*",[1]analise_resposta!A258,"*"), [1]resposta_plan_exec!$C$2:$C$121, 0)), "")</f>
        <v/>
      </c>
      <c r="R258" s="23">
        <f>IF([1]analise_resposta!A258="", "",
    _xlfn.LET(_xlpm.resultado, IFERROR(INDEX([1]resposta_plan_exec!$B$2:$B$121,
                           MATCH(_xlfn.CONCAT("*", [1]analise_resposta!A258, "*"),
                                   [1]resposta_plan_exec!$C$2:$C$121, 0)), ""),
        IF(_xlpm.resultado="", "", _xlpm.resultado)))</f>
        <v/>
      </c>
      <c r="S258" s="23" t="n"/>
    </row>
    <row r="259">
      <c r="A259" t="n">
        <v>2338</v>
      </c>
      <c r="B259" s="3" t="inlineStr">
        <is>
          <t>Solicitação de Assistência para Alteração de Configuração da AWS</t>
        </is>
      </c>
      <c r="C259" s="3" t="inlineStr">
        <is>
          <t>Solicitação de Serviço</t>
        </is>
      </c>
      <c r="D259" s="3" t="inlineStr">
        <is>
          <t>Gerenciamento Financeiro</t>
        </is>
      </c>
      <c r="F259" s="5">
        <f>IFERROR(INDEX([1]resposta_chat_stream!$B$2:$B$34, MATCH(_xlfn.CONCAT("*#",[1]analise_resposta!A259,"*"), [1]resposta_chat_stream!$C$2:$C$34, 0)), "")</f>
        <v/>
      </c>
      <c r="G259" s="6">
        <f>IF(E259&lt;&gt;"", IF(AND(C259=E259, D259=F259), "ACERTOU", IF(OR(C259=E259, D259=F259, C259=F259, D259=E259), "PARCIALMENTE", IF(OR(E259="Não há recomendação", F259="Não há recomendação", E259="SEM RECOMENDAÇÃO", F259="SEM RECOMENDAÇÃO"), "NÃO RECOMENDOU", "ERROU"))), "")</f>
        <v/>
      </c>
      <c r="H259" s="20">
        <f>IFERROR(INDEX([1]reposta_chat!$A$2:$A$121, MATCH(_xlfn.CONCAT("*#",[1]analise_resposta!A259,"*"), [1]reposta_chat!$C$2:$C$121, 0)), "")</f>
        <v/>
      </c>
      <c r="I259" s="20">
        <f>IFERROR(INDEX([1]reposta_chat!$B$2:$B$121, MATCH(_xlfn.CONCAT("*#",[1]analise_resposta!A259,"*"), [1]reposta_chat!$C$2:$C$121, 0)), "")</f>
        <v/>
      </c>
      <c r="J259" s="20">
        <f>IF(H259&lt;&gt;"", IF(AND(C259=H259, D259=I259), "ACERTOU", IF(OR(C259=H259, D259=I259, C259=I259, D259=H259), "PARCIALMENTE", IF(OR(H259="Não há recomendação", I259="Não há recomendação", H259="SEM RECOMENDAÇÃO", I259="SEM RECOMENDAÇÃO"), "NÃO RECOMENDOU", "ERROU"))), "")</f>
        <v/>
      </c>
      <c r="K259" s="21" t="inlineStr">
        <is>
          <t>Habilitação de Mudança</t>
        </is>
      </c>
      <c r="L259" s="21" t="inlineStr">
        <is>
          <t>Gerenciamento de Infraestrutura e Plataforma</t>
        </is>
      </c>
      <c r="M259" s="21">
        <f>IF(K259&lt;&gt;"", IF(AND(C259=K259, D259=L259), "ACERTOU", IF(OR(C259=K259, D259=L259, C259=L259, D259=K259), "PARCIALMENTE", IF(OR(K259="Não há recomendação", L259="Não há recomendação", K259="SEM RECOMENDAÇÃO", L259="SEM RECOMENDAÇÃO"), "NÃO RECOMENDOU", "ERROU"))), "")</f>
        <v/>
      </c>
      <c r="N259" s="22">
        <f>IFERROR(INDEX([1]respota_rag_adaptativo!$A$2:$A$853, MATCH(_xlfn.CONCAT("*#",[1]analise_resposta!A259,"*"), [1]respota_rag_adaptativo!$C$2:$C$85, 0)), "")</f>
        <v/>
      </c>
      <c r="O259" s="22" t="n"/>
      <c r="P259" s="22">
        <f>IF(N259&lt;&gt;"", IF(AND(C259=N259, D259=O259), "ACERTOU", IF(OR(C259=N259, D259=O259, C259=O259, D259=N259), "PARCIALMENTE", IF(OR(N259="Não há recomendação", O259="Não há recomendação", N259="SEM RECOMENDAÇÃO", O259="SEM RECOMENDAÇÃO"), "NÃO RECOMENDOU", "ERROU"))), "")</f>
        <v/>
      </c>
      <c r="Q259" s="23">
        <f>IFERROR(INDEX([1]resposta_plan_exec!$A$2:$A$121, MATCH(_xlfn.CONCAT("*",[1]analise_resposta!A259,"*"), [1]resposta_plan_exec!$C$2:$C$121, 0)), "")</f>
        <v/>
      </c>
      <c r="R259" s="23">
        <f>IF([1]analise_resposta!A259="", "",
    _xlfn.LET(_xlpm.resultado, IFERROR(INDEX([1]resposta_plan_exec!$B$2:$B$121,
                           MATCH(_xlfn.CONCAT("*", [1]analise_resposta!A259, "*"),
                                   [1]resposta_plan_exec!$C$2:$C$121, 0)), ""),
        IF(_xlpm.resultado="", "", _xlpm.resultado)))</f>
        <v/>
      </c>
      <c r="S259" s="23" t="n"/>
    </row>
    <row r="260">
      <c r="A260" t="n">
        <v>2339</v>
      </c>
      <c r="B260" s="3" t="inlineStr">
        <is>
          <t>Urgente: Dificuldade com a Configuração da Impressora HP LaserJet Pro M15w</t>
        </is>
      </c>
      <c r="C260" s="3" t="inlineStr">
        <is>
          <t>Solicitação de Serviço</t>
        </is>
      </c>
      <c r="D260" s="3" t="inlineStr">
        <is>
          <t>Gerenciamento de Incidentes</t>
        </is>
      </c>
      <c r="F260" s="5">
        <f>IFERROR(INDEX([1]resposta_chat_stream!$B$2:$B$34, MATCH(_xlfn.CONCAT("*#",[1]analise_resposta!A260,"*"), [1]resposta_chat_stream!$C$2:$C$34, 0)), "")</f>
        <v/>
      </c>
      <c r="G260" s="6">
        <f>IF(E260&lt;&gt;"", IF(AND(C260=E260, D260=F260), "ACERTOU", IF(OR(C260=E260, D260=F260, C260=F260, D260=E260), "PARCIALMENTE", IF(OR(E260="Não há recomendação", F260="Não há recomendação", E260="SEM RECOMENDAÇÃO", F260="SEM RECOMENDAÇÃO"), "NÃO RECOMENDOU", "ERROU"))), "")</f>
        <v/>
      </c>
      <c r="H260" s="20">
        <f>IFERROR(INDEX([1]reposta_chat!$A$2:$A$121, MATCH(_xlfn.CONCAT("*#",[1]analise_resposta!A260,"*"), [1]reposta_chat!$C$2:$C$121, 0)), "")</f>
        <v/>
      </c>
      <c r="I260" s="20">
        <f>IFERROR(INDEX([1]reposta_chat!$B$2:$B$121, MATCH(_xlfn.CONCAT("*#",[1]analise_resposta!A260,"*"), [1]reposta_chat!$C$2:$C$121, 0)), "")</f>
        <v/>
      </c>
      <c r="J260" s="20">
        <f>IF(H260&lt;&gt;"", IF(AND(C260=H260, D260=I260), "ACERTOU", IF(OR(C260=H260, D260=I260, C260=I260, D260=H260), "PARCIALMENTE", IF(OR(H260="Não há recomendação", I260="Não há recomendação", H260="SEM RECOMENDAÇÃO", I260="SEM RECOMENDAÇÃO"), "NÃO RECOMENDOU", "ERROU"))), "")</f>
        <v/>
      </c>
      <c r="K260" s="21" t="inlineStr">
        <is>
          <t>Gerenciamento de Requisição de Serviço</t>
        </is>
      </c>
      <c r="L260" s="21" t="inlineStr">
        <is>
          <t>Central de Serviço</t>
        </is>
      </c>
      <c r="M260" s="21">
        <f>IF(K260&lt;&gt;"", IF(AND(C260=K260, D260=L260), "ACERTOU", IF(OR(C260=K260, D260=L260, C260=L260, D260=K260), "PARCIALMENTE", IF(OR(K260="Não há recomendação", L260="Não há recomendação", K260="SEM RECOMENDAÇÃO", L260="SEM RECOMENDAÇÃO"), "NÃO RECOMENDOU", "ERROU"))), "")</f>
        <v/>
      </c>
      <c r="N260" s="22">
        <f>IFERROR(INDEX([1]respota_rag_adaptativo!$A$2:$A$853, MATCH(_xlfn.CONCAT("*#",[1]analise_resposta!A260,"*"), [1]respota_rag_adaptativo!$C$2:$C$85, 0)), "")</f>
        <v/>
      </c>
      <c r="O260" s="22" t="n"/>
      <c r="P260" s="22">
        <f>IF(N260&lt;&gt;"", IF(AND(C260=N260, D260=O260), "ACERTOU", IF(OR(C260=N260, D260=O260, C260=O260, D260=N260), "PARCIALMENTE", IF(OR(N260="Não há recomendação", O260="Não há recomendação", N260="SEM RECOMENDAÇÃO", O260="SEM RECOMENDAÇÃO"), "NÃO RECOMENDOU", "ERROU"))), "")</f>
        <v/>
      </c>
      <c r="Q260" s="23">
        <f>IFERROR(INDEX([1]resposta_plan_exec!$A$2:$A$121, MATCH(_xlfn.CONCAT("*",[1]analise_resposta!A260,"*"), [1]resposta_plan_exec!$C$2:$C$121, 0)), "")</f>
        <v/>
      </c>
      <c r="R260" s="23">
        <f>IF([1]analise_resposta!A260="", "",
    _xlfn.LET(_xlpm.resultado, IFERROR(INDEX([1]resposta_plan_exec!$B$2:$B$121,
                           MATCH(_xlfn.CONCAT("*", [1]analise_resposta!A260, "*"),
                                   [1]resposta_plan_exec!$C$2:$C$121, 0)), ""),
        IF(_xlpm.resultado="", "", _xlpm.resultado)))</f>
        <v/>
      </c>
      <c r="S260" s="23" t="n"/>
    </row>
    <row r="261">
      <c r="A261" t="n">
        <v>2346</v>
      </c>
      <c r="B261" s="3" t="inlineStr">
        <is>
          <t>Solicitação de Troca Devido a Problemas de Conectividade</t>
        </is>
      </c>
      <c r="C261" s="3" t="inlineStr">
        <is>
          <t>Solicitação de Serviço</t>
        </is>
      </c>
      <c r="D261" s="3" t="inlineStr">
        <is>
          <t>Gerenciamento de Ativos de TI</t>
        </is>
      </c>
      <c r="F261" s="5">
        <f>IFERROR(INDEX([1]resposta_chat_stream!$B$2:$B$34, MATCH(_xlfn.CONCAT("*#",[1]analise_resposta!A261,"*"), [1]resposta_chat_stream!$C$2:$C$34, 0)), "")</f>
        <v/>
      </c>
      <c r="G261" s="6">
        <f>IF(E261&lt;&gt;"", IF(AND(C261=E261, D261=F261), "ACERTOU", IF(OR(C261=E261, D261=F261, C261=F261, D261=E261), "PARCIALMENTE", IF(OR(E261="Não há recomendação", F261="Não há recomendação", E261="SEM RECOMENDAÇÃO", F261="SEM RECOMENDAÇÃO"), "NÃO RECOMENDOU", "ERROU"))), "")</f>
        <v/>
      </c>
      <c r="H261" s="20">
        <f>IFERROR(INDEX([1]reposta_chat!$A$2:$A$121, MATCH(_xlfn.CONCAT("*#",[1]analise_resposta!A261,"*"), [1]reposta_chat!$C$2:$C$121, 0)), "")</f>
        <v/>
      </c>
      <c r="I261" s="20">
        <f>IFERROR(INDEX([1]reposta_chat!$B$2:$B$121, MATCH(_xlfn.CONCAT("*#",[1]analise_resposta!A261,"*"), [1]reposta_chat!$C$2:$C$121, 0)), "")</f>
        <v/>
      </c>
      <c r="J261" s="20">
        <f>IF(H261&lt;&gt;"", IF(AND(C261=H261, D261=I261), "ACERTOU", IF(OR(C261=H261, D261=I261, C261=I261, D261=H261), "PARCIALMENTE", IF(OR(H261="Não há recomendação", I261="Não há recomendação", H261="SEM RECOMENDAÇÃO", I261="SEM RECOMENDAÇÃO"), "NÃO RECOMENDOU", "ERROU"))), "")</f>
        <v/>
      </c>
      <c r="K261" s="21" t="inlineStr">
        <is>
          <t>Gerenciamento de Catálogo de Serviço</t>
        </is>
      </c>
      <c r="L261" s="21" t="inlineStr">
        <is>
          <t>Gerenciamento de Requisição de Serviço</t>
        </is>
      </c>
      <c r="M261" s="21">
        <f>IF(K261&lt;&gt;"", IF(AND(C261=K261, D261=L261), "ACERTOU", IF(OR(C261=K261, D261=L261, C261=L261, D261=K261), "PARCIALMENTE", IF(OR(K261="Não há recomendação", L261="Não há recomendação", K261="SEM RECOMENDAÇÃO", L261="SEM RECOMENDAÇÃO"), "NÃO RECOMENDOU", "ERROU"))), "")</f>
        <v/>
      </c>
      <c r="N261" s="22">
        <f>IFERROR(INDEX([1]respota_rag_adaptativo!$A$2:$A$853, MATCH(_xlfn.CONCAT("*#",[1]analise_resposta!A261,"*"), [1]respota_rag_adaptativo!$C$2:$C$85, 0)), "")</f>
        <v/>
      </c>
      <c r="O261" s="22" t="n"/>
      <c r="P261" s="22">
        <f>IF(N261&lt;&gt;"", IF(AND(C261=N261, D261=O261), "ACERTOU", IF(OR(C261=N261, D261=O261, C261=O261, D261=N261), "PARCIALMENTE", IF(OR(N261="Não há recomendação", O261="Não há recomendação", N261="SEM RECOMENDAÇÃO", O261="SEM RECOMENDAÇÃO"), "NÃO RECOMENDOU", "ERROU"))), "")</f>
        <v/>
      </c>
      <c r="Q261" s="23">
        <f>IFERROR(INDEX([1]resposta_plan_exec!$A$2:$A$121, MATCH(_xlfn.CONCAT("*",[1]analise_resposta!A261,"*"), [1]resposta_plan_exec!$C$2:$C$121, 0)), "")</f>
        <v/>
      </c>
      <c r="R261" s="23">
        <f>IF([1]analise_resposta!A261="", "",
    _xlfn.LET(_xlpm.resultado, IFERROR(INDEX([1]resposta_plan_exec!$B$2:$B$121,
                           MATCH(_xlfn.CONCAT("*", [1]analise_resposta!A261, "*"),
                                   [1]resposta_plan_exec!$C$2:$C$121, 0)), ""),
        IF(_xlpm.resultado="", "", _xlpm.resultado)))</f>
        <v/>
      </c>
      <c r="S261" s="23" t="n"/>
    </row>
    <row r="262">
      <c r="A262" t="n">
        <v>2352</v>
      </c>
      <c r="B262" s="3" t="inlineStr">
        <is>
          <t>Problemas de Desempenho de Rede com o Roteador Cisco ISR4331</t>
        </is>
      </c>
      <c r="C262" s="3" t="inlineStr">
        <is>
          <t>Gerenciamento de Incidentes</t>
        </is>
      </c>
      <c r="D262" s="3" t="inlineStr">
        <is>
          <t>Gerenciamento de Capacidade</t>
        </is>
      </c>
      <c r="F262" s="5">
        <f>IFERROR(INDEX([1]resposta_chat_stream!$B$2:$B$34, MATCH(_xlfn.CONCAT("*#",[1]analise_resposta!A262,"*"), [1]resposta_chat_stream!$C$2:$C$34, 0)), "")</f>
        <v/>
      </c>
      <c r="G262" s="6">
        <f>IF(E262&lt;&gt;"", IF(AND(C262=E262, D262=F262), "ACERTOU", IF(OR(C262=E262, D262=F262, C262=F262, D262=E262), "PARCIALMENTE", IF(OR(E262="Não há recomendação", F262="Não há recomendação", E262="SEM RECOMENDAÇÃO", F262="SEM RECOMENDAÇÃO"), "NÃO RECOMENDOU", "ERROU"))), "")</f>
        <v/>
      </c>
      <c r="H262" s="20">
        <f>IFERROR(INDEX([1]reposta_chat!$A$2:$A$121, MATCH(_xlfn.CONCAT("*#",[1]analise_resposta!A262,"*"), [1]reposta_chat!$C$2:$C$121, 0)), "")</f>
        <v/>
      </c>
      <c r="I262" s="20">
        <f>IFERROR(INDEX([1]reposta_chat!$B$2:$B$121, MATCH(_xlfn.CONCAT("*#",[1]analise_resposta!A262,"*"), [1]reposta_chat!$C$2:$C$121, 0)), "")</f>
        <v/>
      </c>
      <c r="J262" s="20">
        <f>IF(H262&lt;&gt;"", IF(AND(C262=H262, D262=I262), "ACERTOU", IF(OR(C262=H262, D262=I262, C262=I262, D262=H262), "PARCIALMENTE", IF(OR(H262="Não há recomendação", I262="Não há recomendação", H262="SEM RECOMENDAÇÃO", I262="SEM RECOMENDAÇÃO"), "NÃO RECOMENDOU", "ERROU"))), "")</f>
        <v/>
      </c>
      <c r="K262" s="21" t="inlineStr">
        <is>
          <t>Gerenciamento de Capacidade e Desempenho</t>
        </is>
      </c>
      <c r="L262" s="21" t="inlineStr">
        <is>
          <t>Gerenciamento de Problemas</t>
        </is>
      </c>
      <c r="M262" s="21">
        <f>IF(K262&lt;&gt;"", IF(AND(C262=K262, D262=L262), "ACERTOU", IF(OR(C262=K262, D262=L262, C262=L262, D262=K262), "PARCIALMENTE", IF(OR(K262="Não há recomendação", L262="Não há recomendação", K262="SEM RECOMENDAÇÃO", L262="SEM RECOMENDAÇÃO"), "NÃO RECOMENDOU", "ERROU"))), "")</f>
        <v/>
      </c>
      <c r="N262" s="22">
        <f>IFERROR(INDEX([1]respota_rag_adaptativo!$A$2:$A$853, MATCH(_xlfn.CONCAT("*#",[1]analise_resposta!A262,"*"), [1]respota_rag_adaptativo!$C$2:$C$85, 0)), "")</f>
        <v/>
      </c>
      <c r="O262" s="22" t="n"/>
      <c r="P262" s="22">
        <f>IF(N262&lt;&gt;"", IF(AND(C262=N262, D262=O262), "ACERTOU", IF(OR(C262=N262, D262=O262, C262=O262, D262=N262), "PARCIALMENTE", IF(OR(N262="Não há recomendação", O262="Não há recomendação", N262="SEM RECOMENDAÇÃO", O262="SEM RECOMENDAÇÃO"), "NÃO RECOMENDOU", "ERROU"))), "")</f>
        <v/>
      </c>
      <c r="Q262" s="23">
        <f>IFERROR(INDEX([1]resposta_plan_exec!$A$2:$A$121, MATCH(_xlfn.CONCAT("*",[1]analise_resposta!A262,"*"), [1]resposta_plan_exec!$C$2:$C$121, 0)), "")</f>
        <v/>
      </c>
      <c r="R262" s="23">
        <f>IF([1]analise_resposta!A262="", "",
    _xlfn.LET(_xlpm.resultado, IFERROR(INDEX([1]resposta_plan_exec!$B$2:$B$121,
                           MATCH(_xlfn.CONCAT("*", [1]analise_resposta!A262, "*"),
                                   [1]resposta_plan_exec!$C$2:$C$121, 0)), ""),
        IF(_xlpm.resultado="", "", _xlpm.resultado)))</f>
        <v/>
      </c>
      <c r="S262" s="23" t="n"/>
    </row>
    <row r="263">
      <c r="A263" t="n">
        <v>2360</v>
      </c>
      <c r="B263" s="3" t="inlineStr">
        <is>
          <t>Problemas de Conectividade: Impressora HP DeskJet 3755</t>
        </is>
      </c>
      <c r="C263" s="3" t="inlineStr">
        <is>
          <t>Gerenciamento de Incidentes</t>
        </is>
      </c>
      <c r="D263" s="3" t="inlineStr">
        <is>
          <t>Gerenciamento de Problemas</t>
        </is>
      </c>
      <c r="F263" s="5">
        <f>IFERROR(INDEX([1]resposta_chat_stream!$B$2:$B$34, MATCH(_xlfn.CONCAT("*#",[1]analise_resposta!A263,"*"), [1]resposta_chat_stream!$C$2:$C$34, 0)), "")</f>
        <v/>
      </c>
      <c r="G263" s="6">
        <f>IF(E263&lt;&gt;"", IF(AND(C263=E263, D263=F263), "ACERTOU", IF(OR(C263=E263, D263=F263, C263=F263, D263=E263), "PARCIALMENTE", IF(OR(E263="Não há recomendação", F263="Não há recomendação", E263="SEM RECOMENDAÇÃO", F263="SEM RECOMENDAÇÃO"), "NÃO RECOMENDOU", "ERROU"))), "")</f>
        <v/>
      </c>
      <c r="H263" s="20">
        <f>IFERROR(INDEX([1]reposta_chat!$A$2:$A$121, MATCH(_xlfn.CONCAT("*#",[1]analise_resposta!A263,"*"), [1]reposta_chat!$C$2:$C$121, 0)), "")</f>
        <v/>
      </c>
      <c r="I263" s="20">
        <f>IFERROR(INDEX([1]reposta_chat!$B$2:$B$121, MATCH(_xlfn.CONCAT("*#",[1]analise_resposta!A263,"*"), [1]reposta_chat!$C$2:$C$121, 0)), "")</f>
        <v/>
      </c>
      <c r="J263" s="20">
        <f>IF(H263&lt;&gt;"", IF(AND(C263=H263, D263=I263), "ACERTOU", IF(OR(C263=H263, D263=I263, C263=I263, D263=H263), "PARCIALMENTE", IF(OR(H263="Não há recomendação", I263="Não há recomendação", H263="SEM RECOMENDAÇÃO", I263="SEM RECOMENDAÇÃO"), "NÃO RECOMENDOU", "ERROU"))), "")</f>
        <v/>
      </c>
      <c r="K263" s="21" t="inlineStr">
        <is>
          <t>Gerenciamento de Problemas</t>
        </is>
      </c>
      <c r="L263" s="21" t="inlineStr">
        <is>
          <t>Gerenciamento de Incidentes</t>
        </is>
      </c>
      <c r="M263" s="21">
        <f>IF(K263&lt;&gt;"", IF(AND(C263=K263, D263=L263), "ACERTOU", IF(OR(C263=K263, D263=L263, C263=L263, D263=K263), "PARCIALMENTE", IF(OR(K263="Não há recomendação", L263="Não há recomendação", K263="SEM RECOMENDAÇÃO", L263="SEM RECOMENDAÇÃO"), "NÃO RECOMENDOU", "ERROU"))), "")</f>
        <v/>
      </c>
      <c r="N263" s="22">
        <f>IFERROR(INDEX([1]respota_rag_adaptativo!$A$2:$A$853, MATCH(_xlfn.CONCAT("*#",[1]analise_resposta!A263,"*"), [1]respota_rag_adaptativo!$C$2:$C$85, 0)), "")</f>
        <v/>
      </c>
      <c r="O263" s="22" t="n"/>
      <c r="P263" s="22">
        <f>IF(N263&lt;&gt;"", IF(AND(C263=N263, D263=O263), "ACERTOU", IF(OR(C263=N263, D263=O263, C263=O263, D263=N263), "PARCIALMENTE", IF(OR(N263="Não há recomendação", O263="Não há recomendação", N263="SEM RECOMENDAÇÃO", O263="SEM RECOMENDAÇÃO"), "NÃO RECOMENDOU", "ERROU"))), "")</f>
        <v/>
      </c>
      <c r="Q263" s="23">
        <f>IFERROR(INDEX([1]resposta_plan_exec!$A$2:$A$121, MATCH(_xlfn.CONCAT("*",[1]analise_resposta!A263,"*"), [1]resposta_plan_exec!$C$2:$C$121, 0)), "")</f>
        <v/>
      </c>
      <c r="R263" s="23">
        <f>IF([1]analise_resposta!A263="", "",
    _xlfn.LET(_xlpm.resultado, IFERROR(INDEX([1]resposta_plan_exec!$B$2:$B$121,
                           MATCH(_xlfn.CONCAT("*", [1]analise_resposta!A263, "*"),
                                   [1]resposta_plan_exec!$C$2:$C$121, 0)), ""),
        IF(_xlpm.resultado="", "", _xlpm.resultado)))</f>
        <v/>
      </c>
      <c r="S263" s="23" t="n"/>
    </row>
    <row r="264">
      <c r="A264" t="n">
        <v>2361</v>
      </c>
      <c r="B264" s="3" t="inlineStr">
        <is>
          <t>Urgente: Problema de Energia do Laptop</t>
        </is>
      </c>
      <c r="C264" s="3" t="inlineStr">
        <is>
          <t>Gerenciamento de Incidentes</t>
        </is>
      </c>
      <c r="D264" s="3" t="inlineStr">
        <is>
          <t>Gerenciamento de Ativos de TI</t>
        </is>
      </c>
      <c r="F264" s="5">
        <f>IFERROR(INDEX([1]resposta_chat_stream!$B$2:$B$34, MATCH(_xlfn.CONCAT("*#",[1]analise_resposta!A264,"*"), [1]resposta_chat_stream!$C$2:$C$34, 0)), "")</f>
        <v/>
      </c>
      <c r="G264" s="6">
        <f>IF(E264&lt;&gt;"", IF(AND(C264=E264, D264=F264), "ACERTOU", IF(OR(C264=E264, D264=F264, C264=F264, D264=E264), "PARCIALMENTE", IF(OR(E264="Não há recomendação", F264="Não há recomendação", E264="SEM RECOMENDAÇÃO", F264="SEM RECOMENDAÇÃO"), "NÃO RECOMENDOU", "ERROU"))), "")</f>
        <v/>
      </c>
      <c r="H264" s="20">
        <f>IFERROR(INDEX([1]reposta_chat!$A$2:$A$121, MATCH(_xlfn.CONCAT("*#",[1]analise_resposta!A264,"*"), [1]reposta_chat!$C$2:$C$121, 0)), "")</f>
        <v/>
      </c>
      <c r="I264" s="20">
        <f>IFERROR(INDEX([1]reposta_chat!$B$2:$B$121, MATCH(_xlfn.CONCAT("*#",[1]analise_resposta!A264,"*"), [1]reposta_chat!$C$2:$C$121, 0)), "")</f>
        <v/>
      </c>
      <c r="J264" s="20">
        <f>IF(H264&lt;&gt;"", IF(AND(C264=H264, D264=I264), "ACERTOU", IF(OR(C264=H264, D264=I264, C264=I264, D264=H264), "PARCIALMENTE", IF(OR(H264="Não há recomendação", I264="Não há recomendação", H264="SEM RECOMENDAÇÃO", I264="SEM RECOMENDAÇÃO"), "NÃO RECOMENDOU", "ERROU"))), "")</f>
        <v/>
      </c>
      <c r="K264" s="21" t="inlineStr">
        <is>
          <t>Gerenciamento de Ativos de TI</t>
        </is>
      </c>
      <c r="L264" s="21" t="inlineStr">
        <is>
          <t>Gerenciamento de Incidentes</t>
        </is>
      </c>
      <c r="M264" s="21">
        <f>IF(K264&lt;&gt;"", IF(AND(C264=K264, D264=L264), "ACERTOU", IF(OR(C264=K264, D264=L264, C264=L264, D264=K264), "PARCIALMENTE", IF(OR(K264="Não há recomendação", L264="Não há recomendação", K264="SEM RECOMENDAÇÃO", L264="SEM RECOMENDAÇÃO"), "NÃO RECOMENDOU", "ERROU"))), "")</f>
        <v/>
      </c>
      <c r="N264" s="22">
        <f>IFERROR(INDEX([1]respota_rag_adaptativo!$A$2:$A$853, MATCH(_xlfn.CONCAT("*#",[1]analise_resposta!A264,"*"), [1]respota_rag_adaptativo!$C$2:$C$85, 0)), "")</f>
        <v/>
      </c>
      <c r="O264" s="22" t="n"/>
      <c r="P264" s="22">
        <f>IF(N264&lt;&gt;"", IF(AND(C264=N264, D264=O264), "ACERTOU", IF(OR(C264=N264, D264=O264, C264=O264, D264=N264), "PARCIALMENTE", IF(OR(N264="Não há recomendação", O264="Não há recomendação", N264="SEM RECOMENDAÇÃO", O264="SEM RECOMENDAÇÃO"), "NÃO RECOMENDOU", "ERROU"))), "")</f>
        <v/>
      </c>
      <c r="Q264" s="23">
        <f>IFERROR(INDEX([1]resposta_plan_exec!$A$2:$A$121, MATCH(_xlfn.CONCAT("*",[1]analise_resposta!A264,"*"), [1]resposta_plan_exec!$C$2:$C$121, 0)), "")</f>
        <v/>
      </c>
      <c r="R264" s="23">
        <f>IF([1]analise_resposta!A264="", "",
    _xlfn.LET(_xlpm.resultado, IFERROR(INDEX([1]resposta_plan_exec!$B$2:$B$121,
                           MATCH(_xlfn.CONCAT("*", [1]analise_resposta!A264, "*"),
                                   [1]resposta_plan_exec!$C$2:$C$121, 0)), ""),
        IF(_xlpm.resultado="", "", _xlpm.resultado)))</f>
        <v/>
      </c>
      <c r="S264" s="23" t="n"/>
    </row>
    <row r="265">
      <c r="A265" t="n">
        <v>2362</v>
      </c>
      <c r="B265" s="3" t="inlineStr">
        <is>
          <t>Urgente: Necessário solucionar falhas do Google Chrome 102.0</t>
        </is>
      </c>
      <c r="C265" s="3" t="inlineStr">
        <is>
          <t>Gerenciamento de Incidentes</t>
        </is>
      </c>
      <c r="D265" s="3" t="inlineStr">
        <is>
          <t>Gerenciamento de Problemas</t>
        </is>
      </c>
      <c r="F265" s="5">
        <f>IFERROR(INDEX([1]resposta_chat_stream!$B$2:$B$34, MATCH(_xlfn.CONCAT("*#",[1]analise_resposta!A265,"*"), [1]resposta_chat_stream!$C$2:$C$34, 0)), "")</f>
        <v/>
      </c>
      <c r="G265" s="6">
        <f>IF(E265&lt;&gt;"", IF(AND(C265=E265, D265=F265), "ACERTOU", IF(OR(C265=E265, D265=F265, C265=F265, D265=E265), "PARCIALMENTE", IF(OR(E265="Não há recomendação", F265="Não há recomendação", E265="SEM RECOMENDAÇÃO", F265="SEM RECOMENDAÇÃO"), "NÃO RECOMENDOU", "ERROU"))), "")</f>
        <v/>
      </c>
      <c r="H265" s="20">
        <f>IFERROR(INDEX([1]reposta_chat!$A$2:$A$121, MATCH(_xlfn.CONCAT("*#",[1]analise_resposta!A265,"*"), [1]reposta_chat!$C$2:$C$121, 0)), "")</f>
        <v/>
      </c>
      <c r="I265" s="20">
        <f>IFERROR(INDEX([1]reposta_chat!$B$2:$B$121, MATCH(_xlfn.CONCAT("*#",[1]analise_resposta!A265,"*"), [1]reposta_chat!$C$2:$C$121, 0)), "")</f>
        <v/>
      </c>
      <c r="J265" s="20">
        <f>IF(H265&lt;&gt;"", IF(AND(C265=H265, D265=I265), "ACERTOU", IF(OR(C265=H265, D265=I265, C265=I265, D265=H265), "PARCIALMENTE", IF(OR(H265="Não há recomendação", I265="Não há recomendação", H265="SEM RECOMENDAÇÃO", I265="SEM RECOMENDAÇÃO"), "NÃO RECOMENDOU", "ERROU"))), "")</f>
        <v/>
      </c>
      <c r="K265" s="21" t="inlineStr">
        <is>
          <t>Gerenciamento de Problemas</t>
        </is>
      </c>
      <c r="L265" s="21" t="inlineStr">
        <is>
          <t>Desenvolvimento e Gerenciamento de Software</t>
        </is>
      </c>
      <c r="M265" s="21">
        <f>IF(K265&lt;&gt;"", IF(AND(C265=K265, D265=L265), "ACERTOU", IF(OR(C265=K265, D265=L265, C265=L265, D265=K265), "PARCIALMENTE", IF(OR(K265="Não há recomendação", L265="Não há recomendação", K265="SEM RECOMENDAÇÃO", L265="SEM RECOMENDAÇÃO"), "NÃO RECOMENDOU", "ERROU"))), "")</f>
        <v/>
      </c>
      <c r="N265" s="22">
        <f>IFERROR(INDEX([1]respota_rag_adaptativo!$A$2:$A$853, MATCH(_xlfn.CONCAT("*#",[1]analise_resposta!A265,"*"), [1]respota_rag_adaptativo!$C$2:$C$85, 0)), "")</f>
        <v/>
      </c>
      <c r="O265" s="22" t="n"/>
      <c r="P265" s="22">
        <f>IF(N265&lt;&gt;"", IF(AND(C265=N265, D265=O265), "ACERTOU", IF(OR(C265=N265, D265=O265, C265=O265, D265=N265), "PARCIALMENTE", IF(OR(N265="Não há recomendação", O265="Não há recomendação", N265="SEM RECOMENDAÇÃO", O265="SEM RECOMENDAÇÃO"), "NÃO RECOMENDOU", "ERROU"))), "")</f>
        <v/>
      </c>
      <c r="Q265" s="23">
        <f>IFERROR(INDEX([1]resposta_plan_exec!$A$2:$A$121, MATCH(_xlfn.CONCAT("*",[1]analise_resposta!A265,"*"), [1]resposta_plan_exec!$C$2:$C$121, 0)), "")</f>
        <v/>
      </c>
      <c r="R265" s="23">
        <f>IF([1]analise_resposta!A265="", "",
    _xlfn.LET(_xlpm.resultado, IFERROR(INDEX([1]resposta_plan_exec!$B$2:$B$121,
                           MATCH(_xlfn.CONCAT("*", [1]analise_resposta!A265, "*"),
                                   [1]resposta_plan_exec!$C$2:$C$121, 0)), ""),
        IF(_xlpm.resultado="", "", _xlpm.resultado)))</f>
        <v/>
      </c>
      <c r="S265" s="23" t="n"/>
    </row>
    <row r="266">
      <c r="A266" t="n">
        <v>2368</v>
      </c>
      <c r="B266" s="3" t="inlineStr">
        <is>
          <t>Urgente: Assistência Imediata Necessária para Falha na Aplicação de Folha de Pagamento</t>
        </is>
      </c>
      <c r="C266" s="3" t="inlineStr">
        <is>
          <t>Gerenciamento de Incidentes</t>
        </is>
      </c>
      <c r="D266" s="3" t="inlineStr">
        <is>
          <t>Gerenciamento de Disponibilidade</t>
        </is>
      </c>
      <c r="F266" s="5">
        <f>IFERROR(INDEX([1]resposta_chat_stream!$B$2:$B$34, MATCH(_xlfn.CONCAT("*#",[1]analise_resposta!A266,"*"), [1]resposta_chat_stream!$C$2:$C$34, 0)), "")</f>
        <v/>
      </c>
      <c r="G266" s="6">
        <f>IF(E266&lt;&gt;"", IF(AND(C266=E266, D266=F266), "ACERTOU", IF(OR(C266=E266, D266=F266, C266=F266, D266=E266), "PARCIALMENTE", IF(OR(E266="Não há recomendação", F266="Não há recomendação", E266="SEM RECOMENDAÇÃO", F266="SEM RECOMENDAÇÃO"), "NÃO RECOMENDOU", "ERROU"))), "")</f>
        <v/>
      </c>
      <c r="H266" s="20">
        <f>IFERROR(INDEX([1]reposta_chat!$A$2:$A$121, MATCH(_xlfn.CONCAT("*#",[1]analise_resposta!A266,"*"), [1]reposta_chat!$C$2:$C$121, 0)), "")</f>
        <v/>
      </c>
      <c r="I266" s="20">
        <f>IFERROR(INDEX([1]reposta_chat!$B$2:$B$121, MATCH(_xlfn.CONCAT("*#",[1]analise_resposta!A266,"*"), [1]reposta_chat!$C$2:$C$121, 0)), "")</f>
        <v/>
      </c>
      <c r="J266" s="20">
        <f>IF(H266&lt;&gt;"", IF(AND(C266=H266, D266=I266), "ACERTOU", IF(OR(C266=H266, D266=I266, C266=I266, D266=H266), "PARCIALMENTE", IF(OR(H266="Não há recomendação", I266="Não há recomendação", H266="SEM RECOMENDAÇÃO", I266="SEM RECOMENDAÇÃO"), "NÃO RECOMENDOU", "ERROU"))), "")</f>
        <v/>
      </c>
      <c r="K266" s="21" t="inlineStr">
        <is>
          <t>Gerenciamento de Continuidade de Serviço</t>
        </is>
      </c>
      <c r="L266" s="21" t="inlineStr">
        <is>
          <t>Gerenciamento de Incidentes</t>
        </is>
      </c>
      <c r="M266" s="21">
        <f>IF(K266&lt;&gt;"", IF(AND(C266=K266, D266=L266), "ACERTOU", IF(OR(C266=K266, D266=L266, C266=L266, D266=K266), "PARCIALMENTE", IF(OR(K266="Não há recomendação", L266="Não há recomendação", K266="SEM RECOMENDAÇÃO", L266="SEM RECOMENDAÇÃO"), "NÃO RECOMENDOU", "ERROU"))), "")</f>
        <v/>
      </c>
      <c r="N266" s="22">
        <f>IFERROR(INDEX([1]respota_rag_adaptativo!$A$2:$A$853, MATCH(_xlfn.CONCAT("*#",[1]analise_resposta!A266,"*"), [1]respota_rag_adaptativo!$C$2:$C$85, 0)), "")</f>
        <v/>
      </c>
      <c r="O266" s="22" t="n"/>
      <c r="P266" s="22">
        <f>IF(N266&lt;&gt;"", IF(AND(C266=N266, D266=O266), "ACERTOU", IF(OR(C266=N266, D266=O266, C266=O266, D266=N266), "PARCIALMENTE", IF(OR(N266="Não há recomendação", O266="Não há recomendação", N266="SEM RECOMENDAÇÃO", O266="SEM RECOMENDAÇÃO"), "NÃO RECOMENDOU", "ERROU"))), "")</f>
        <v/>
      </c>
      <c r="Q266" s="23">
        <f>IFERROR(INDEX([1]resposta_plan_exec!$A$2:$A$121, MATCH(_xlfn.CONCAT("*",[1]analise_resposta!A266,"*"), [1]resposta_plan_exec!$C$2:$C$121, 0)), "")</f>
        <v/>
      </c>
      <c r="R266" s="23">
        <f>IF([1]analise_resposta!A266="", "",
    _xlfn.LET(_xlpm.resultado, IFERROR(INDEX([1]resposta_plan_exec!$B$2:$B$121,
                           MATCH(_xlfn.CONCAT("*", [1]analise_resposta!A266, "*"),
                                   [1]resposta_plan_exec!$C$2:$C$121, 0)), ""),
        IF(_xlpm.resultado="", "", _xlpm.resultado)))</f>
        <v/>
      </c>
      <c r="S266" s="23" t="n"/>
    </row>
    <row r="267">
      <c r="A267" t="n">
        <v>2390</v>
      </c>
      <c r="B267" s="3" t="inlineStr">
        <is>
          <t>Urgente: Problema de Tempo de Inatividade do Serviço de Gerenciamento AWS</t>
        </is>
      </c>
      <c r="C267" s="3" t="inlineStr">
        <is>
          <t>Gerenciamento de Incidentes</t>
        </is>
      </c>
      <c r="D267" s="3" t="inlineStr">
        <is>
          <t>Gerenciamento de Disponibilidade</t>
        </is>
      </c>
      <c r="F267" s="5">
        <f>IFERROR(INDEX([1]resposta_chat_stream!$B$2:$B$34, MATCH(_xlfn.CONCAT("*#",[1]analise_resposta!A267,"*"), [1]resposta_chat_stream!$C$2:$C$34, 0)), "")</f>
        <v/>
      </c>
      <c r="G267" s="6">
        <f>IF(E267&lt;&gt;"", IF(AND(C267=E267, D267=F267), "ACERTOU", IF(OR(C267=E267, D267=F267, C267=F267, D267=E267), "PARCIALMENTE", IF(OR(E267="Não há recomendação", F267="Não há recomendação", E267="SEM RECOMENDAÇÃO", F267="SEM RECOMENDAÇÃO"), "NÃO RECOMENDOU", "ERROU"))), "")</f>
        <v/>
      </c>
      <c r="H267" s="20">
        <f>IFERROR(INDEX([1]reposta_chat!$A$2:$A$121, MATCH(_xlfn.CONCAT("*#",[1]analise_resposta!A267,"*"), [1]reposta_chat!$C$2:$C$121, 0)), "")</f>
        <v/>
      </c>
      <c r="I267" s="20">
        <f>IFERROR(INDEX([1]reposta_chat!$B$2:$B$121, MATCH(_xlfn.CONCAT("*#",[1]analise_resposta!A267,"*"), [1]reposta_chat!$C$2:$C$121, 0)), "")</f>
        <v/>
      </c>
      <c r="J267" s="20">
        <f>IF(H267&lt;&gt;"", IF(AND(C267=H267, D267=I267), "ACERTOU", IF(OR(C267=H267, D267=I267, C267=I267, D267=H267), "PARCIALMENTE", IF(OR(H267="Não há recomendação", I267="Não há recomendação", H267="SEM RECOMENDAÇÃO", I267="SEM RECOMENDAÇÃO"), "NÃO RECOMENDOU", "ERROU"))), "")</f>
        <v/>
      </c>
      <c r="K267" s="21" t="inlineStr">
        <is>
          <t>Gerenciamento de Disponibilidade</t>
        </is>
      </c>
      <c r="L267" s="21" t="inlineStr">
        <is>
          <t>Gerenciamento de Incidentes</t>
        </is>
      </c>
      <c r="M267" s="21">
        <f>IF(K267&lt;&gt;"", IF(AND(C267=K267, D267=L267), "ACERTOU", IF(OR(C267=K267, D267=L267, C267=L267, D267=K267), "PARCIALMENTE", IF(OR(K267="Não há recomendação", L267="Não há recomendação", K267="SEM RECOMENDAÇÃO", L267="SEM RECOMENDAÇÃO"), "NÃO RECOMENDOU", "ERROU"))), "")</f>
        <v/>
      </c>
      <c r="N267" s="22">
        <f>IFERROR(INDEX([1]respota_rag_adaptativo!$A$2:$A$853, MATCH(_xlfn.CONCAT("*#",[1]analise_resposta!A267,"*"), [1]respota_rag_adaptativo!$C$2:$C$85, 0)), "")</f>
        <v/>
      </c>
      <c r="O267" s="22" t="n"/>
      <c r="P267" s="22">
        <f>IF(N267&lt;&gt;"", IF(AND(C267=N267, D267=O267), "ACERTOU", IF(OR(C267=N267, D267=O267, C267=O267, D267=N267), "PARCIALMENTE", IF(OR(N267="Não há recomendação", O267="Não há recomendação", N267="SEM RECOMENDAÇÃO", O267="SEM RECOMENDAÇÃO"), "NÃO RECOMENDOU", "ERROU"))), "")</f>
        <v/>
      </c>
      <c r="Q267" s="23">
        <f>IFERROR(INDEX([1]resposta_plan_exec!$A$2:$A$121, MATCH(_xlfn.CONCAT("*",[1]analise_resposta!A267,"*"), [1]resposta_plan_exec!$C$2:$C$121, 0)), "")</f>
        <v/>
      </c>
      <c r="R267" s="23">
        <f>IF([1]analise_resposta!A267="", "",
    _xlfn.LET(_xlpm.resultado, IFERROR(INDEX([1]resposta_plan_exec!$B$2:$B$121,
                           MATCH(_xlfn.CONCAT("*", [1]analise_resposta!A267, "*"),
                                   [1]resposta_plan_exec!$C$2:$C$121, 0)), ""),
        IF(_xlpm.resultado="", "", _xlpm.resultado)))</f>
        <v/>
      </c>
      <c r="S267" s="23" t="n"/>
    </row>
    <row r="268">
      <c r="A268" t="n">
        <v>2392</v>
      </c>
      <c r="B268" s="3" t="inlineStr">
        <is>
          <t>Experienciando Desconexões Frequentes com o Zoom 5.11.0</t>
        </is>
      </c>
      <c r="C268" s="3" t="inlineStr">
        <is>
          <t>Gerenciamento de Incidentes</t>
        </is>
      </c>
      <c r="D268" s="3" t="inlineStr">
        <is>
          <t>Gerenciamento de Problemas</t>
        </is>
      </c>
      <c r="F268" s="5">
        <f>IFERROR(INDEX([1]resposta_chat_stream!$B$2:$B$34, MATCH(_xlfn.CONCAT("*#",[1]analise_resposta!A268,"*"), [1]resposta_chat_stream!$C$2:$C$34, 0)), "")</f>
        <v/>
      </c>
      <c r="G268" s="6">
        <f>IF(E268&lt;&gt;"", IF(AND(C268=E268, D268=F268), "ACERTOU", IF(OR(C268=E268, D268=F268, C268=F268, D268=E268), "PARCIALMENTE", IF(OR(E268="Não há recomendação", F268="Não há recomendação", E268="SEM RECOMENDAÇÃO", F268="SEM RECOMENDAÇÃO"), "NÃO RECOMENDOU", "ERROU"))), "")</f>
        <v/>
      </c>
      <c r="H268" s="20">
        <f>IFERROR(INDEX([1]reposta_chat!$A$2:$A$121, MATCH(_xlfn.CONCAT("*#",[1]analise_resposta!A268,"*"), [1]reposta_chat!$C$2:$C$121, 0)), "")</f>
        <v/>
      </c>
      <c r="I268" s="20">
        <f>IFERROR(INDEX([1]reposta_chat!$B$2:$B$121, MATCH(_xlfn.CONCAT("*#",[1]analise_resposta!A268,"*"), [1]reposta_chat!$C$2:$C$121, 0)), "")</f>
        <v/>
      </c>
      <c r="J268" s="20">
        <f>IF(H268&lt;&gt;"", IF(AND(C268=H268, D268=I268), "ACERTOU", IF(OR(C268=H268, D268=I268, C268=I268, D268=H268), "PARCIALMENTE", IF(OR(H268="Não há recomendação", I268="Não há recomendação", H268="SEM RECOMENDAÇÃO", I268="SEM RECOMENDAÇÃO"), "NÃO RECOMENDOU", "ERROU"))), "")</f>
        <v/>
      </c>
      <c r="K268" s="21" t="inlineStr">
        <is>
          <t>Gerenciamento de Nível de Serviço</t>
        </is>
      </c>
      <c r="L268" s="21" t="inlineStr">
        <is>
          <t>Gerenciamento de Problemas</t>
        </is>
      </c>
      <c r="M268" s="21">
        <f>IF(K268&lt;&gt;"", IF(AND(C268=K268, D268=L268), "ACERTOU", IF(OR(C268=K268, D268=L268, C268=L268, D268=K268), "PARCIALMENTE", IF(OR(K268="Não há recomendação", L268="Não há recomendação", K268="SEM RECOMENDAÇÃO", L268="SEM RECOMENDAÇÃO"), "NÃO RECOMENDOU", "ERROU"))), "")</f>
        <v/>
      </c>
      <c r="N268" s="22">
        <f>IFERROR(INDEX([1]respota_rag_adaptativo!$A$2:$A$853, MATCH(_xlfn.CONCAT("*#",[1]analise_resposta!A268,"*"), [1]respota_rag_adaptativo!$C$2:$C$85, 0)), "")</f>
        <v/>
      </c>
      <c r="O268" s="22" t="n"/>
      <c r="P268" s="22">
        <f>IF(N268&lt;&gt;"", IF(AND(C268=N268, D268=O268), "ACERTOU", IF(OR(C268=N268, D268=O268, C268=O268, D268=N268), "PARCIALMENTE", IF(OR(N268="Não há recomendação", O268="Não há recomendação", N268="SEM RECOMENDAÇÃO", O268="SEM RECOMENDAÇÃO"), "NÃO RECOMENDOU", "ERROU"))), "")</f>
        <v/>
      </c>
      <c r="Q268" s="23">
        <f>IFERROR(INDEX([1]resposta_plan_exec!$A$2:$A$121, MATCH(_xlfn.CONCAT("*",[1]analise_resposta!A268,"*"), [1]resposta_plan_exec!$C$2:$C$121, 0)), "")</f>
        <v/>
      </c>
      <c r="R268" s="23">
        <f>IF([1]analise_resposta!A268="", "",
    _xlfn.LET(_xlpm.resultado, IFERROR(INDEX([1]resposta_plan_exec!$B$2:$B$121,
                           MATCH(_xlfn.CONCAT("*", [1]analise_resposta!A268, "*"),
                                   [1]resposta_plan_exec!$C$2:$C$121, 0)), ""),
        IF(_xlpm.resultado="", "", _xlpm.resultado)))</f>
        <v/>
      </c>
      <c r="S268" s="23" t="n"/>
    </row>
    <row r="269">
      <c r="A269" t="n">
        <v>2407</v>
      </c>
      <c r="B269" s="3" t="inlineStr">
        <is>
          <t>Problema de Flickering na Tela do Surface Pro 7</t>
        </is>
      </c>
      <c r="C269" s="3" t="inlineStr">
        <is>
          <t>Gerenciamento de Incidentes</t>
        </is>
      </c>
      <c r="D269" s="3" t="inlineStr">
        <is>
          <t>Gerenciamento de Ativos de TI</t>
        </is>
      </c>
      <c r="F269" s="5">
        <f>IFERROR(INDEX([1]resposta_chat_stream!$B$2:$B$34, MATCH(_xlfn.CONCAT("*#",[1]analise_resposta!A269,"*"), [1]resposta_chat_stream!$C$2:$C$34, 0)), "")</f>
        <v/>
      </c>
      <c r="G269" s="6">
        <f>IF(E269&lt;&gt;"", IF(AND(C269=E269, D269=F269), "ACERTOU", IF(OR(C269=E269, D269=F269, C269=F269, D269=E269), "PARCIALMENTE", IF(OR(E269="Não há recomendação", F269="Não há recomendação", E269="SEM RECOMENDAÇÃO", F269="SEM RECOMENDAÇÃO"), "NÃO RECOMENDOU", "ERROU"))), "")</f>
        <v/>
      </c>
      <c r="H269" s="20">
        <f>IFERROR(INDEX([1]reposta_chat!$A$2:$A$121, MATCH(_xlfn.CONCAT("*#",[1]analise_resposta!A269,"*"), [1]reposta_chat!$C$2:$C$121, 0)), "")</f>
        <v/>
      </c>
      <c r="I269" s="20">
        <f>IFERROR(INDEX([1]reposta_chat!$B$2:$B$121, MATCH(_xlfn.CONCAT("*#",[1]analise_resposta!A269,"*"), [1]reposta_chat!$C$2:$C$121, 0)), "")</f>
        <v/>
      </c>
      <c r="J269" s="20">
        <f>IF(H269&lt;&gt;"", IF(AND(C269=H269, D269=I269), "ACERTOU", IF(OR(C269=H269, D269=I269, C269=I269, D269=H269), "PARCIALMENTE", IF(OR(H269="Não há recomendação", I269="Não há recomendação", H269="SEM RECOMENDAÇÃO", I269="SEM RECOMENDAÇÃO"), "NÃO RECOMENDOU", "ERROU"))), "")</f>
        <v/>
      </c>
      <c r="K269" s="21" t="inlineStr">
        <is>
          <t>Gerenciamento de Problemas</t>
        </is>
      </c>
      <c r="L269" s="21" t="inlineStr">
        <is>
          <t>Gerenciamento de Incidentes</t>
        </is>
      </c>
      <c r="M269" s="21">
        <f>IF(K269&lt;&gt;"", IF(AND(C269=K269, D269=L269), "ACERTOU", IF(OR(C269=K269, D269=L269, C269=L269, D269=K269), "PARCIALMENTE", IF(OR(K269="Não há recomendação", L269="Não há recomendação", K269="SEM RECOMENDAÇÃO", L269="SEM RECOMENDAÇÃO"), "NÃO RECOMENDOU", "ERROU"))), "")</f>
        <v/>
      </c>
      <c r="N269" s="22">
        <f>IFERROR(INDEX([1]respota_rag_adaptativo!$A$2:$A$853, MATCH(_xlfn.CONCAT("*#",[1]analise_resposta!A269,"*"), [1]respota_rag_adaptativo!$C$2:$C$85, 0)), "")</f>
        <v/>
      </c>
      <c r="O269" s="22" t="n"/>
      <c r="P269" s="22">
        <f>IF(N269&lt;&gt;"", IF(AND(C269=N269, D269=O269), "ACERTOU", IF(OR(C269=N269, D269=O269, C269=O269, D269=N269), "PARCIALMENTE", IF(OR(N269="Não há recomendação", O269="Não há recomendação", N269="SEM RECOMENDAÇÃO", O269="SEM RECOMENDAÇÃO"), "NÃO RECOMENDOU", "ERROU"))), "")</f>
        <v/>
      </c>
      <c r="Q269" s="23">
        <f>IFERROR(INDEX([1]resposta_plan_exec!$A$2:$A$121, MATCH(_xlfn.CONCAT("*",[1]analise_resposta!A269,"*"), [1]resposta_plan_exec!$C$2:$C$121, 0)), "")</f>
        <v/>
      </c>
      <c r="R269" s="23">
        <f>IF([1]analise_resposta!A269="", "",
    _xlfn.LET(_xlpm.resultado, IFERROR(INDEX([1]resposta_plan_exec!$B$2:$B$121,
                           MATCH(_xlfn.CONCAT("*", [1]analise_resposta!A269, "*"),
                                   [1]resposta_plan_exec!$C$2:$C$121, 0)), ""),
        IF(_xlpm.resultado="", "", _xlpm.resultado)))</f>
        <v/>
      </c>
      <c r="S269" s="23" t="n"/>
    </row>
    <row r="270">
      <c r="A270" t="n">
        <v>2409</v>
      </c>
      <c r="B270" s="3" t="inlineStr">
        <is>
          <t>Solicitação de Troca do Canon PIXMA MG3620</t>
        </is>
      </c>
      <c r="C270" s="3" t="inlineStr">
        <is>
          <t>Solicitação de Serviço</t>
        </is>
      </c>
      <c r="D270" s="3" t="inlineStr">
        <is>
          <t>Gerenciamento de Ativos de TI</t>
        </is>
      </c>
      <c r="F270" s="5">
        <f>IFERROR(INDEX([1]resposta_chat_stream!$B$2:$B$34, MATCH(_xlfn.CONCAT("*#",[1]analise_resposta!A270,"*"), [1]resposta_chat_stream!$C$2:$C$34, 0)), "")</f>
        <v/>
      </c>
      <c r="G270" s="6">
        <f>IF(E270&lt;&gt;"", IF(AND(C270=E270, D270=F270), "ACERTOU", IF(OR(C270=E270, D270=F270, C270=F270, D270=E270), "PARCIALMENTE", IF(OR(E270="Não há recomendação", F270="Não há recomendação", E270="SEM RECOMENDAÇÃO", F270="SEM RECOMENDAÇÃO"), "NÃO RECOMENDOU", "ERROU"))), "")</f>
        <v/>
      </c>
      <c r="H270" s="20">
        <f>IFERROR(INDEX([1]reposta_chat!$A$2:$A$121, MATCH(_xlfn.CONCAT("*#",[1]analise_resposta!A270,"*"), [1]reposta_chat!$C$2:$C$121, 0)), "")</f>
        <v/>
      </c>
      <c r="I270" s="20">
        <f>IFERROR(INDEX([1]reposta_chat!$B$2:$B$121, MATCH(_xlfn.CONCAT("*#",[1]analise_resposta!A270,"*"), [1]reposta_chat!$C$2:$C$121, 0)), "")</f>
        <v/>
      </c>
      <c r="J270" s="20">
        <f>IF(H270&lt;&gt;"", IF(AND(C270=H270, D270=I270), "ACERTOU", IF(OR(C270=H270, D270=I270, C270=I270, D270=H270), "PARCIALMENTE", IF(OR(H270="Não há recomendação", I270="Não há recomendação", H270="SEM RECOMENDAÇÃO", I270="SEM RECOMENDAÇÃO"), "NÃO RECOMENDOU", "ERROU"))), "")</f>
        <v/>
      </c>
      <c r="K270" s="21" t="inlineStr">
        <is>
          <t>Gerenciamento de Requisição de Serviço</t>
        </is>
      </c>
      <c r="L270" s="21" t="inlineStr">
        <is>
          <t>Central de Serviço</t>
        </is>
      </c>
      <c r="M270" s="21">
        <f>IF(K270&lt;&gt;"", IF(AND(C270=K270, D270=L270), "ACERTOU", IF(OR(C270=K270, D270=L270, C270=L270, D270=K270), "PARCIALMENTE", IF(OR(K270="Não há recomendação", L270="Não há recomendação", K270="SEM RECOMENDAÇÃO", L270="SEM RECOMENDAÇÃO"), "NÃO RECOMENDOU", "ERROU"))), "")</f>
        <v/>
      </c>
      <c r="N270" s="22">
        <f>IFERROR(INDEX([1]respota_rag_adaptativo!$A$2:$A$853, MATCH(_xlfn.CONCAT("*#",[1]analise_resposta!A270,"*"), [1]respota_rag_adaptativo!$C$2:$C$85, 0)), "")</f>
        <v/>
      </c>
      <c r="O270" s="22" t="n"/>
      <c r="P270" s="22">
        <f>IF(N270&lt;&gt;"", IF(AND(C270=N270, D270=O270), "ACERTOU", IF(OR(C270=N270, D270=O270, C270=O270, D270=N270), "PARCIALMENTE", IF(OR(N270="Não há recomendação", O270="Não há recomendação", N270="SEM RECOMENDAÇÃO", O270="SEM RECOMENDAÇÃO"), "NÃO RECOMENDOU", "ERROU"))), "")</f>
        <v/>
      </c>
      <c r="Q270" s="23">
        <f>IFERROR(INDEX([1]resposta_plan_exec!$A$2:$A$121, MATCH(_xlfn.CONCAT("*",[1]analise_resposta!A270,"*"), [1]resposta_plan_exec!$C$2:$C$121, 0)), "")</f>
        <v/>
      </c>
      <c r="R270" s="23">
        <f>IF([1]analise_resposta!A270="", "",
    _xlfn.LET(_xlpm.resultado, IFERROR(INDEX([1]resposta_plan_exec!$B$2:$B$121,
                           MATCH(_xlfn.CONCAT("*", [1]analise_resposta!A270, "*"),
                                   [1]resposta_plan_exec!$C$2:$C$121, 0)), ""),
        IF(_xlpm.resultado="", "", _xlpm.resultado)))</f>
        <v/>
      </c>
      <c r="S270" s="23" t="n"/>
    </row>
    <row r="271">
      <c r="A271" t="n">
        <v>2412</v>
      </c>
      <c r="B271" s="3" t="inlineStr">
        <is>
          <t>Problema ao Instalar o Norton Antivirus Plus Detectado</t>
        </is>
      </c>
      <c r="C271" s="3" t="inlineStr">
        <is>
          <t>Gerenciamento de Incidentes</t>
        </is>
      </c>
      <c r="D271" s="3" t="inlineStr">
        <is>
          <t>Gerenciamento de Problemas</t>
        </is>
      </c>
      <c r="F271" s="5">
        <f>IFERROR(INDEX([1]resposta_chat_stream!$B$2:$B$34, MATCH(_xlfn.CONCAT("*#",[1]analise_resposta!A271,"*"), [1]resposta_chat_stream!$C$2:$C$34, 0)), "")</f>
        <v/>
      </c>
      <c r="G271" s="6">
        <f>IF(E271&lt;&gt;"", IF(AND(C271=E271, D271=F271), "ACERTOU", IF(OR(C271=E271, D271=F271, C271=F271, D271=E271), "PARCIALMENTE", IF(OR(E271="Não há recomendação", F271="Não há recomendação", E271="SEM RECOMENDAÇÃO", F271="SEM RECOMENDAÇÃO"), "NÃO RECOMENDOU", "ERROU"))), "")</f>
        <v/>
      </c>
      <c r="H271" s="20">
        <f>IFERROR(INDEX([1]reposta_chat!$A$2:$A$121, MATCH(_xlfn.CONCAT("*#",[1]analise_resposta!A271,"*"), [1]reposta_chat!$C$2:$C$121, 0)), "")</f>
        <v/>
      </c>
      <c r="I271" s="20">
        <f>IFERROR(INDEX([1]reposta_chat!$B$2:$B$121, MATCH(_xlfn.CONCAT("*#",[1]analise_resposta!A271,"*"), [1]reposta_chat!$C$2:$C$121, 0)), "")</f>
        <v/>
      </c>
      <c r="J271" s="20">
        <f>IF(H271&lt;&gt;"", IF(AND(C271=H271, D271=I271), "ACERTOU", IF(OR(C271=H271, D271=I271, C271=I271, D271=H271), "PARCIALMENTE", IF(OR(H271="Não há recomendação", I271="Não há recomendação", H271="SEM RECOMENDAÇÃO", I271="SEM RECOMENDAÇÃO"), "NÃO RECOMENDOU", "ERROU"))), "")</f>
        <v/>
      </c>
      <c r="K271" s="21" t="inlineStr">
        <is>
          <t>Gerenciamento de Requisição de Serviço</t>
        </is>
      </c>
      <c r="L271" s="21" t="inlineStr">
        <is>
          <t>Central de Serviço</t>
        </is>
      </c>
      <c r="M271" s="21">
        <f>IF(K271&lt;&gt;"", IF(AND(C271=K271, D271=L271), "ACERTOU", IF(OR(C271=K271, D271=L271, C271=L271, D271=K271), "PARCIALMENTE", IF(OR(K271="Não há recomendação", L271="Não há recomendação", K271="SEM RECOMENDAÇÃO", L271="SEM RECOMENDAÇÃO"), "NÃO RECOMENDOU", "ERROU"))), "")</f>
        <v/>
      </c>
      <c r="N271" s="22">
        <f>IFERROR(INDEX([1]respota_rag_adaptativo!$A$2:$A$853, MATCH(_xlfn.CONCAT("*#",[1]analise_resposta!A271,"*"), [1]respota_rag_adaptativo!$C$2:$C$85, 0)), "")</f>
        <v/>
      </c>
      <c r="O271" s="22" t="n"/>
      <c r="P271" s="22">
        <f>IF(N271&lt;&gt;"", IF(AND(C271=N271, D271=O271), "ACERTOU", IF(OR(C271=N271, D271=O271, C271=O271, D271=N271), "PARCIALMENTE", IF(OR(N271="Não há recomendação", O271="Não há recomendação", N271="SEM RECOMENDAÇÃO", O271="SEM RECOMENDAÇÃO"), "NÃO RECOMENDOU", "ERROU"))), "")</f>
        <v/>
      </c>
      <c r="Q271" s="23">
        <f>IFERROR(INDEX([1]resposta_plan_exec!$A$2:$A$121, MATCH(_xlfn.CONCAT("*",[1]analise_resposta!A271,"*"), [1]resposta_plan_exec!$C$2:$C$121, 0)), "")</f>
        <v/>
      </c>
      <c r="R271" s="23">
        <f>IF([1]analise_resposta!A271="", "",
    _xlfn.LET(_xlpm.resultado, IFERROR(INDEX([1]resposta_plan_exec!$B$2:$B$121,
                           MATCH(_xlfn.CONCAT("*", [1]analise_resposta!A271, "*"),
                                   [1]resposta_plan_exec!$C$2:$C$121, 0)), ""),
        IF(_xlpm.resultado="", "", _xlpm.resultado)))</f>
        <v/>
      </c>
      <c r="S271" s="23" t="n"/>
    </row>
    <row r="272">
      <c r="A272" t="n">
        <v>2416</v>
      </c>
      <c r="B272" s="3" t="inlineStr">
        <is>
          <t>Problema Maior Relatado</t>
        </is>
      </c>
      <c r="C272" s="3" t="inlineStr">
        <is>
          <t>Gerenciamento de Incidentes</t>
        </is>
      </c>
      <c r="D272" s="3" t="inlineStr">
        <is>
          <t>Gerenciamento de Problemas</t>
        </is>
      </c>
      <c r="F272" s="5">
        <f>IFERROR(INDEX([1]resposta_chat_stream!$B$2:$B$34, MATCH(_xlfn.CONCAT("*#",[1]analise_resposta!A272,"*"), [1]resposta_chat_stream!$C$2:$C$34, 0)), "")</f>
        <v/>
      </c>
      <c r="G272" s="6">
        <f>IF(E272&lt;&gt;"", IF(AND(C272=E272, D272=F272), "ACERTOU", IF(OR(C272=E272, D272=F272, C272=F272, D272=E272), "PARCIALMENTE", IF(OR(E272="Não há recomendação", F272="Não há recomendação", E272="SEM RECOMENDAÇÃO", F272="SEM RECOMENDAÇÃO"), "NÃO RECOMENDOU", "ERROU"))), "")</f>
        <v/>
      </c>
      <c r="H272" s="20">
        <f>IFERROR(INDEX([1]reposta_chat!$A$2:$A$121, MATCH(_xlfn.CONCAT("*#",[1]analise_resposta!A272,"*"), [1]reposta_chat!$C$2:$C$121, 0)), "")</f>
        <v/>
      </c>
      <c r="I272" s="20">
        <f>IFERROR(INDEX([1]reposta_chat!$B$2:$B$121, MATCH(_xlfn.CONCAT("*#",[1]analise_resposta!A272,"*"), [1]reposta_chat!$C$2:$C$121, 0)), "")</f>
        <v/>
      </c>
      <c r="J272" s="20">
        <f>IF(H272&lt;&gt;"", IF(AND(C272=H272, D272=I272), "ACERTOU", IF(OR(C272=H272, D272=I272, C272=I272, D272=H272), "PARCIALMENTE", IF(OR(H272="Não há recomendação", I272="Não há recomendação", H272="SEM RECOMENDAÇÃO", I272="SEM RECOMENDAÇÃO"), "NÃO RECOMENDOU", "ERROU"))), "")</f>
        <v/>
      </c>
      <c r="K272" s="21" t="n"/>
      <c r="L272" s="21" t="n"/>
      <c r="M272" s="21" t="n"/>
      <c r="N272" s="22">
        <f>IFERROR(INDEX([1]respota_rag_adaptativo!$A$2:$A$853, MATCH(_xlfn.CONCAT("*#",[1]analise_resposta!A272,"*"), [1]respota_rag_adaptativo!$C$2:$C$85, 0)), "")</f>
        <v/>
      </c>
      <c r="O272" s="22" t="n"/>
      <c r="P272" s="22">
        <f>IF(N272&lt;&gt;"", IF(AND(C272=N272, D272=O272), "ACERTOU", IF(OR(C272=N272, D272=O272, C272=O272, D272=N272), "PARCIALMENTE", IF(OR(N272="Não há recomendação", O272="Não há recomendação", N272="SEM RECOMENDAÇÃO", O272="SEM RECOMENDAÇÃO"), "NÃO RECOMENDOU", "ERROU"))), "")</f>
        <v/>
      </c>
      <c r="Q272" s="23">
        <f>IFERROR(INDEX([1]resposta_plan_exec!$A$2:$A$121, MATCH(_xlfn.CONCAT("*",[1]analise_resposta!A272,"*"), [1]resposta_plan_exec!$C$2:$C$121, 0)), "")</f>
        <v/>
      </c>
      <c r="R272" s="23">
        <f>IF([1]analise_resposta!A272="", "",
    _xlfn.LET(_xlpm.resultado, IFERROR(INDEX([1]resposta_plan_exec!$B$2:$B$121,
                           MATCH(_xlfn.CONCAT("*", [1]analise_resposta!A272, "*"),
                                   [1]resposta_plan_exec!$C$2:$C$121, 0)), ""),
        IF(_xlpm.resultado="", "", _xlpm.resultado)))</f>
        <v/>
      </c>
      <c r="S272" s="23" t="n"/>
    </row>
    <row r="273">
      <c r="A273" t="n">
        <v>2420</v>
      </c>
      <c r="B273" s="3" t="inlineStr">
        <is>
          <t>Problemas intermitentes de conectividade com o roteador Cisco</t>
        </is>
      </c>
      <c r="C273" s="3" t="inlineStr">
        <is>
          <t>Gerenciamento de Incidentes</t>
        </is>
      </c>
      <c r="D273" s="3" t="inlineStr">
        <is>
          <t>Gerenciamento de Problemas</t>
        </is>
      </c>
      <c r="F273" s="5">
        <f>IFERROR(INDEX([1]resposta_chat_stream!$B$2:$B$34, MATCH(_xlfn.CONCAT("*#",[1]analise_resposta!A273,"*"), [1]resposta_chat_stream!$C$2:$C$34, 0)), "")</f>
        <v/>
      </c>
      <c r="G273" s="6">
        <f>IF(E273&lt;&gt;"", IF(AND(C273=E273, D273=F273), "ACERTOU", IF(OR(C273=E273, D273=F273, C273=F273, D273=E273), "PARCIALMENTE", IF(OR(E273="Não há recomendação", F273="Não há recomendação", E273="SEM RECOMENDAÇÃO", F273="SEM RECOMENDAÇÃO"), "NÃO RECOMENDOU", "ERROU"))), "")</f>
        <v/>
      </c>
      <c r="H273" s="20">
        <f>IFERROR(INDEX([1]reposta_chat!$A$2:$A$121, MATCH(_xlfn.CONCAT("*#",[1]analise_resposta!A273,"*"), [1]reposta_chat!$C$2:$C$121, 0)), "")</f>
        <v/>
      </c>
      <c r="I273" s="20">
        <f>IFERROR(INDEX([1]reposta_chat!$B$2:$B$121, MATCH(_xlfn.CONCAT("*#",[1]analise_resposta!A273,"*"), [1]reposta_chat!$C$2:$C$121, 0)), "")</f>
        <v/>
      </c>
      <c r="J273" s="20">
        <f>IF(H273&lt;&gt;"", IF(AND(C273=H273, D273=I273), "ACERTOU", IF(OR(C273=H273, D273=I273, C273=I273, D273=H273), "PARCIALMENTE", IF(OR(H273="Não há recomendação", I273="Não há recomendação", H273="SEM RECOMENDAÇÃO", I273="SEM RECOMENDAÇÃO"), "NÃO RECOMENDOU", "ERROU"))), "")</f>
        <v/>
      </c>
      <c r="K273" s="21" t="n"/>
      <c r="L273" s="21" t="n"/>
      <c r="M273" s="21" t="n"/>
      <c r="N273" s="22">
        <f>IFERROR(INDEX([1]respota_rag_adaptativo!$A$2:$A$853, MATCH(_xlfn.CONCAT("*#",[1]analise_resposta!A273,"*"), [1]respota_rag_adaptativo!$C$2:$C$85, 0)), "")</f>
        <v/>
      </c>
      <c r="O273" s="22" t="n"/>
      <c r="P273" s="22">
        <f>IF(N273&lt;&gt;"", IF(AND(C273=N273, D273=O273), "ACERTOU", IF(OR(C273=N273, D273=O273, C273=O273, D273=N273), "PARCIALMENTE", IF(OR(N273="Não há recomendação", O273="Não há recomendação", N273="SEM RECOMENDAÇÃO", O273="SEM RECOMENDAÇÃO"), "NÃO RECOMENDOU", "ERROU"))), "")</f>
        <v/>
      </c>
      <c r="Q273" s="23">
        <f>IFERROR(INDEX([1]resposta_plan_exec!$A$2:$A$121, MATCH(_xlfn.CONCAT("*",[1]analise_resposta!A273,"*"), [1]resposta_plan_exec!$C$2:$C$121, 0)), "")</f>
        <v/>
      </c>
      <c r="R273" s="23">
        <f>IF([1]analise_resposta!A273="", "",
    _xlfn.LET(_xlpm.resultado, IFERROR(INDEX([1]resposta_plan_exec!$B$2:$B$121,
                           MATCH(_xlfn.CONCAT("*", [1]analise_resposta!A273, "*"),
                                   [1]resposta_plan_exec!$C$2:$C$121, 0)), ""),
        IF(_xlpm.resultado="", "", _xlpm.resultado)))</f>
        <v/>
      </c>
      <c r="S273" s="23" t="n"/>
    </row>
    <row r="274">
      <c r="A274" t="n">
        <v>2436</v>
      </c>
      <c r="B274" s="3" t="inlineStr">
        <is>
          <t>Problema Crítico: Queda de Conectividade no Roteador Cisco ISR4331</t>
        </is>
      </c>
      <c r="C274" s="3" t="inlineStr">
        <is>
          <t>Gerenciamento de Incidentes</t>
        </is>
      </c>
      <c r="D274" s="3" t="inlineStr">
        <is>
          <t>Gerenciamento de Problemas</t>
        </is>
      </c>
      <c r="F274" s="5">
        <f>IFERROR(INDEX([1]resposta_chat_stream!$B$2:$B$34, MATCH(_xlfn.CONCAT("*#",[1]analise_resposta!A274,"*"), [1]resposta_chat_stream!$C$2:$C$34, 0)), "")</f>
        <v/>
      </c>
      <c r="G274" s="6">
        <f>IF(E274&lt;&gt;"", IF(AND(C274=E274, D274=F274), "ACERTOU", IF(OR(C274=E274, D274=F274, C274=F274, D274=E274), "PARCIALMENTE", IF(OR(E274="Não há recomendação", F274="Não há recomendação", E274="SEM RECOMENDAÇÃO", F274="SEM RECOMENDAÇÃO"), "NÃO RECOMENDOU", "ERROU"))), "")</f>
        <v/>
      </c>
      <c r="H274" s="20">
        <f>IFERROR(INDEX([1]reposta_chat!$A$2:$A$121, MATCH(_xlfn.CONCAT("*#",[1]analise_resposta!A274,"*"), [1]reposta_chat!$C$2:$C$121, 0)), "")</f>
        <v/>
      </c>
      <c r="I274" s="20">
        <f>IFERROR(INDEX([1]reposta_chat!$B$2:$B$121, MATCH(_xlfn.CONCAT("*#",[1]analise_resposta!A274,"*"), [1]reposta_chat!$C$2:$C$121, 0)), "")</f>
        <v/>
      </c>
      <c r="J274" s="20">
        <f>IF(H274&lt;&gt;"", IF(AND(C274=H274, D274=I274), "ACERTOU", IF(OR(C274=H274, D274=I274, C274=I274, D274=H274), "PARCIALMENTE", IF(OR(H274="Não há recomendação", I274="Não há recomendação", H274="SEM RECOMENDAÇÃO", I274="SEM RECOMENDAÇÃO"), "NÃO RECOMENDOU", "ERROU"))), "")</f>
        <v/>
      </c>
      <c r="K274" s="21" t="n"/>
      <c r="L274" s="21" t="n"/>
      <c r="M274" s="21" t="n"/>
      <c r="N274" s="22">
        <f>IFERROR(INDEX([1]respota_rag_adaptativo!$A$2:$A$853, MATCH(_xlfn.CONCAT("*#",[1]analise_resposta!A274,"*"), [1]respota_rag_adaptativo!$C$2:$C$85, 0)), "")</f>
        <v/>
      </c>
      <c r="O274" s="22" t="n"/>
      <c r="P274" s="22">
        <f>IF(N274&lt;&gt;"", IF(AND(C274=N274, D274=O274), "ACERTOU", IF(OR(C274=N274, D274=O274, C274=O274, D274=N274), "PARCIALMENTE", IF(OR(N274="Não há recomendação", O274="Não há recomendação", N274="SEM RECOMENDAÇÃO", O274="SEM RECOMENDAÇÃO"), "NÃO RECOMENDOU", "ERROU"))), "")</f>
        <v/>
      </c>
      <c r="Q274" s="23">
        <f>IFERROR(INDEX([1]resposta_plan_exec!$A$2:$A$121, MATCH(_xlfn.CONCAT("*",[1]analise_resposta!A274,"*"), [1]resposta_plan_exec!$C$2:$C$121, 0)), "")</f>
        <v/>
      </c>
      <c r="R274" s="23">
        <f>IF([1]analise_resposta!A274="", "",
    _xlfn.LET(_xlpm.resultado, IFERROR(INDEX([1]resposta_plan_exec!$B$2:$B$121,
                           MATCH(_xlfn.CONCAT("*", [1]analise_resposta!A274, "*"),
                                   [1]resposta_plan_exec!$C$2:$C$121, 0)), ""),
        IF(_xlpm.resultado="", "", _xlpm.resultado)))</f>
        <v/>
      </c>
      <c r="S274" s="23" t="n"/>
    </row>
    <row r="275">
      <c r="A275" t="n">
        <v>2437</v>
      </c>
      <c r="B275" s="3" t="inlineStr">
        <is>
          <t>Incapaz de Conectar WiFi no Dell XPS 13 9310</t>
        </is>
      </c>
      <c r="C275" s="3" t="inlineStr">
        <is>
          <t>Gerenciamento de Incidentes</t>
        </is>
      </c>
      <c r="D275" s="3" t="inlineStr">
        <is>
          <t>Gerenciamento de Problemas</t>
        </is>
      </c>
      <c r="F275" s="5">
        <f>IFERROR(INDEX([1]resposta_chat_stream!$B$2:$B$34, MATCH(_xlfn.CONCAT("*#",[1]analise_resposta!A275,"*"), [1]resposta_chat_stream!$C$2:$C$34, 0)), "")</f>
        <v/>
      </c>
      <c r="G275" s="6">
        <f>IF(E275&lt;&gt;"", IF(AND(C275=E275, D275=F275), "ACERTOU", IF(OR(C275=E275, D275=F275, C275=F275, D275=E275), "PARCIALMENTE", IF(OR(E275="Não há recomendação", F275="Não há recomendação", E275="SEM RECOMENDAÇÃO", F275="SEM RECOMENDAÇÃO"), "NÃO RECOMENDOU", "ERROU"))), "")</f>
        <v/>
      </c>
      <c r="H275" s="20">
        <f>IFERROR(INDEX([1]reposta_chat!$A$2:$A$121, MATCH(_xlfn.CONCAT("*#",[1]analise_resposta!A275,"*"), [1]reposta_chat!$C$2:$C$121, 0)), "")</f>
        <v/>
      </c>
      <c r="I275" s="20">
        <f>IFERROR(INDEX([1]reposta_chat!$B$2:$B$121, MATCH(_xlfn.CONCAT("*#",[1]analise_resposta!A275,"*"), [1]reposta_chat!$C$2:$C$121, 0)), "")</f>
        <v/>
      </c>
      <c r="J275" s="20">
        <f>IF(H275&lt;&gt;"", IF(AND(C275=H275, D275=I275), "ACERTOU", IF(OR(C275=H275, D275=I275, C275=I275, D275=H275), "PARCIALMENTE", IF(OR(H275="Não há recomendação", I275="Não há recomendação", H275="SEM RECOMENDAÇÃO", I275="SEM RECOMENDAÇÃO"), "NÃO RECOMENDOU", "ERROU"))), "")</f>
        <v/>
      </c>
      <c r="K275" s="21" t="n"/>
      <c r="L275" s="21" t="n"/>
      <c r="M275" s="21" t="n"/>
      <c r="N275" s="22">
        <f>IFERROR(INDEX([1]respota_rag_adaptativo!$A$2:$A$853, MATCH(_xlfn.CONCAT("*#",[1]analise_resposta!A275,"*"), [1]respota_rag_adaptativo!$C$2:$C$85, 0)), "")</f>
        <v/>
      </c>
      <c r="O275" s="22" t="n"/>
      <c r="P275" s="22">
        <f>IF(N275&lt;&gt;"", IF(AND(C275=N275, D275=O275), "ACERTOU", IF(OR(C275=N275, D275=O275, C275=O275, D275=N275), "PARCIALMENTE", IF(OR(N275="Não há recomendação", O275="Não há recomendação", N275="SEM RECOMENDAÇÃO", O275="SEM RECOMENDAÇÃO"), "NÃO RECOMENDOU", "ERROU"))), "")</f>
        <v/>
      </c>
      <c r="Q275" s="23">
        <f>IFERROR(INDEX([1]resposta_plan_exec!$A$2:$A$121, MATCH(_xlfn.CONCAT("*",[1]analise_resposta!A275,"*"), [1]resposta_plan_exec!$C$2:$C$121, 0)), "")</f>
        <v/>
      </c>
      <c r="R275" s="23">
        <f>IF([1]analise_resposta!A275="", "",
    _xlfn.LET(_xlpm.resultado, IFERROR(INDEX([1]resposta_plan_exec!$B$2:$B$121,
                           MATCH(_xlfn.CONCAT("*", [1]analise_resposta!A275, "*"),
                                   [1]resposta_plan_exec!$C$2:$C$121, 0)), ""),
        IF(_xlpm.resultado="", "", _xlpm.resultado)))</f>
        <v/>
      </c>
      <c r="S275" s="23" t="n"/>
    </row>
    <row r="276">
      <c r="A276" t="n">
        <v>2438</v>
      </c>
      <c r="B276" s="3" t="inlineStr">
        <is>
          <t>Consulta sobre discrepância de cobrança na AWS</t>
        </is>
      </c>
      <c r="C276" s="3" t="inlineStr">
        <is>
          <t>Gerenciamento Financeiro</t>
        </is>
      </c>
      <c r="D276" s="3" t="inlineStr">
        <is>
          <t>Gerenciamento de Incidentes</t>
        </is>
      </c>
      <c r="F276" s="5">
        <f>IFERROR(INDEX([1]resposta_chat_stream!$B$2:$B$34, MATCH(_xlfn.CONCAT("*#",[1]analise_resposta!A276,"*"), [1]resposta_chat_stream!$C$2:$C$34, 0)), "")</f>
        <v/>
      </c>
      <c r="G276" s="6">
        <f>IF(E276&lt;&gt;"", IF(AND(C276=E276, D276=F276), "ACERTOU", IF(OR(C276=E276, D276=F276, C276=F276, D276=E276), "PARCIALMENTE", IF(OR(E276="Não há recomendação", F276="Não há recomendação", E276="SEM RECOMENDAÇÃO", F276="SEM RECOMENDAÇÃO"), "NÃO RECOMENDOU", "ERROU"))), "")</f>
        <v/>
      </c>
      <c r="H276" s="20">
        <f>IFERROR(INDEX([1]reposta_chat!$A$2:$A$121, MATCH(_xlfn.CONCAT("*#",[1]analise_resposta!A276,"*"), [1]reposta_chat!$C$2:$C$121, 0)), "")</f>
        <v/>
      </c>
      <c r="I276" s="20">
        <f>IFERROR(INDEX([1]reposta_chat!$B$2:$B$121, MATCH(_xlfn.CONCAT("*#",[1]analise_resposta!A276,"*"), [1]reposta_chat!$C$2:$C$121, 0)), "")</f>
        <v/>
      </c>
      <c r="J276" s="20">
        <f>IF(H276&lt;&gt;"", IF(AND(C276=H276, D276=I276), "ACERTOU", IF(OR(C276=H276, D276=I276, C276=I276, D276=H276), "PARCIALMENTE", IF(OR(H276="Não há recomendação", I276="Não há recomendação", H276="SEM RECOMENDAÇÃO", I276="SEM RECOMENDAÇÃO"), "NÃO RECOMENDOU", "ERROU"))), "")</f>
        <v/>
      </c>
      <c r="K276" s="21" t="n"/>
      <c r="L276" s="21" t="n"/>
      <c r="M276" s="21" t="n"/>
      <c r="N276" s="22">
        <f>IFERROR(INDEX([1]respota_rag_adaptativo!$A$2:$A$853, MATCH(_xlfn.CONCAT("*#",[1]analise_resposta!A276,"*"), [1]respota_rag_adaptativo!$C$2:$C$85, 0)), "")</f>
        <v/>
      </c>
      <c r="O276" s="22" t="n"/>
      <c r="P276" s="22">
        <f>IF(N276&lt;&gt;"", IF(AND(C276=N276, D276=O276), "ACERTOU", IF(OR(C276=N276, D276=O276, C276=O276, D276=N276), "PARCIALMENTE", IF(OR(N276="Não há recomendação", O276="Não há recomendação", N276="SEM RECOMENDAÇÃO", O276="SEM RECOMENDAÇÃO"), "NÃO RECOMENDOU", "ERROU"))), "")</f>
        <v/>
      </c>
      <c r="Q276" s="23">
        <f>IFERROR(INDEX([1]resposta_plan_exec!$A$2:$A$121, MATCH(_xlfn.CONCAT("*",[1]analise_resposta!A276,"*"), [1]resposta_plan_exec!$C$2:$C$121, 0)), "")</f>
        <v/>
      </c>
      <c r="R276" s="23">
        <f>IF([1]analise_resposta!A276="", "",
    _xlfn.LET(_xlpm.resultado, IFERROR(INDEX([1]resposta_plan_exec!$B$2:$B$121,
                           MATCH(_xlfn.CONCAT("*", [1]analise_resposta!A276, "*"),
                                   [1]resposta_plan_exec!$C$2:$C$121, 0)), ""),
        IF(_xlpm.resultado="", "", _xlpm.resultado)))</f>
        <v/>
      </c>
      <c r="S276" s="23" t="n"/>
    </row>
    <row r="277">
      <c r="A277" t="n">
        <v>2439</v>
      </c>
      <c r="B277" s="3" t="inlineStr">
        <is>
          <t>Solicitação de Suporte para Problemas com o Adobe Photoshop</t>
        </is>
      </c>
      <c r="C277" s="3" t="inlineStr">
        <is>
          <t>Gerenciamento de Incidentes</t>
        </is>
      </c>
      <c r="D277" s="3" t="inlineStr">
        <is>
          <t>Gerenciamento de Problemas</t>
        </is>
      </c>
      <c r="F277" s="5">
        <f>IFERROR(INDEX([1]resposta_chat_stream!$B$2:$B$34, MATCH(_xlfn.CONCAT("*#",[1]analise_resposta!A277,"*"), [1]resposta_chat_stream!$C$2:$C$34, 0)), "")</f>
        <v/>
      </c>
      <c r="G277" s="6">
        <f>IF(E277&lt;&gt;"", IF(AND(C277=E277, D277=F277), "ACERTOU", IF(OR(C277=E277, D277=F277, C277=F277, D277=E277), "PARCIALMENTE", IF(OR(E277="Não há recomendação", F277="Não há recomendação", E277="SEM RECOMENDAÇÃO", F277="SEM RECOMENDAÇÃO"), "NÃO RECOMENDOU", "ERROU"))), "")</f>
        <v/>
      </c>
      <c r="H277" s="20">
        <f>IFERROR(INDEX([1]reposta_chat!$A$2:$A$121, MATCH(_xlfn.CONCAT("*#",[1]analise_resposta!A277,"*"), [1]reposta_chat!$C$2:$C$121, 0)), "")</f>
        <v/>
      </c>
      <c r="I277" s="20">
        <f>IFERROR(INDEX([1]reposta_chat!$B$2:$B$121, MATCH(_xlfn.CONCAT("*#",[1]analise_resposta!A277,"*"), [1]reposta_chat!$C$2:$C$121, 0)), "")</f>
        <v/>
      </c>
      <c r="J277" s="20">
        <f>IF(H277&lt;&gt;"", IF(AND(C277=H277, D277=I277), "ACERTOU", IF(OR(C277=H277, D277=I277, C277=I277, D277=H277), "PARCIALMENTE", IF(OR(H277="Não há recomendação", I277="Não há recomendação", H277="SEM RECOMENDAÇÃO", I277="SEM RECOMENDAÇÃO"), "NÃO RECOMENDOU", "ERROU"))), "")</f>
        <v/>
      </c>
      <c r="K277" s="21" t="n"/>
      <c r="L277" s="21" t="n"/>
      <c r="M277" s="21" t="n"/>
      <c r="N277" s="22">
        <f>IFERROR(INDEX([1]respota_rag_adaptativo!$A$2:$A$853, MATCH(_xlfn.CONCAT("*#",[1]analise_resposta!A277,"*"), [1]respota_rag_adaptativo!$C$2:$C$85, 0)), "")</f>
        <v/>
      </c>
      <c r="O277" s="22" t="n"/>
      <c r="P277" s="22">
        <f>IF(N277&lt;&gt;"", IF(AND(C277=N277, D277=O277), "ACERTOU", IF(OR(C277=N277, D277=O277, C277=O277, D277=N277), "PARCIALMENTE", IF(OR(N277="Não há recomendação", O277="Não há recomendação", N277="SEM RECOMENDAÇÃO", O277="SEM RECOMENDAÇÃO"), "NÃO RECOMENDOU", "ERROU"))), "")</f>
        <v/>
      </c>
      <c r="Q277" s="23">
        <f>IFERROR(INDEX([1]resposta_plan_exec!$A$2:$A$121, MATCH(_xlfn.CONCAT("*",[1]analise_resposta!A277,"*"), [1]resposta_plan_exec!$C$2:$C$121, 0)), "")</f>
        <v/>
      </c>
      <c r="R277" s="23">
        <f>IF([1]analise_resposta!A277="", "",
    _xlfn.LET(_xlpm.resultado, IFERROR(INDEX([1]resposta_plan_exec!$B$2:$B$121,
                           MATCH(_xlfn.CONCAT("*", [1]analise_resposta!A277, "*"),
                                   [1]resposta_plan_exec!$C$2:$C$121, 0)), ""),
        IF(_xlpm.resultado="", "", _xlpm.resultado)))</f>
        <v/>
      </c>
      <c r="S277" s="23" t="n"/>
    </row>
    <row r="278">
      <c r="A278" t="n">
        <v>2491</v>
      </c>
      <c r="B278" s="3" t="inlineStr">
        <is>
          <t>Esclarecimento Urgente Necessário</t>
        </is>
      </c>
      <c r="C278" s="3" t="inlineStr">
        <is>
          <t>Gerenciamento Financeiro</t>
        </is>
      </c>
      <c r="D278" s="3" t="inlineStr">
        <is>
          <t>Gerenciamento de Incidentes</t>
        </is>
      </c>
      <c r="F278" s="5">
        <f>IFERROR(INDEX([1]resposta_chat_stream!$B$2:$B$34, MATCH(_xlfn.CONCAT("*#",[1]analise_resposta!A278,"*"), [1]resposta_chat_stream!$C$2:$C$34, 0)), "")</f>
        <v/>
      </c>
      <c r="G278" s="6">
        <f>IF(E278&lt;&gt;"", IF(AND(C278=E278, D278=F278), "ACERTOU", IF(OR(C278=E278, D278=F278, C278=F278, D278=E278), "PARCIALMENTE", IF(OR(E278="Não há recomendação", F278="Não há recomendação", E278="SEM RECOMENDAÇÃO", F278="SEM RECOMENDAÇÃO"), "NÃO RECOMENDOU", "ERROU"))), "")</f>
        <v/>
      </c>
      <c r="H278" s="20">
        <f>IFERROR(INDEX([1]reposta_chat!$A$2:$A$121, MATCH(_xlfn.CONCAT("*#",[1]analise_resposta!A278,"*"), [1]reposta_chat!$C$2:$C$121, 0)), "")</f>
        <v/>
      </c>
      <c r="I278" s="20">
        <f>IFERROR(INDEX([1]reposta_chat!$B$2:$B$121, MATCH(_xlfn.CONCAT("*#",[1]analise_resposta!A278,"*"), [1]reposta_chat!$C$2:$C$121, 0)), "")</f>
        <v/>
      </c>
      <c r="J278" s="20">
        <f>IF(H278&lt;&gt;"", IF(AND(C278=H278, D278=I278), "ACERTOU", IF(OR(C278=H278, D278=I278, C278=I278, D278=H278), "PARCIALMENTE", IF(OR(H278="Não há recomendação", I278="Não há recomendação", H278="SEM RECOMENDAÇÃO", I278="SEM RECOMENDAÇÃO"), "NÃO RECOMENDOU", "ERROU"))), "")</f>
        <v/>
      </c>
      <c r="K278" s="21" t="n"/>
      <c r="L278" s="21" t="n"/>
      <c r="M278" s="21" t="n"/>
      <c r="N278" s="22">
        <f>IFERROR(INDEX([1]respota_rag_adaptativo!$A$2:$A$853, MATCH(_xlfn.CONCAT("*#",[1]analise_resposta!A278,"*"), [1]respota_rag_adaptativo!$C$2:$C$85, 0)), "")</f>
        <v/>
      </c>
      <c r="O278" s="22" t="n"/>
      <c r="P278" s="22">
        <f>IF(N278&lt;&gt;"", IF(AND(C278=N278, D278=O278), "ACERTOU", IF(OR(C278=N278, D278=O278, C278=O278, D278=N278), "PARCIALMENTE", IF(OR(N278="Não há recomendação", O278="Não há recomendação", N278="SEM RECOMENDAÇÃO", O278="SEM RECOMENDAÇÃO"), "NÃO RECOMENDOU", "ERROU"))), "")</f>
        <v/>
      </c>
      <c r="Q278" s="23">
        <f>IFERROR(INDEX([1]resposta_plan_exec!$A$2:$A$121, MATCH(_xlfn.CONCAT("*",[1]analise_resposta!A278,"*"), [1]resposta_plan_exec!$C$2:$C$121, 0)), "")</f>
        <v/>
      </c>
      <c r="R278" s="23">
        <f>IF([1]analise_resposta!A278="", "",
    _xlfn.LET(_xlpm.resultado, IFERROR(INDEX([1]resposta_plan_exec!$B$2:$B$121,
                           MATCH(_xlfn.CONCAT("*", [1]analise_resposta!A278, "*"),
                                   [1]resposta_plan_exec!$C$2:$C$121, 0)), ""),
        IF(_xlpm.resultado="", "", _xlpm.resultado)))</f>
        <v/>
      </c>
      <c r="S278" s="23" t="n"/>
    </row>
    <row r="279">
      <c r="A279" t="n">
        <v>2508</v>
      </c>
      <c r="B279" s="3" t="inlineStr">
        <is>
          <t>Problema com a Integração do Slack</t>
        </is>
      </c>
      <c r="C279" s="3" t="inlineStr">
        <is>
          <t>Gerenciamento de Incidentes</t>
        </is>
      </c>
      <c r="D279" s="3" t="inlineStr">
        <is>
          <t>Gerenciamento de Problemas</t>
        </is>
      </c>
      <c r="F279" s="5">
        <f>IFERROR(INDEX([1]resposta_chat_stream!$B$2:$B$34, MATCH(_xlfn.CONCAT("*#",[1]analise_resposta!A279,"*"), [1]resposta_chat_stream!$C$2:$C$34, 0)), "")</f>
        <v/>
      </c>
      <c r="G279" s="6">
        <f>IF(E279&lt;&gt;"", IF(AND(C279=E279, D279=F279), "ACERTOU", IF(OR(C279=E279, D279=F279, C279=F279, D279=E279), "PARCIALMENTE", IF(OR(E279="Não há recomendação", F279="Não há recomendação", E279="SEM RECOMENDAÇÃO", F279="SEM RECOMENDAÇÃO"), "NÃO RECOMENDOU", "ERROU"))), "")</f>
        <v/>
      </c>
      <c r="H279" s="20">
        <f>IFERROR(INDEX([1]reposta_chat!$A$2:$A$121, MATCH(_xlfn.CONCAT("*#",[1]analise_resposta!A279,"*"), [1]reposta_chat!$C$2:$C$121, 0)), "")</f>
        <v/>
      </c>
      <c r="I279" s="20">
        <f>IFERROR(INDEX([1]reposta_chat!$B$2:$B$121, MATCH(_xlfn.CONCAT("*#",[1]analise_resposta!A279,"*"), [1]reposta_chat!$C$2:$C$121, 0)), "")</f>
        <v/>
      </c>
      <c r="J279" s="20">
        <f>IF(H279&lt;&gt;"", IF(AND(C279=H279, D279=I279), "ACERTOU", IF(OR(C279=H279, D279=I279, C279=I279, D279=H279), "PARCIALMENTE", IF(OR(H279="Não há recomendação", I279="Não há recomendação", H279="SEM RECOMENDAÇÃO", I279="SEM RECOMENDAÇÃO"), "NÃO RECOMENDOU", "ERROU"))), "")</f>
        <v/>
      </c>
      <c r="K279" s="21" t="n"/>
      <c r="L279" s="21" t="n"/>
      <c r="M279" s="21" t="n"/>
      <c r="N279" s="22">
        <f>IFERROR(INDEX([1]respota_rag_adaptativo!$A$2:$A$853, MATCH(_xlfn.CONCAT("*#",[1]analise_resposta!A279,"*"), [1]respota_rag_adaptativo!$C$2:$C$85, 0)), "")</f>
        <v/>
      </c>
      <c r="O279" s="22" t="n"/>
      <c r="P279" s="22">
        <f>IF(N279&lt;&gt;"", IF(AND(C279=N279, D279=O279), "ACERTOU", IF(OR(C279=N279, D279=O279, C279=O279, D279=N279), "PARCIALMENTE", IF(OR(N279="Não há recomendação", O279="Não há recomendação", N279="SEM RECOMENDAÇÃO", O279="SEM RECOMENDAÇÃO"), "NÃO RECOMENDOU", "ERROU"))), "")</f>
        <v/>
      </c>
      <c r="Q279" s="23">
        <f>IFERROR(INDEX([1]resposta_plan_exec!$A$2:$A$121, MATCH(_xlfn.CONCAT("*",[1]analise_resposta!A279,"*"), [1]resposta_plan_exec!$C$2:$C$121, 0)), "")</f>
        <v/>
      </c>
      <c r="R279" s="23">
        <f>IF([1]analise_resposta!A279="", "",
    _xlfn.LET(_xlpm.resultado, IFERROR(INDEX([1]resposta_plan_exec!$B$2:$B$121,
                           MATCH(_xlfn.CONCAT("*", [1]analise_resposta!A279, "*"),
                                   [1]resposta_plan_exec!$C$2:$C$121, 0)), ""),
        IF(_xlpm.resultado="", "", _xlpm.resultado)))</f>
        <v/>
      </c>
      <c r="S279" s="23" t="n"/>
    </row>
    <row r="280">
      <c r="A280" t="n">
        <v>2512</v>
      </c>
      <c r="B280" s="3" t="inlineStr">
        <is>
          <t>Consulta sobre Planos de Pagamento para Dell XPS 13</t>
        </is>
      </c>
      <c r="C280" s="3" t="inlineStr">
        <is>
          <t>Solicitação de Serviço</t>
        </is>
      </c>
      <c r="D280" s="3" t="inlineStr">
        <is>
          <t>Gerenciamento Financeiro</t>
        </is>
      </c>
      <c r="F280" s="5">
        <f>IFERROR(INDEX([1]resposta_chat_stream!$B$2:$B$34, MATCH(_xlfn.CONCAT("*#",[1]analise_resposta!A280,"*"), [1]resposta_chat_stream!$C$2:$C$34, 0)), "")</f>
        <v/>
      </c>
      <c r="G280" s="6">
        <f>IF(E280&lt;&gt;"", IF(AND(C280=E280, D280=F280), "ACERTOU", IF(OR(C280=E280, D280=F280, C280=F280, D280=E280), "PARCIALMENTE", IF(OR(E280="Não há recomendação", F280="Não há recomendação", E280="SEM RECOMENDAÇÃO", F280="SEM RECOMENDAÇÃO"), "NÃO RECOMENDOU", "ERROU"))), "")</f>
        <v/>
      </c>
      <c r="H280" s="20">
        <f>IFERROR(INDEX([1]reposta_chat!$A$2:$A$121, MATCH(_xlfn.CONCAT("*#",[1]analise_resposta!A280,"*"), [1]reposta_chat!$C$2:$C$121, 0)), "")</f>
        <v/>
      </c>
      <c r="I280" s="20">
        <f>IFERROR(INDEX([1]reposta_chat!$B$2:$B$121, MATCH(_xlfn.CONCAT("*#",[1]analise_resposta!A280,"*"), [1]reposta_chat!$C$2:$C$121, 0)), "")</f>
        <v/>
      </c>
      <c r="J280" s="20">
        <f>IF(H280&lt;&gt;"", IF(AND(C280=H280, D280=I280), "ACERTOU", IF(OR(C280=H280, D280=I280, C280=I280, D280=H280), "PARCIALMENTE", IF(OR(H280="Não há recomendação", I280="Não há recomendação", H280="SEM RECOMENDAÇÃO", I280="SEM RECOMENDAÇÃO"), "NÃO RECOMENDOU", "ERROU"))), "")</f>
        <v/>
      </c>
      <c r="K280" s="21" t="n"/>
      <c r="L280" s="21" t="n"/>
      <c r="M280" s="21" t="n"/>
      <c r="N280" s="22">
        <f>IFERROR(INDEX([1]respota_rag_adaptativo!$A$2:$A$853, MATCH(_xlfn.CONCAT("*#",[1]analise_resposta!A280,"*"), [1]respota_rag_adaptativo!$C$2:$C$85, 0)), "")</f>
        <v/>
      </c>
      <c r="O280" s="22" t="n"/>
      <c r="P280" s="22">
        <f>IF(N280&lt;&gt;"", IF(AND(C280=N280, D280=O280), "ACERTOU", IF(OR(C280=N280, D280=O280, C280=O280, D280=N280), "PARCIALMENTE", IF(OR(N280="Não há recomendação", O280="Não há recomendação", N280="SEM RECOMENDAÇÃO", O280="SEM RECOMENDAÇÃO"), "NÃO RECOMENDOU", "ERROU"))), "")</f>
        <v/>
      </c>
      <c r="Q280" s="23">
        <f>IFERROR(INDEX([1]resposta_plan_exec!$A$2:$A$121, MATCH(_xlfn.CONCAT("*",[1]analise_resposta!A280,"*"), [1]resposta_plan_exec!$C$2:$C$121, 0)), "")</f>
        <v/>
      </c>
      <c r="R280" s="23">
        <f>IF([1]analise_resposta!A280="", "",
    _xlfn.LET(_xlpm.resultado, IFERROR(INDEX([1]resposta_plan_exec!$B$2:$B$121,
                           MATCH(_xlfn.CONCAT("*", [1]analise_resposta!A280, "*"),
                                   [1]resposta_plan_exec!$C$2:$C$121, 0)), ""),
        IF(_xlpm.resultado="", "", _xlpm.resultado)))</f>
        <v/>
      </c>
      <c r="S280" s="23" t="n"/>
    </row>
    <row r="281">
      <c r="A281" t="n">
        <v>2519</v>
      </c>
      <c r="B281" s="3" t="inlineStr">
        <is>
          <t>Inquirindo sobre opções de licenciamento e descontos em compras em volume para o Adobe Photoshop 2024</t>
        </is>
      </c>
      <c r="C281" s="3" t="inlineStr">
        <is>
          <t>Solicitação de Serviço</t>
        </is>
      </c>
      <c r="D281" s="3" t="inlineStr">
        <is>
          <t>Gerenciamento Financeiro</t>
        </is>
      </c>
      <c r="F281" s="5">
        <f>IFERROR(INDEX([1]resposta_chat_stream!$B$2:$B$34, MATCH(_xlfn.CONCAT("*#",[1]analise_resposta!A281,"*"), [1]resposta_chat_stream!$C$2:$C$34, 0)), "")</f>
        <v/>
      </c>
      <c r="G281" s="6">
        <f>IF(E281&lt;&gt;"", IF(AND(C281=E281, D281=F281), "ACERTOU", IF(OR(C281=E281, D281=F281, C281=F281, D281=E281), "PARCIALMENTE", IF(OR(E281="Não há recomendação", F281="Não há recomendação", E281="SEM RECOMENDAÇÃO", F281="SEM RECOMENDAÇÃO"), "NÃO RECOMENDOU", "ERROU"))), "")</f>
        <v/>
      </c>
      <c r="H281" s="20">
        <f>IFERROR(INDEX([1]reposta_chat!$A$2:$A$121, MATCH(_xlfn.CONCAT("*#",[1]analise_resposta!A281,"*"), [1]reposta_chat!$C$2:$C$121, 0)), "")</f>
        <v/>
      </c>
      <c r="I281" s="20">
        <f>IFERROR(INDEX([1]reposta_chat!$B$2:$B$121, MATCH(_xlfn.CONCAT("*#",[1]analise_resposta!A281,"*"), [1]reposta_chat!$C$2:$C$121, 0)), "")</f>
        <v/>
      </c>
      <c r="J281" s="20">
        <f>IF(H281&lt;&gt;"", IF(AND(C281=H281, D281=I281), "ACERTOU", IF(OR(C281=H281, D281=I281, C281=I281, D281=H281), "PARCIALMENTE", IF(OR(H281="Não há recomendação", I281="Não há recomendação", H281="SEM RECOMENDAÇÃO", I281="SEM RECOMENDAÇÃO"), "NÃO RECOMENDOU", "ERROU"))), "")</f>
        <v/>
      </c>
      <c r="K281" s="21" t="n"/>
      <c r="L281" s="21" t="n"/>
      <c r="M281" s="21" t="n"/>
      <c r="N281" s="22">
        <f>IFERROR(INDEX([1]respota_rag_adaptativo!$A$2:$A$853, MATCH(_xlfn.CONCAT("*#",[1]analise_resposta!A281,"*"), [1]respota_rag_adaptativo!$C$2:$C$85, 0)), "")</f>
        <v/>
      </c>
      <c r="O281" s="22" t="n"/>
      <c r="P281" s="22">
        <f>IF(N281&lt;&gt;"", IF(AND(C281=N281, D281=O281), "ACERTOU", IF(OR(C281=N281, D281=O281, C281=O281, D281=N281), "PARCIALMENTE", IF(OR(N281="Não há recomendação", O281="Não há recomendação", N281="SEM RECOMENDAÇÃO", O281="SEM RECOMENDAÇÃO"), "NÃO RECOMENDOU", "ERROU"))), "")</f>
        <v/>
      </c>
      <c r="Q281" s="23">
        <f>IFERROR(INDEX([1]resposta_plan_exec!$A$2:$A$121, MATCH(_xlfn.CONCAT("*",[1]analise_resposta!A281,"*"), [1]resposta_plan_exec!$C$2:$C$121, 0)), "")</f>
        <v/>
      </c>
      <c r="R281" s="23">
        <f>IF([1]analise_resposta!A281="", "",
    _xlfn.LET(_xlpm.resultado, IFERROR(INDEX([1]resposta_plan_exec!$B$2:$B$121,
                           MATCH(_xlfn.CONCAT("*", [1]analise_resposta!A281, "*"),
                                   [1]resposta_plan_exec!$C$2:$C$121, 0)), ""),
        IF(_xlpm.resultado="", "", _xlpm.resultado)))</f>
        <v/>
      </c>
      <c r="S281" s="23" t="n"/>
    </row>
    <row r="282">
      <c r="A282" t="n">
        <v>2527</v>
      </c>
      <c r="B282" s="3" t="inlineStr">
        <is>
          <t>Esclarecimento sobre Taxa de Assinatura</t>
        </is>
      </c>
      <c r="C282" s="3" t="inlineStr">
        <is>
          <t>Gerenciamento Financeiro</t>
        </is>
      </c>
      <c r="D282" s="3" t="inlineStr">
        <is>
          <t>Gerenciamento de Nível de Serviço</t>
        </is>
      </c>
      <c r="F282" s="5">
        <f>IFERROR(INDEX([1]resposta_chat_stream!$B$2:$B$34, MATCH(_xlfn.CONCAT("*#",[1]analise_resposta!A282,"*"), [1]resposta_chat_stream!$C$2:$C$34, 0)), "")</f>
        <v/>
      </c>
      <c r="G282" s="6">
        <f>IF(E282&lt;&gt;"", IF(AND(C282=E282, D282=F282), "ACERTOU", IF(OR(C282=E282, D282=F282, C282=F282, D282=E282), "PARCIALMENTE", IF(OR(E282="Não há recomendação", F282="Não há recomendação", E282="SEM RECOMENDAÇÃO", F282="SEM RECOMENDAÇÃO"), "NÃO RECOMENDOU", "ERROU"))), "")</f>
        <v/>
      </c>
      <c r="H282" s="20">
        <f>IFERROR(INDEX([1]reposta_chat!$A$2:$A$121, MATCH(_xlfn.CONCAT("*#",[1]analise_resposta!A282,"*"), [1]reposta_chat!$C$2:$C$121, 0)), "")</f>
        <v/>
      </c>
      <c r="I282" s="20">
        <f>IFERROR(INDEX([1]reposta_chat!$B$2:$B$121, MATCH(_xlfn.CONCAT("*#",[1]analise_resposta!A282,"*"), [1]reposta_chat!$C$2:$C$121, 0)), "")</f>
        <v/>
      </c>
      <c r="J282" s="20">
        <f>IF(H282&lt;&gt;"", IF(AND(C282=H282, D282=I282), "ACERTOU", IF(OR(C282=H282, D282=I282, C282=I282, D282=H282), "PARCIALMENTE", IF(OR(H282="Não há recomendação", I282="Não há recomendação", H282="SEM RECOMENDAÇÃO", I282="SEM RECOMENDAÇÃO"), "NÃO RECOMENDOU", "ERROU"))), "")</f>
        <v/>
      </c>
      <c r="K282" s="21" t="n"/>
      <c r="L282" s="21" t="n"/>
      <c r="M282" s="21" t="n"/>
      <c r="N282" s="22">
        <f>IFERROR(INDEX([1]respota_rag_adaptativo!$A$2:$A$853, MATCH(_xlfn.CONCAT("*#",[1]analise_resposta!A282,"*"), [1]respota_rag_adaptativo!$C$2:$C$85, 0)), "")</f>
        <v/>
      </c>
      <c r="O282" s="22" t="n"/>
      <c r="P282" s="22">
        <f>IF(N282&lt;&gt;"", IF(AND(C282=N282, D282=O282), "ACERTOU", IF(OR(C282=N282, D282=O282, C282=O282, D282=N282), "PARCIALMENTE", IF(OR(N282="Não há recomendação", O282="Não há recomendação", N282="SEM RECOMENDAÇÃO", O282="SEM RECOMENDAÇÃO"), "NÃO RECOMENDOU", "ERROU"))), "")</f>
        <v/>
      </c>
      <c r="Q282" s="23">
        <f>IFERROR(INDEX([1]resposta_plan_exec!$A$2:$A$121, MATCH(_xlfn.CONCAT("*",[1]analise_resposta!A282,"*"), [1]resposta_plan_exec!$C$2:$C$121, 0)), "")</f>
        <v/>
      </c>
      <c r="R282" s="23">
        <f>IF([1]analise_resposta!A282="", "",
    _xlfn.LET(_xlpm.resultado, IFERROR(INDEX([1]resposta_plan_exec!$B$2:$B$121,
                           MATCH(_xlfn.CONCAT("*", [1]analise_resposta!A282, "*"),
                                   [1]resposta_plan_exec!$C$2:$C$121, 0)), ""),
        IF(_xlpm.resultado="", "", _xlpm.resultado)))</f>
        <v/>
      </c>
      <c r="S282" s="23" t="n"/>
    </row>
    <row r="283">
      <c r="A283" t="n">
        <v>2545</v>
      </c>
      <c r="B283" s="3" t="inlineStr">
        <is>
          <t>Urgente: Problemas de Rede com Router Cisco ISR4331</t>
        </is>
      </c>
      <c r="C283" s="3" t="inlineStr">
        <is>
          <t>Gerenciamento de Incidentes</t>
        </is>
      </c>
      <c r="D283" s="3" t="inlineStr">
        <is>
          <t>Gerenciamento de Disponibilidade</t>
        </is>
      </c>
      <c r="F283" s="5">
        <f>IFERROR(INDEX([1]resposta_chat_stream!$B$2:$B$34, MATCH(_xlfn.CONCAT("*#",[1]analise_resposta!A283,"*"), [1]resposta_chat_stream!$C$2:$C$34, 0)), "")</f>
        <v/>
      </c>
      <c r="G283" s="6">
        <f>IF(E283&lt;&gt;"", IF(AND(C283=E283, D283=F283), "ACERTOU", IF(OR(C283=E283, D283=F283, C283=F283, D283=E283), "PARCIALMENTE", IF(OR(E283="Não há recomendação", F283="Não há recomendação", E283="SEM RECOMENDAÇÃO", F283="SEM RECOMENDAÇÃO"), "NÃO RECOMENDOU", "ERROU"))), "")</f>
        <v/>
      </c>
      <c r="H283" s="20">
        <f>IFERROR(INDEX([1]reposta_chat!$A$2:$A$121, MATCH(_xlfn.CONCAT("*#",[1]analise_resposta!A283,"*"), [1]reposta_chat!$C$2:$C$121, 0)), "")</f>
        <v/>
      </c>
      <c r="I283" s="20">
        <f>IFERROR(INDEX([1]reposta_chat!$B$2:$B$121, MATCH(_xlfn.CONCAT("*#",[1]analise_resposta!A283,"*"), [1]reposta_chat!$C$2:$C$121, 0)), "")</f>
        <v/>
      </c>
      <c r="J283" s="20">
        <f>IF(H283&lt;&gt;"", IF(AND(C283=H283, D283=I283), "ACERTOU", IF(OR(C283=H283, D283=I283, C283=I283, D283=H283), "PARCIALMENTE", IF(OR(H283="Não há recomendação", I283="Não há recomendação", H283="SEM RECOMENDAÇÃO", I283="SEM RECOMENDAÇÃO"), "NÃO RECOMENDOU", "ERROU"))), "")</f>
        <v/>
      </c>
      <c r="K283" s="21" t="n"/>
      <c r="L283" s="21" t="n"/>
      <c r="M283" s="21" t="n"/>
      <c r="N283" s="22">
        <f>IFERROR(INDEX([1]respota_rag_adaptativo!$A$2:$A$853, MATCH(_xlfn.CONCAT("*#",[1]analise_resposta!A283,"*"), [1]respota_rag_adaptativo!$C$2:$C$85, 0)), "")</f>
        <v/>
      </c>
      <c r="O283" s="22" t="n"/>
      <c r="P283" s="22">
        <f>IF(N283&lt;&gt;"", IF(AND(C283=N283, D283=O283), "ACERTOU", IF(OR(C283=N283, D283=O283, C283=O283, D283=N283), "PARCIALMENTE", IF(OR(N283="Não há recomendação", O283="Não há recomendação", N283="SEM RECOMENDAÇÃO", O283="SEM RECOMENDAÇÃO"), "NÃO RECOMENDOU", "ERROU"))), "")</f>
        <v/>
      </c>
      <c r="Q283" s="23">
        <f>IFERROR(INDEX([1]resposta_plan_exec!$A$2:$A$121, MATCH(_xlfn.CONCAT("*",[1]analise_resposta!A283,"*"), [1]resposta_plan_exec!$C$2:$C$121, 0)), "")</f>
        <v/>
      </c>
      <c r="R283" s="23">
        <f>IF([1]analise_resposta!A283="", "",
    _xlfn.LET(_xlpm.resultado, IFERROR(INDEX([1]resposta_plan_exec!$B$2:$B$121,
                           MATCH(_xlfn.CONCAT("*", [1]analise_resposta!A283, "*"),
                                   [1]resposta_plan_exec!$C$2:$C$121, 0)), ""),
        IF(_xlpm.resultado="", "", _xlpm.resultado)))</f>
        <v/>
      </c>
      <c r="S283" s="23" t="n"/>
    </row>
    <row r="284">
      <c r="A284" t="n">
        <v>2563</v>
      </c>
      <c r="B284" s="3" t="inlineStr">
        <is>
          <t>Preciso de Assistência para Resposta Lenta a Consultas no MySQL 8.0.30</t>
        </is>
      </c>
      <c r="C284" s="3" t="inlineStr">
        <is>
          <t>Gerenciamento de Incidentes</t>
        </is>
      </c>
      <c r="D284" s="3" t="inlineStr">
        <is>
          <t>Gerenciamento de Capacidade</t>
        </is>
      </c>
      <c r="F284" s="5">
        <f>IFERROR(INDEX([1]resposta_chat_stream!$B$2:$B$34, MATCH(_xlfn.CONCAT("*#",[1]analise_resposta!A284,"*"), [1]resposta_chat_stream!$C$2:$C$34, 0)), "")</f>
        <v/>
      </c>
      <c r="G284" s="6">
        <f>IF(E284&lt;&gt;"", IF(AND(C284=E284, D284=F284), "ACERTOU", IF(OR(C284=E284, D284=F284, C284=F284, D284=E284), "PARCIALMENTE", IF(OR(E284="Não há recomendação", F284="Não há recomendação", E284="SEM RECOMENDAÇÃO", F284="SEM RECOMENDAÇÃO"), "NÃO RECOMENDOU", "ERROU"))), "")</f>
        <v/>
      </c>
      <c r="H284" s="20">
        <f>IFERROR(INDEX([1]reposta_chat!$A$2:$A$121, MATCH(_xlfn.CONCAT("*#",[1]analise_resposta!A284,"*"), [1]reposta_chat!$C$2:$C$121, 0)), "")</f>
        <v/>
      </c>
      <c r="I284" s="20">
        <f>IFERROR(INDEX([1]reposta_chat!$B$2:$B$121, MATCH(_xlfn.CONCAT("*#",[1]analise_resposta!A284,"*"), [1]reposta_chat!$C$2:$C$121, 0)), "")</f>
        <v/>
      </c>
      <c r="J284" s="20">
        <f>IF(H284&lt;&gt;"", IF(AND(C284=H284, D284=I284), "ACERTOU", IF(OR(C284=H284, D284=I284, C284=I284, D284=H284), "PARCIALMENTE", IF(OR(H284="Não há recomendação", I284="Não há recomendação", H284="SEM RECOMENDAÇÃO", I284="SEM RECOMENDAÇÃO"), "NÃO RECOMENDOU", "ERROU"))), "")</f>
        <v/>
      </c>
      <c r="K284" s="21" t="n"/>
      <c r="L284" s="21" t="n"/>
      <c r="M284" s="21" t="n"/>
      <c r="N284" s="22">
        <f>IFERROR(INDEX([1]respota_rag_adaptativo!$A$2:$A$853, MATCH(_xlfn.CONCAT("*#",[1]analise_resposta!A284,"*"), [1]respota_rag_adaptativo!$C$2:$C$85, 0)), "")</f>
        <v/>
      </c>
      <c r="O284" s="22" t="n"/>
      <c r="P284" s="22">
        <f>IF(N284&lt;&gt;"", IF(AND(C284=N284, D284=O284), "ACERTOU", IF(OR(C284=N284, D284=O284, C284=O284, D284=N284), "PARCIALMENTE", IF(OR(N284="Não há recomendação", O284="Não há recomendação", N284="SEM RECOMENDAÇÃO", O284="SEM RECOMENDAÇÃO"), "NÃO RECOMENDOU", "ERROU"))), "")</f>
        <v/>
      </c>
      <c r="Q284" s="23">
        <f>IFERROR(INDEX([1]resposta_plan_exec!$A$2:$A$121, MATCH(_xlfn.CONCAT("*",[1]analise_resposta!A284,"*"), [1]resposta_plan_exec!$C$2:$C$121, 0)), "")</f>
        <v/>
      </c>
      <c r="R284" s="23">
        <f>IF([1]analise_resposta!A284="", "",
    _xlfn.LET(_xlpm.resultado, IFERROR(INDEX([1]resposta_plan_exec!$B$2:$B$121,
                           MATCH(_xlfn.CONCAT("*", [1]analise_resposta!A284, "*"),
                                   [1]resposta_plan_exec!$C$2:$C$121, 0)), ""),
        IF(_xlpm.resultado="", "", _xlpm.resultado)))</f>
        <v/>
      </c>
      <c r="S284" s="23" t="n"/>
    </row>
    <row r="285">
      <c r="A285" t="n">
        <v>2569</v>
      </c>
      <c r="B285" s="3" t="inlineStr">
        <is>
          <t>Problema de Cobrança com Compra do MySQL</t>
        </is>
      </c>
      <c r="C285" s="3" t="inlineStr">
        <is>
          <t>Gerenciamento Financeiro</t>
        </is>
      </c>
      <c r="D285" s="3" t="inlineStr">
        <is>
          <t>Gerenciamento de Incidentes</t>
        </is>
      </c>
      <c r="F285" s="5">
        <f>IFERROR(INDEX([1]resposta_chat_stream!$B$2:$B$34, MATCH(_xlfn.CONCAT("*#",[1]analise_resposta!A285,"*"), [1]resposta_chat_stream!$C$2:$C$34, 0)), "")</f>
        <v/>
      </c>
      <c r="G285" s="6">
        <f>IF(E285&lt;&gt;"", IF(AND(C285=E285, D285=F285), "ACERTOU", IF(OR(C285=E285, D285=F285, C285=F285, D285=E285), "PARCIALMENTE", IF(OR(E285="Não há recomendação", F285="Não há recomendação", E285="SEM RECOMENDAÇÃO", F285="SEM RECOMENDAÇÃO"), "NÃO RECOMENDOU", "ERROU"))), "")</f>
        <v/>
      </c>
      <c r="H285" s="20">
        <f>IFERROR(INDEX([1]reposta_chat!$A$2:$A$121, MATCH(_xlfn.CONCAT("*#",[1]analise_resposta!A285,"*"), [1]reposta_chat!$C$2:$C$121, 0)), "")</f>
        <v/>
      </c>
      <c r="I285" s="20">
        <f>IFERROR(INDEX([1]reposta_chat!$B$2:$B$121, MATCH(_xlfn.CONCAT("*#",[1]analise_resposta!A285,"*"), [1]reposta_chat!$C$2:$C$121, 0)), "")</f>
        <v/>
      </c>
      <c r="J285" s="20">
        <f>IF(H285&lt;&gt;"", IF(AND(C285=H285, D285=I285), "ACERTOU", IF(OR(C285=H285, D285=I285, C285=I285, D285=H285), "PARCIALMENTE", IF(OR(H285="Não há recomendação", I285="Não há recomendação", H285="SEM RECOMENDAÇÃO", I285="SEM RECOMENDAÇÃO"), "NÃO RECOMENDOU", "ERROU"))), "")</f>
        <v/>
      </c>
      <c r="K285" s="21" t="n"/>
      <c r="L285" s="21" t="n"/>
      <c r="M285" s="21" t="n"/>
      <c r="N285" s="22">
        <f>IFERROR(INDEX([1]respota_rag_adaptativo!$A$2:$A$853, MATCH(_xlfn.CONCAT("*#",[1]analise_resposta!A285,"*"), [1]respota_rag_adaptativo!$C$2:$C$85, 0)), "")</f>
        <v/>
      </c>
      <c r="O285" s="22" t="n"/>
      <c r="P285" s="22">
        <f>IF(N285&lt;&gt;"", IF(AND(C285=N285, D285=O285), "ACERTOU", IF(OR(C285=N285, D285=O285, C285=O285, D285=N285), "PARCIALMENTE", IF(OR(N285="Não há recomendação", O285="Não há recomendação", N285="SEM RECOMENDAÇÃO", O285="SEM RECOMENDAÇÃO"), "NÃO RECOMENDOU", "ERROU"))), "")</f>
        <v/>
      </c>
      <c r="Q285" s="23">
        <f>IFERROR(INDEX([1]resposta_plan_exec!$A$2:$A$121, MATCH(_xlfn.CONCAT("*",[1]analise_resposta!A285,"*"), [1]resposta_plan_exec!$C$2:$C$121, 0)), "")</f>
        <v/>
      </c>
      <c r="R285" s="23">
        <f>IF([1]analise_resposta!A285="", "",
    _xlfn.LET(_xlpm.resultado, IFERROR(INDEX([1]resposta_plan_exec!$B$2:$B$121,
                           MATCH(_xlfn.CONCAT("*", [1]analise_resposta!A285, "*"),
                                   [1]resposta_plan_exec!$C$2:$C$121, 0)), ""),
        IF(_xlpm.resultado="", "", _xlpm.resultado)))</f>
        <v/>
      </c>
      <c r="S285" s="23" t="n"/>
    </row>
    <row r="286">
      <c r="A286" t="n">
        <v>2570</v>
      </c>
      <c r="B286" s="3" t="inlineStr">
        <is>
          <t>Problema com o Jira Software 8.20</t>
        </is>
      </c>
      <c r="C286" s="3" t="inlineStr">
        <is>
          <t>Gerenciamento de Incidentes</t>
        </is>
      </c>
      <c r="D286" s="3" t="inlineStr">
        <is>
          <t>Gerenciamento de Problemas</t>
        </is>
      </c>
      <c r="F286" s="5">
        <f>IFERROR(INDEX([1]resposta_chat_stream!$B$2:$B$34, MATCH(_xlfn.CONCAT("*#",[1]analise_resposta!A286,"*"), [1]resposta_chat_stream!$C$2:$C$34, 0)), "")</f>
        <v/>
      </c>
      <c r="G286" s="6">
        <f>IF(E286&lt;&gt;"", IF(AND(C286=E286, D286=F286), "ACERTOU", IF(OR(C286=E286, D286=F286, C286=F286, D286=E286), "PARCIALMENTE", IF(OR(E286="Não há recomendação", F286="Não há recomendação", E286="SEM RECOMENDAÇÃO", F286="SEM RECOMENDAÇÃO"), "NÃO RECOMENDOU", "ERROU"))), "")</f>
        <v/>
      </c>
      <c r="H286" s="20">
        <f>IFERROR(INDEX([1]reposta_chat!$A$2:$A$121, MATCH(_xlfn.CONCAT("*#",[1]analise_resposta!A286,"*"), [1]reposta_chat!$C$2:$C$121, 0)), "")</f>
        <v/>
      </c>
      <c r="I286" s="20">
        <f>IFERROR(INDEX([1]reposta_chat!$B$2:$B$121, MATCH(_xlfn.CONCAT("*#",[1]analise_resposta!A286,"*"), [1]reposta_chat!$C$2:$C$121, 0)), "")</f>
        <v/>
      </c>
      <c r="J286" s="20">
        <f>IF(H286&lt;&gt;"", IF(AND(C286=H286, D286=I286), "ACERTOU", IF(OR(C286=H286, D286=I286, C286=I286, D286=H286), "PARCIALMENTE", IF(OR(H286="Não há recomendação", I286="Não há recomendação", H286="SEM RECOMENDAÇÃO", I286="SEM RECOMENDAÇÃO"), "NÃO RECOMENDOU", "ERROU"))), "")</f>
        <v/>
      </c>
      <c r="K286" s="21" t="n"/>
      <c r="L286" s="21" t="n"/>
      <c r="M286" s="21" t="n"/>
      <c r="N286" s="22">
        <f>IFERROR(INDEX([1]respota_rag_adaptativo!$A$2:$A$853, MATCH(_xlfn.CONCAT("*#",[1]analise_resposta!A286,"*"), [1]respota_rag_adaptativo!$C$2:$C$85, 0)), "")</f>
        <v/>
      </c>
      <c r="O286" s="22" t="n"/>
      <c r="P286" s="22">
        <f>IF(N286&lt;&gt;"", IF(AND(C286=N286, D286=O286), "ACERTOU", IF(OR(C286=N286, D286=O286, C286=O286, D286=N286), "PARCIALMENTE", IF(OR(N286="Não há recomendação", O286="Não há recomendação", N286="SEM RECOMENDAÇÃO", O286="SEM RECOMENDAÇÃO"), "NÃO RECOMENDOU", "ERROU"))), "")</f>
        <v/>
      </c>
      <c r="Q286" s="23">
        <f>IFERROR(INDEX([1]resposta_plan_exec!$A$2:$A$121, MATCH(_xlfn.CONCAT("*",[1]analise_resposta!A286,"*"), [1]resposta_plan_exec!$C$2:$C$121, 0)), "")</f>
        <v/>
      </c>
      <c r="R286" s="23">
        <f>IF([1]analise_resposta!A286="", "",
    _xlfn.LET(_xlpm.resultado, IFERROR(INDEX([1]resposta_plan_exec!$B$2:$B$121,
                           MATCH(_xlfn.CONCAT("*", [1]analise_resposta!A286, "*"),
                                   [1]resposta_plan_exec!$C$2:$C$121, 0)), ""),
        IF(_xlpm.resultado="", "", _xlpm.resultado)))</f>
        <v/>
      </c>
      <c r="S286" s="23" t="n"/>
    </row>
    <row r="287">
      <c r="A287" t="n">
        <v>2573</v>
      </c>
      <c r="B287" s="3" t="inlineStr">
        <is>
          <t>Discrepâncias de Cobrança com os Serviços em Nuvem da AWS</t>
        </is>
      </c>
      <c r="C287" s="3" t="inlineStr">
        <is>
          <t>Gerenciamento Financeiro</t>
        </is>
      </c>
      <c r="D287" s="3" t="inlineStr">
        <is>
          <t>Gerenciamento de Incidentes</t>
        </is>
      </c>
      <c r="F287" s="5">
        <f>IFERROR(INDEX([1]resposta_chat_stream!$B$2:$B$34, MATCH(_xlfn.CONCAT("*#",[1]analise_resposta!A287,"*"), [1]resposta_chat_stream!$C$2:$C$34, 0)), "")</f>
        <v/>
      </c>
      <c r="G287" s="6">
        <f>IF(E287&lt;&gt;"", IF(AND(C287=E287, D287=F287), "ACERTOU", IF(OR(C287=E287, D287=F287, C287=F287, D287=E287), "PARCIALMENTE", IF(OR(E287="Não há recomendação", F287="Não há recomendação", E287="SEM RECOMENDAÇÃO", F287="SEM RECOMENDAÇÃO"), "NÃO RECOMENDOU", "ERROU"))), "")</f>
        <v/>
      </c>
      <c r="H287" s="20">
        <f>IFERROR(INDEX([1]reposta_chat!$A$2:$A$121, MATCH(_xlfn.CONCAT("*#",[1]analise_resposta!A287,"*"), [1]reposta_chat!$C$2:$C$121, 0)), "")</f>
        <v/>
      </c>
      <c r="I287" s="20">
        <f>IFERROR(INDEX([1]reposta_chat!$B$2:$B$121, MATCH(_xlfn.CONCAT("*#",[1]analise_resposta!A287,"*"), [1]reposta_chat!$C$2:$C$121, 0)), "")</f>
        <v/>
      </c>
      <c r="J287" s="20">
        <f>IF(H287&lt;&gt;"", IF(AND(C287=H287, D287=I287), "ACERTOU", IF(OR(C287=H287, D287=I287, C287=I287, D287=H287), "PARCIALMENTE", IF(OR(H287="Não há recomendação", I287="Não há recomendação", H287="SEM RECOMENDAÇÃO", I287="SEM RECOMENDAÇÃO"), "NÃO RECOMENDOU", "ERROU"))), "")</f>
        <v/>
      </c>
      <c r="K287" s="21" t="n"/>
      <c r="L287" s="21" t="n"/>
      <c r="M287" s="21" t="n"/>
      <c r="N287" s="22">
        <f>IFERROR(INDEX([1]respota_rag_adaptativo!$A$2:$A$853, MATCH(_xlfn.CONCAT("*#",[1]analise_resposta!A287,"*"), [1]respota_rag_adaptativo!$C$2:$C$85, 0)), "")</f>
        <v/>
      </c>
      <c r="O287" s="22" t="n"/>
      <c r="P287" s="22">
        <f>IF(N287&lt;&gt;"", IF(AND(C287=N287, D287=O287), "ACERTOU", IF(OR(C287=N287, D287=O287, C287=O287, D287=N287), "PARCIALMENTE", IF(OR(N287="Não há recomendação", O287="Não há recomendação", N287="SEM RECOMENDAÇÃO", O287="SEM RECOMENDAÇÃO"), "NÃO RECOMENDOU", "ERROU"))), "")</f>
        <v/>
      </c>
      <c r="Q287" s="23">
        <f>IFERROR(INDEX([1]resposta_plan_exec!$A$2:$A$121, MATCH(_xlfn.CONCAT("*",[1]analise_resposta!A287,"*"), [1]resposta_plan_exec!$C$2:$C$121, 0)), "")</f>
        <v/>
      </c>
      <c r="R287" s="23">
        <f>IF([1]analise_resposta!A287="", "",
    _xlfn.LET(_xlpm.resultado, IFERROR(INDEX([1]resposta_plan_exec!$B$2:$B$121,
                           MATCH(_xlfn.CONCAT("*", [1]analise_resposta!A287, "*"),
                                   [1]resposta_plan_exec!$C$2:$C$121, 0)), ""),
        IF(_xlpm.resultado="", "", _xlpm.resultado)))</f>
        <v/>
      </c>
      <c r="S287" s="23" t="n"/>
    </row>
    <row r="288">
      <c r="A288" t="n">
        <v>2575</v>
      </c>
      <c r="B288" s="3" t="inlineStr">
        <is>
          <t>Solicitação de Atualizações de Configuração de Email</t>
        </is>
      </c>
      <c r="C288" s="3" t="inlineStr">
        <is>
          <t>Solicitação de Serviço</t>
        </is>
      </c>
      <c r="D288" s="3" t="inlineStr">
        <is>
          <t>Gerenciamento de Segurança</t>
        </is>
      </c>
      <c r="F288" s="5">
        <f>IFERROR(INDEX([1]resposta_chat_stream!$B$2:$B$34, MATCH(_xlfn.CONCAT("*#",[1]analise_resposta!A288,"*"), [1]resposta_chat_stream!$C$2:$C$34, 0)), "")</f>
        <v/>
      </c>
      <c r="G288" s="6">
        <f>IF(E288&lt;&gt;"", IF(AND(C288=E288, D288=F288), "ACERTOU", IF(OR(C288=E288, D288=F288, C288=F288, D288=E288), "PARCIALMENTE", IF(OR(E288="Não há recomendação", F288="Não há recomendação", E288="SEM RECOMENDAÇÃO", F288="SEM RECOMENDAÇÃO"), "NÃO RECOMENDOU", "ERROU"))), "")</f>
        <v/>
      </c>
      <c r="H288" s="20">
        <f>IFERROR(INDEX([1]reposta_chat!$A$2:$A$121, MATCH(_xlfn.CONCAT("*#",[1]analise_resposta!A288,"*"), [1]reposta_chat!$C$2:$C$121, 0)), "")</f>
        <v/>
      </c>
      <c r="I288" s="20">
        <f>IFERROR(INDEX([1]reposta_chat!$B$2:$B$121, MATCH(_xlfn.CONCAT("*#",[1]analise_resposta!A288,"*"), [1]reposta_chat!$C$2:$C$121, 0)), "")</f>
        <v/>
      </c>
      <c r="J288" s="20">
        <f>IF(H288&lt;&gt;"", IF(AND(C288=H288, D288=I288), "ACERTOU", IF(OR(C288=H288, D288=I288, C288=I288, D288=H288), "PARCIALMENTE", IF(OR(H288="Não há recomendação", I288="Não há recomendação", H288="SEM RECOMENDAÇÃO", I288="SEM RECOMENDAÇÃO"), "NÃO RECOMENDOU", "ERROU"))), "")</f>
        <v/>
      </c>
      <c r="K288" s="24" t="n"/>
      <c r="L288" s="21" t="n"/>
      <c r="M288" s="21" t="n"/>
      <c r="N288" s="22">
        <f>IFERROR(INDEX([1]respota_rag_adaptativo!$A$2:$A$853, MATCH(_xlfn.CONCAT("*#",[1]analise_resposta!A288,"*"), [1]respota_rag_adaptativo!$C$2:$C$85, 0)), "")</f>
        <v/>
      </c>
      <c r="O288" s="22" t="n"/>
      <c r="P288" s="22">
        <f>IF(N288&lt;&gt;"", IF(AND(C288=N288, D288=O288), "ACERTOU", IF(OR(C288=N288, D288=O288, C288=O288, D288=N288), "PARCIALMENTE", IF(OR(N288="Não há recomendação", O288="Não há recomendação", N288="SEM RECOMENDAÇÃO", O288="SEM RECOMENDAÇÃO"), "NÃO RECOMENDOU", "ERROU"))), "")</f>
        <v/>
      </c>
      <c r="Q288" s="23">
        <f>IFERROR(INDEX([1]resposta_plan_exec!$A$2:$A$121, MATCH(_xlfn.CONCAT("*",[1]analise_resposta!A288,"*"), [1]resposta_plan_exec!$C$2:$C$121, 0)), "")</f>
        <v/>
      </c>
      <c r="R288" s="23">
        <f>IF([1]analise_resposta!A288="", "",
    _xlfn.LET(_xlpm.resultado, IFERROR(INDEX([1]resposta_plan_exec!$B$2:$B$121,
                           MATCH(_xlfn.CONCAT("*", [1]analise_resposta!A288, "*"),
                                   [1]resposta_plan_exec!$C$2:$C$121, 0)), ""),
        IF(_xlpm.resultado="", "", _xlpm.resultado)))</f>
        <v/>
      </c>
      <c r="S288" s="23" t="n"/>
    </row>
    <row r="289">
      <c r="A289" t="n">
        <v>2578</v>
      </c>
      <c r="B289" s="3" t="inlineStr">
        <is>
          <t>Suporte Urgente Necessário para Problemas de Conectividade</t>
        </is>
      </c>
      <c r="C289" s="3" t="inlineStr">
        <is>
          <t>Gerenciamento de Incidentes</t>
        </is>
      </c>
      <c r="D289" s="3" t="inlineStr">
        <is>
          <t>Gerenciamento de Disponibilidade</t>
        </is>
      </c>
      <c r="F289" s="5">
        <f>IFERROR(INDEX([1]resposta_chat_stream!$B$2:$B$34, MATCH(_xlfn.CONCAT("*#",[1]analise_resposta!A289,"*"), [1]resposta_chat_stream!$C$2:$C$34, 0)), "")</f>
        <v/>
      </c>
      <c r="G289" s="6">
        <f>IF(E289&lt;&gt;"", IF(AND(C289=E289, D289=F289), "ACERTOU", IF(OR(C289=E289, D289=F289, C289=F289, D289=E289), "PARCIALMENTE", IF(OR(E289="Não há recomendação", F289="Não há recomendação", E289="SEM RECOMENDAÇÃO", F289="SEM RECOMENDAÇÃO"), "NÃO RECOMENDOU", "ERROU"))), "")</f>
        <v/>
      </c>
      <c r="H289" s="20">
        <f>IFERROR(INDEX([1]reposta_chat!$A$2:$A$121, MATCH(_xlfn.CONCAT("*#",[1]analise_resposta!A289,"*"), [1]reposta_chat!$C$2:$C$121, 0)), "")</f>
        <v/>
      </c>
      <c r="I289" s="20">
        <f>IFERROR(INDEX([1]reposta_chat!$B$2:$B$121, MATCH(_xlfn.CONCAT("*#",[1]analise_resposta!A289,"*"), [1]reposta_chat!$C$2:$C$121, 0)), "")</f>
        <v/>
      </c>
      <c r="J289" s="20">
        <f>IF(H289&lt;&gt;"", IF(AND(C289=H289, D289=I289), "ACERTOU", IF(OR(C289=H289, D289=I289, C289=I289, D289=H289), "PARCIALMENTE", IF(OR(H289="Não há recomendação", I289="Não há recomendação", H289="SEM RECOMENDAÇÃO", I289="SEM RECOMENDAÇÃO"), "NÃO RECOMENDOU", "ERROU"))), "")</f>
        <v/>
      </c>
      <c r="K289" s="21" t="n"/>
      <c r="L289" s="21" t="n"/>
      <c r="M289" s="21" t="n"/>
      <c r="N289" s="22">
        <f>IFERROR(INDEX([1]respota_rag_adaptativo!$A$2:$A$853, MATCH(_xlfn.CONCAT("*#",[1]analise_resposta!A289,"*"), [1]respota_rag_adaptativo!$C$2:$C$85, 0)), "")</f>
        <v/>
      </c>
      <c r="O289" s="22" t="n"/>
      <c r="P289" s="22">
        <f>IF(N289&lt;&gt;"", IF(AND(C289=N289, D289=O289), "ACERTOU", IF(OR(C289=N289, D289=O289, C289=O289, D289=N289), "PARCIALMENTE", IF(OR(N289="Não há recomendação", O289="Não há recomendação", N289="SEM RECOMENDAÇÃO", O289="SEM RECOMENDAÇÃO"), "NÃO RECOMENDOU", "ERROU"))), "")</f>
        <v/>
      </c>
      <c r="Q289" s="23">
        <f>IFERROR(INDEX([1]resposta_plan_exec!$A$2:$A$121, MATCH(_xlfn.CONCAT("*",[1]analise_resposta!A289,"*"), [1]resposta_plan_exec!$C$2:$C$121, 0)), "")</f>
        <v/>
      </c>
      <c r="R289" s="23">
        <f>IF([1]analise_resposta!A289="", "",
    _xlfn.LET(_xlpm.resultado, IFERROR(INDEX([1]resposta_plan_exec!$B$2:$B$121,
                           MATCH(_xlfn.CONCAT("*", [1]analise_resposta!A289, "*"),
                                   [1]resposta_plan_exec!$C$2:$C$121, 0)), ""),
        IF(_xlpm.resultado="", "", _xlpm.resultado)))</f>
        <v/>
      </c>
      <c r="S289" s="23" t="n"/>
    </row>
    <row r="290">
      <c r="A290" t="n">
        <v>2581</v>
      </c>
      <c r="B290" s="3" t="inlineStr">
        <is>
          <t>Urgente: Inatividade da Rede - Falha no Roteador Cisco</t>
        </is>
      </c>
      <c r="C290" s="3" t="inlineStr">
        <is>
          <t>Gerenciamento de Incidentes</t>
        </is>
      </c>
      <c r="D290" s="3" t="inlineStr">
        <is>
          <t>Gerenciamento de Disponibilidade</t>
        </is>
      </c>
      <c r="F290" s="5">
        <f>IFERROR(INDEX([1]resposta_chat_stream!$B$2:$B$34, MATCH(_xlfn.CONCAT("*#",[1]analise_resposta!A290,"*"), [1]resposta_chat_stream!$C$2:$C$34, 0)), "")</f>
        <v/>
      </c>
      <c r="G290" s="6">
        <f>IF(E290&lt;&gt;"", IF(AND(C290=E290, D290=F290), "ACERTOU", IF(OR(C290=E290, D290=F290, C290=F290, D290=E290), "PARCIALMENTE", IF(OR(E290="Não há recomendação", F290="Não há recomendação", E290="SEM RECOMENDAÇÃO", F290="SEM RECOMENDAÇÃO"), "NÃO RECOMENDOU", "ERROU"))), "")</f>
        <v/>
      </c>
      <c r="H290" s="20">
        <f>IFERROR(INDEX([1]reposta_chat!$A$2:$A$121, MATCH(_xlfn.CONCAT("*#",[1]analise_resposta!A290,"*"), [1]reposta_chat!$C$2:$C$121, 0)), "")</f>
        <v/>
      </c>
      <c r="I290" s="20">
        <f>IFERROR(INDEX([1]reposta_chat!$B$2:$B$121, MATCH(_xlfn.CONCAT("*#",[1]analise_resposta!A290,"*"), [1]reposta_chat!$C$2:$C$121, 0)), "")</f>
        <v/>
      </c>
      <c r="J290" s="20">
        <f>IF(H290&lt;&gt;"", IF(AND(C290=H290, D290=I290), "ACERTOU", IF(OR(C290=H290, D290=I290, C290=I290, D290=H290), "PARCIALMENTE", IF(OR(H290="Não há recomendação", I290="Não há recomendação", H290="SEM RECOMENDAÇÃO", I290="SEM RECOMENDAÇÃO"), "NÃO RECOMENDOU", "ERROU"))), "")</f>
        <v/>
      </c>
      <c r="K290" s="21" t="n"/>
      <c r="L290" s="21" t="n"/>
      <c r="M290" s="21" t="n"/>
      <c r="N290" s="22">
        <f>IFERROR(INDEX([1]respota_rag_adaptativo!$A$2:$A$853, MATCH(_xlfn.CONCAT("*#",[1]analise_resposta!A290,"*"), [1]respota_rag_adaptativo!$C$2:$C$85, 0)), "")</f>
        <v/>
      </c>
      <c r="O290" s="22" t="n"/>
      <c r="P290" s="22">
        <f>IF(N290&lt;&gt;"", IF(AND(C290=N290, D290=O290), "ACERTOU", IF(OR(C290=N290, D290=O290, C290=O290, D290=N290), "PARCIALMENTE", IF(OR(N290="Não há recomendação", O290="Não há recomendação", N290="SEM RECOMENDAÇÃO", O290="SEM RECOMENDAÇÃO"), "NÃO RECOMENDOU", "ERROU"))), "")</f>
        <v/>
      </c>
      <c r="Q290" s="23">
        <f>IFERROR(INDEX([1]resposta_plan_exec!$A$2:$A$121, MATCH(_xlfn.CONCAT("*",[1]analise_resposta!A290,"*"), [1]resposta_plan_exec!$C$2:$C$121, 0)), "")</f>
        <v/>
      </c>
      <c r="R290" s="23">
        <f>IF([1]analise_resposta!A290="", "",
    _xlfn.LET(_xlpm.resultado, IFERROR(INDEX([1]resposta_plan_exec!$B$2:$B$121,
                           MATCH(_xlfn.CONCAT("*", [1]analise_resposta!A290, "*"),
                                   [1]resposta_plan_exec!$C$2:$C$121, 0)), ""),
        IF(_xlpm.resultado="", "", _xlpm.resultado)))</f>
        <v/>
      </c>
      <c r="S290" s="23" t="n"/>
    </row>
    <row r="291">
      <c r="A291" t="n">
        <v>2584</v>
      </c>
      <c r="B291" s="3" t="inlineStr">
        <is>
          <t>Consulta sobre o desempenho do MacBook Air M1</t>
        </is>
      </c>
      <c r="C291" s="3" t="inlineStr">
        <is>
          <t>Solicitação de Serviço</t>
        </is>
      </c>
      <c r="D291" s="3" t="inlineStr">
        <is>
          <t>Gerenciamento de Ativos de TI</t>
        </is>
      </c>
      <c r="F291" s="5">
        <f>IFERROR(INDEX([1]resposta_chat_stream!$B$2:$B$34, MATCH(_xlfn.CONCAT("*#",[1]analise_resposta!A291,"*"), [1]resposta_chat_stream!$C$2:$C$34, 0)), "")</f>
        <v/>
      </c>
      <c r="G291" s="6">
        <f>IF(E291&lt;&gt;"", IF(AND(C291=E291, D291=F291), "ACERTOU", IF(OR(C291=E291, D291=F291, C291=F291, D291=E291), "PARCIALMENTE", IF(OR(E291="Não há recomendação", F291="Não há recomendação", E291="SEM RECOMENDAÇÃO", F291="SEM RECOMENDAÇÃO"), "NÃO RECOMENDOU", "ERROU"))), "")</f>
        <v/>
      </c>
      <c r="H291" s="20">
        <f>IFERROR(INDEX([1]reposta_chat!$A$2:$A$121, MATCH(_xlfn.CONCAT("*#",[1]analise_resposta!A291,"*"), [1]reposta_chat!$C$2:$C$121, 0)), "")</f>
        <v/>
      </c>
      <c r="I291" s="20">
        <f>IFERROR(INDEX([1]reposta_chat!$B$2:$B$121, MATCH(_xlfn.CONCAT("*#",[1]analise_resposta!A291,"*"), [1]reposta_chat!$C$2:$C$121, 0)), "")</f>
        <v/>
      </c>
      <c r="J291" s="20">
        <f>IF(H291&lt;&gt;"", IF(AND(C291=H291, D291=I291), "ACERTOU", IF(OR(C291=H291, D291=I291, C291=I291, D291=H291), "PARCIALMENTE", IF(OR(H291="Não há recomendação", I291="Não há recomendação", H291="SEM RECOMENDAÇÃO", I291="SEM RECOMENDAÇÃO"), "NÃO RECOMENDOU", "ERROU"))), "")</f>
        <v/>
      </c>
      <c r="K291" s="21" t="n"/>
      <c r="L291" s="21" t="n"/>
      <c r="M291" s="21" t="n"/>
      <c r="N291" s="22">
        <f>IFERROR(INDEX([1]respota_rag_adaptativo!$A$2:$A$853, MATCH(_xlfn.CONCAT("*#",[1]analise_resposta!A291,"*"), [1]respota_rag_adaptativo!$C$2:$C$85, 0)), "")</f>
        <v/>
      </c>
      <c r="O291" s="22" t="n"/>
      <c r="P291" s="22">
        <f>IF(N291&lt;&gt;"", IF(AND(C291=N291, D291=O291), "ACERTOU", IF(OR(C291=N291, D291=O291, C291=O291, D291=N291), "PARCIALMENTE", IF(OR(N291="Não há recomendação", O291="Não há recomendação", N291="SEM RECOMENDAÇÃO", O291="SEM RECOMENDAÇÃO"), "NÃO RECOMENDOU", "ERROU"))), "")</f>
        <v/>
      </c>
      <c r="Q291" s="23">
        <f>IFERROR(INDEX([1]resposta_plan_exec!$A$2:$A$121, MATCH(_xlfn.CONCAT("*",[1]analise_resposta!A291,"*"), [1]resposta_plan_exec!$C$2:$C$121, 0)), "")</f>
        <v/>
      </c>
      <c r="R291" s="23">
        <f>IF([1]analise_resposta!A291="", "",
    _xlfn.LET(_xlpm.resultado, IFERROR(INDEX([1]resposta_plan_exec!$B$2:$B$121,
                           MATCH(_xlfn.CONCAT("*", [1]analise_resposta!A291, "*"),
                                   [1]resposta_plan_exec!$C$2:$C$121, 0)), ""),
        IF(_xlpm.resultado="", "", _xlpm.resultado)))</f>
        <v/>
      </c>
      <c r="S291" s="23" t="n"/>
    </row>
    <row r="292">
      <c r="A292" t="n">
        <v>2589</v>
      </c>
      <c r="B292" s="3" t="inlineStr">
        <is>
          <t>Problema de Lentidão do Sistema com o Jira Software 8.20</t>
        </is>
      </c>
      <c r="C292" s="3" t="inlineStr">
        <is>
          <t>Gerenciamento de Incidentes</t>
        </is>
      </c>
      <c r="D292" s="3" t="inlineStr">
        <is>
          <t>Gerenciamento de Capacidade</t>
        </is>
      </c>
      <c r="F292" s="5">
        <f>IFERROR(INDEX([1]resposta_chat_stream!$B$2:$B$34, MATCH(_xlfn.CONCAT("*#",[1]analise_resposta!A292,"*"), [1]resposta_chat_stream!$C$2:$C$34, 0)), "")</f>
        <v/>
      </c>
      <c r="G292" s="6">
        <f>IF(E292&lt;&gt;"", IF(AND(C292=E292, D292=F292), "ACERTOU", IF(OR(C292=E292, D292=F292, C292=F292, D292=E292), "PARCIALMENTE", IF(OR(E292="Não há recomendação", F292="Não há recomendação", E292="SEM RECOMENDAÇÃO", F292="SEM RECOMENDAÇÃO"), "NÃO RECOMENDOU", "ERROU"))), "")</f>
        <v/>
      </c>
      <c r="H292" s="20">
        <f>IFERROR(INDEX([1]reposta_chat!$A$2:$A$121, MATCH(_xlfn.CONCAT("*#",[1]analise_resposta!A292,"*"), [1]reposta_chat!$C$2:$C$121, 0)), "")</f>
        <v/>
      </c>
      <c r="I292" s="20">
        <f>IFERROR(INDEX([1]reposta_chat!$B$2:$B$121, MATCH(_xlfn.CONCAT("*#",[1]analise_resposta!A292,"*"), [1]reposta_chat!$C$2:$C$121, 0)), "")</f>
        <v/>
      </c>
      <c r="J292" s="20">
        <f>IF(H292&lt;&gt;"", IF(AND(C292=H292, D292=I292), "ACERTOU", IF(OR(C292=H292, D292=I292, C292=I292, D292=H292), "PARCIALMENTE", IF(OR(H292="Não há recomendação", I292="Não há recomendação", H292="SEM RECOMENDAÇÃO", I292="SEM RECOMENDAÇÃO"), "NÃO RECOMENDOU", "ERROU"))), "")</f>
        <v/>
      </c>
      <c r="K292" s="21" t="n"/>
      <c r="L292" s="21" t="n"/>
      <c r="M292" s="21" t="n"/>
      <c r="N292" s="22">
        <f>IFERROR(INDEX([1]respota_rag_adaptativo!$A$2:$A$853, MATCH(_xlfn.CONCAT("*#",[1]analise_resposta!A292,"*"), [1]respota_rag_adaptativo!$C$2:$C$85, 0)), "")</f>
        <v/>
      </c>
      <c r="O292" s="22" t="n"/>
      <c r="P292" s="22">
        <f>IF(N292&lt;&gt;"", IF(AND(C292=N292, D292=O292), "ACERTOU", IF(OR(C292=N292, D292=O292, C292=O292, D292=N292), "PARCIALMENTE", IF(OR(N292="Não há recomendação", O292="Não há recomendação", N292="SEM RECOMENDAÇÃO", O292="SEM RECOMENDAÇÃO"), "NÃO RECOMENDOU", "ERROU"))), "")</f>
        <v/>
      </c>
      <c r="Q292" s="23">
        <f>IFERROR(INDEX([1]resposta_plan_exec!$A$2:$A$121, MATCH(_xlfn.CONCAT("*",[1]analise_resposta!A292,"*"), [1]resposta_plan_exec!$C$2:$C$121, 0)), "")</f>
        <v/>
      </c>
      <c r="R292" s="23">
        <f>IF([1]analise_resposta!A292="", "",
    _xlfn.LET(_xlpm.resultado, IFERROR(INDEX([1]resposta_plan_exec!$B$2:$B$121,
                           MATCH(_xlfn.CONCAT("*", [1]analise_resposta!A292, "*"),
                                   [1]resposta_plan_exec!$C$2:$C$121, 0)), ""),
        IF(_xlpm.resultado="", "", _xlpm.resultado)))</f>
        <v/>
      </c>
      <c r="S292" s="23" t="n"/>
    </row>
    <row r="293">
      <c r="A293" t="n">
        <v>2595</v>
      </c>
      <c r="B293" s="3" t="inlineStr">
        <is>
          <t>Solicitação de Devolução para Canon PIXMA MG3620 Devido a Problemas</t>
        </is>
      </c>
      <c r="C293" s="3" t="inlineStr">
        <is>
          <t>Solicitação de Serviço</t>
        </is>
      </c>
      <c r="D293" s="3" t="inlineStr">
        <is>
          <t>Gerenciamento de Ativos de TI</t>
        </is>
      </c>
      <c r="F293" s="5">
        <f>IFERROR(INDEX([1]resposta_chat_stream!$B$2:$B$34, MATCH(_xlfn.CONCAT("*#",[1]analise_resposta!A293,"*"), [1]resposta_chat_stream!$C$2:$C$34, 0)), "")</f>
        <v/>
      </c>
      <c r="G293" s="6">
        <f>IF(E293&lt;&gt;"", IF(AND(C293=E293, D293=F293), "ACERTOU", IF(OR(C293=E293, D293=F293, C293=F293, D293=E293), "PARCIALMENTE", IF(OR(E293="Não há recomendação", F293="Não há recomendação", E293="SEM RECOMENDAÇÃO", F293="SEM RECOMENDAÇÃO"), "NÃO RECOMENDOU", "ERROU"))), "")</f>
        <v/>
      </c>
      <c r="H293" s="20">
        <f>IFERROR(INDEX([1]reposta_chat!$A$2:$A$121, MATCH(_xlfn.CONCAT("*#",[1]analise_resposta!A293,"*"), [1]reposta_chat!$C$2:$C$121, 0)), "")</f>
        <v/>
      </c>
      <c r="I293" s="20">
        <f>IFERROR(INDEX([1]reposta_chat!$B$2:$B$121, MATCH(_xlfn.CONCAT("*#",[1]analise_resposta!A293,"*"), [1]reposta_chat!$C$2:$C$121, 0)), "")</f>
        <v/>
      </c>
      <c r="J293" s="20">
        <f>IF(H293&lt;&gt;"", IF(AND(C293=H293, D293=I293), "ACERTOU", IF(OR(C293=H293, D293=I293, C293=I293, D293=H293), "PARCIALMENTE", IF(OR(H293="Não há recomendação", I293="Não há recomendação", H293="SEM RECOMENDAÇÃO", I293="SEM RECOMENDAÇÃO"), "NÃO RECOMENDOU", "ERROU"))), "")</f>
        <v/>
      </c>
      <c r="K293" s="21" t="n"/>
      <c r="L293" s="21" t="n"/>
      <c r="M293" s="21" t="n"/>
      <c r="N293" s="22">
        <f>IFERROR(INDEX([1]respota_rag_adaptativo!$A$2:$A$853, MATCH(_xlfn.CONCAT("*#",[1]analise_resposta!A293,"*"), [1]respota_rag_adaptativo!$C$2:$C$85, 0)), "")</f>
        <v/>
      </c>
      <c r="O293" s="22" t="n"/>
      <c r="P293" s="22">
        <f>IF(N293&lt;&gt;"", IF(AND(C293=N293, D293=O293), "ACERTOU", IF(OR(C293=N293, D293=O293, C293=O293, D293=N293), "PARCIALMENTE", IF(OR(N293="Não há recomendação", O293="Não há recomendação", N293="SEM RECOMENDAÇÃO", O293="SEM RECOMENDAÇÃO"), "NÃO RECOMENDOU", "ERROU"))), "")</f>
        <v/>
      </c>
      <c r="Q293" s="23">
        <f>IFERROR(INDEX([1]resposta_plan_exec!$A$2:$A$121, MATCH(_xlfn.CONCAT("*",[1]analise_resposta!A293,"*"), [1]resposta_plan_exec!$C$2:$C$121, 0)), "")</f>
        <v/>
      </c>
      <c r="R293" s="23">
        <f>IF([1]analise_resposta!A293="", "",
    _xlfn.LET(_xlpm.resultado, IFERROR(INDEX([1]resposta_plan_exec!$B$2:$B$121,
                           MATCH(_xlfn.CONCAT("*", [1]analise_resposta!A293, "*"),
                                   [1]resposta_plan_exec!$C$2:$C$121, 0)), ""),
        IF(_xlpm.resultado="", "", _xlpm.resultado)))</f>
        <v/>
      </c>
      <c r="S293" s="23" t="n"/>
    </row>
    <row r="294">
      <c r="A294" t="n">
        <v>2602</v>
      </c>
      <c r="B294" s="3" t="inlineStr">
        <is>
          <t>Quedas frequentes com o Visual Studio Code 1.70</t>
        </is>
      </c>
      <c r="C294" s="3" t="inlineStr">
        <is>
          <t>Gerenciamento de Incidentes</t>
        </is>
      </c>
      <c r="D294" s="3" t="inlineStr">
        <is>
          <t>Gerenciamento de Problemas</t>
        </is>
      </c>
      <c r="F294" s="5">
        <f>IFERROR(INDEX([1]resposta_chat_stream!$B$2:$B$34, MATCH(_xlfn.CONCAT("*#",[1]analise_resposta!A294,"*"), [1]resposta_chat_stream!$C$2:$C$34, 0)), "")</f>
        <v/>
      </c>
      <c r="G294" s="6">
        <f>IF(E294&lt;&gt;"", IF(AND(C294=E294, D294=F294), "ACERTOU", IF(OR(C294=E294, D294=F294, C294=F294, D294=E294), "PARCIALMENTE", IF(OR(E294="Não há recomendação", F294="Não há recomendação", E294="SEM RECOMENDAÇÃO", F294="SEM RECOMENDAÇÃO"), "NÃO RECOMENDOU", "ERROU"))), "")</f>
        <v/>
      </c>
      <c r="H294" s="20">
        <f>IFERROR(INDEX([1]reposta_chat!$A$2:$A$121, MATCH(_xlfn.CONCAT("*#",[1]analise_resposta!A294,"*"), [1]reposta_chat!$C$2:$C$121, 0)), "")</f>
        <v/>
      </c>
      <c r="I294" s="20">
        <f>IFERROR(INDEX([1]reposta_chat!$B$2:$B$121, MATCH(_xlfn.CONCAT("*#",[1]analise_resposta!A294,"*"), [1]reposta_chat!$C$2:$C$121, 0)), "")</f>
        <v/>
      </c>
      <c r="J294" s="20">
        <f>IF(H294&lt;&gt;"", IF(AND(C294=H294, D294=I294), "ACERTOU", IF(OR(C294=H294, D294=I294, C294=I294, D294=H294), "PARCIALMENTE", IF(OR(H294="Não há recomendação", I294="Não há recomendação", H294="SEM RECOMENDAÇÃO", I294="SEM RECOMENDAÇÃO"), "NÃO RECOMENDOU", "ERROU"))), "")</f>
        <v/>
      </c>
      <c r="K294" s="21" t="n"/>
      <c r="L294" s="21" t="n"/>
      <c r="M294" s="21" t="n"/>
      <c r="N294" s="22">
        <f>IFERROR(INDEX([1]respota_rag_adaptativo!$A$2:$A$853, MATCH(_xlfn.CONCAT("*#",[1]analise_resposta!A294,"*"), [1]respota_rag_adaptativo!$C$2:$C$85, 0)), "")</f>
        <v/>
      </c>
      <c r="O294" s="22" t="n"/>
      <c r="P294" s="22">
        <f>IF(N294&lt;&gt;"", IF(AND(C294=N294, D294=O294), "ACERTOU", IF(OR(C294=N294, D294=O294, C294=O294, D294=N294), "PARCIALMENTE", IF(OR(N294="Não há recomendação", O294="Não há recomendação", N294="SEM RECOMENDAÇÃO", O294="SEM RECOMENDAÇÃO"), "NÃO RECOMENDOU", "ERROU"))), "")</f>
        <v/>
      </c>
      <c r="Q294" s="23">
        <f>IFERROR(INDEX([1]resposta_plan_exec!$A$2:$A$121, MATCH(_xlfn.CONCAT("*",[1]analise_resposta!A294,"*"), [1]resposta_plan_exec!$C$2:$C$121, 0)), "")</f>
        <v/>
      </c>
      <c r="R294" s="23">
        <f>IF([1]analise_resposta!A294="", "",
    _xlfn.LET(_xlpm.resultado, IFERROR(INDEX([1]resposta_plan_exec!$B$2:$B$121,
                           MATCH(_xlfn.CONCAT("*", [1]analise_resposta!A294, "*"),
                                   [1]resposta_plan_exec!$C$2:$C$121, 0)), ""),
        IF(_xlpm.resultado="", "", _xlpm.resultado)))</f>
        <v/>
      </c>
      <c r="S294" s="23" t="n"/>
    </row>
    <row r="295">
      <c r="A295" t="n">
        <v>2608</v>
      </c>
      <c r="B295" s="3" t="inlineStr">
        <is>
          <t>Problema frequente de atolamentos de papel com a impressora HP</t>
        </is>
      </c>
      <c r="C295" s="3" t="inlineStr">
        <is>
          <t>Gerenciamento de Incidentes</t>
        </is>
      </c>
      <c r="D295" s="3" t="inlineStr">
        <is>
          <t>Gerenciamento de Problemas</t>
        </is>
      </c>
      <c r="F295" s="5">
        <f>IFERROR(INDEX([1]resposta_chat_stream!$B$2:$B$34, MATCH(_xlfn.CONCAT("*#",[1]analise_resposta!A295,"*"), [1]resposta_chat_stream!$C$2:$C$34, 0)), "")</f>
        <v/>
      </c>
      <c r="G295" s="6">
        <f>IF(E295&lt;&gt;"", IF(AND(C295=E295, D295=F295), "ACERTOU", IF(OR(C295=E295, D295=F295, C295=F295, D295=E295), "PARCIALMENTE", IF(OR(E295="Não há recomendação", F295="Não há recomendação", E295="SEM RECOMENDAÇÃO", F295="SEM RECOMENDAÇÃO"), "NÃO RECOMENDOU", "ERROU"))), "")</f>
        <v/>
      </c>
      <c r="H295" s="20">
        <f>IFERROR(INDEX([1]reposta_chat!$A$2:$A$121, MATCH(_xlfn.CONCAT("*#",[1]analise_resposta!A295,"*"), [1]reposta_chat!$C$2:$C$121, 0)), "")</f>
        <v/>
      </c>
      <c r="I295" s="20">
        <f>IFERROR(INDEX([1]reposta_chat!$B$2:$B$121, MATCH(_xlfn.CONCAT("*#",[1]analise_resposta!A295,"*"), [1]reposta_chat!$C$2:$C$121, 0)), "")</f>
        <v/>
      </c>
      <c r="J295" s="20">
        <f>IF(H295&lt;&gt;"", IF(AND(C295=H295, D295=I295), "ACERTOU", IF(OR(C295=H295, D295=I295, C295=I295, D295=H295), "PARCIALMENTE", IF(OR(H295="Não há recomendação", I295="Não há recomendação", H295="SEM RECOMENDAÇÃO", I295="SEM RECOMENDAÇÃO"), "NÃO RECOMENDOU", "ERROU"))), "")</f>
        <v/>
      </c>
      <c r="K295" s="21" t="n"/>
      <c r="L295" s="21" t="n"/>
      <c r="M295" s="21" t="n"/>
      <c r="N295" s="22">
        <f>IFERROR(INDEX([1]respota_rag_adaptativo!$A$2:$A$853, MATCH(_xlfn.CONCAT("*#",[1]analise_resposta!A295,"*"), [1]respota_rag_adaptativo!$C$2:$C$85, 0)), "")</f>
        <v/>
      </c>
      <c r="O295" s="22" t="n"/>
      <c r="P295" s="22">
        <f>IF(N295&lt;&gt;"", IF(AND(C295=N295, D295=O295), "ACERTOU", IF(OR(C295=N295, D295=O295, C295=O295, D295=N295), "PARCIALMENTE", IF(OR(N295="Não há recomendação", O295="Não há recomendação", N295="SEM RECOMENDAÇÃO", O295="SEM RECOMENDAÇÃO"), "NÃO RECOMENDOU", "ERROU"))), "")</f>
        <v/>
      </c>
      <c r="Q295" s="23">
        <f>IFERROR(INDEX([1]resposta_plan_exec!$A$2:$A$121, MATCH(_xlfn.CONCAT("*",[1]analise_resposta!A295,"*"), [1]resposta_plan_exec!$C$2:$C$121, 0)), "")</f>
        <v/>
      </c>
      <c r="R295" s="23">
        <f>IF([1]analise_resposta!A295="", "",
    _xlfn.LET(_xlpm.resultado, IFERROR(INDEX([1]resposta_plan_exec!$B$2:$B$121,
                           MATCH(_xlfn.CONCAT("*", [1]analise_resposta!A295, "*"),
                                   [1]resposta_plan_exec!$C$2:$C$121, 0)), ""),
        IF(_xlpm.resultado="", "", _xlpm.resultado)))</f>
        <v/>
      </c>
      <c r="S295" s="23" t="n"/>
    </row>
    <row r="296">
      <c r="A296" t="n">
        <v>2613</v>
      </c>
      <c r="B296" s="3" t="inlineStr">
        <is>
          <t>Solicitação de Troca devido a Problemas de Flicker no LG OLED C1</t>
        </is>
      </c>
      <c r="C296" s="3" t="inlineStr">
        <is>
          <t>Solicitação de Serviço</t>
        </is>
      </c>
      <c r="D296" s="3" t="inlineStr">
        <is>
          <t>Gerenciamento de Ativos de TI</t>
        </is>
      </c>
      <c r="F296" s="5">
        <f>IFERROR(INDEX([1]resposta_chat_stream!$B$2:$B$34, MATCH(_xlfn.CONCAT("*#",[1]analise_resposta!A296,"*"), [1]resposta_chat_stream!$C$2:$C$34, 0)), "")</f>
        <v/>
      </c>
      <c r="G296" s="6">
        <f>IF(E296&lt;&gt;"", IF(AND(C296=E296, D296=F296), "ACERTOU", IF(OR(C296=E296, D296=F296, C296=F296, D296=E296), "PARCIALMENTE", IF(OR(E296="Não há recomendação", F296="Não há recomendação", E296="SEM RECOMENDAÇÃO", F296="SEM RECOMENDAÇÃO"), "NÃO RECOMENDOU", "ERROU"))), "")</f>
        <v/>
      </c>
      <c r="H296" s="20">
        <f>IFERROR(INDEX([1]reposta_chat!$A$2:$A$121, MATCH(_xlfn.CONCAT("*#",[1]analise_resposta!A296,"*"), [1]reposta_chat!$C$2:$C$121, 0)), "")</f>
        <v/>
      </c>
      <c r="I296" s="20">
        <f>IFERROR(INDEX([1]reposta_chat!$B$2:$B$121, MATCH(_xlfn.CONCAT("*#",[1]analise_resposta!A296,"*"), [1]reposta_chat!$C$2:$C$121, 0)), "")</f>
        <v/>
      </c>
      <c r="J296" s="20">
        <f>IF(H296&lt;&gt;"", IF(AND(C296=H296, D296=I296), "ACERTOU", IF(OR(C296=H296, D296=I296, C296=I296, D296=H296), "PARCIALMENTE", IF(OR(H296="Não há recomendação", I296="Não há recomendação", H296="SEM RECOMENDAÇÃO", I296="SEM RECOMENDAÇÃO"), "NÃO RECOMENDOU", "ERROU"))), "")</f>
        <v/>
      </c>
      <c r="K296" s="21" t="n"/>
      <c r="L296" s="21" t="n"/>
      <c r="M296" s="21" t="n"/>
      <c r="N296" s="22">
        <f>IFERROR(INDEX([1]respota_rag_adaptativo!$A$2:$A$853, MATCH(_xlfn.CONCAT("*#",[1]analise_resposta!A296,"*"), [1]respota_rag_adaptativo!$C$2:$C$85, 0)), "")</f>
        <v/>
      </c>
      <c r="O296" s="22" t="n"/>
      <c r="P296" s="22">
        <f>IF(N296&lt;&gt;"", IF(AND(C296=N296, D296=O296), "ACERTOU", IF(OR(C296=N296, D296=O296, C296=O296, D296=N296), "PARCIALMENTE", IF(OR(N296="Não há recomendação", O296="Não há recomendação", N296="SEM RECOMENDAÇÃO", O296="SEM RECOMENDAÇÃO"), "NÃO RECOMENDOU", "ERROU"))), "")</f>
        <v/>
      </c>
      <c r="Q296" s="23">
        <f>IFERROR(INDEX([1]resposta_plan_exec!$A$2:$A$121, MATCH(_xlfn.CONCAT("*",[1]analise_resposta!A296,"*"), [1]resposta_plan_exec!$C$2:$C$121, 0)), "")</f>
        <v/>
      </c>
      <c r="R296" s="23">
        <f>IF([1]analise_resposta!A296="", "",
    _xlfn.LET(_xlpm.resultado, IFERROR(INDEX([1]resposta_plan_exec!$B$2:$B$121,
                           MATCH(_xlfn.CONCAT("*", [1]analise_resposta!A296, "*"),
                                   [1]resposta_plan_exec!$C$2:$C$121, 0)), ""),
        IF(_xlpm.resultado="", "", _xlpm.resultado)))</f>
        <v/>
      </c>
      <c r="S296" s="23" t="n"/>
    </row>
    <row r="297">
      <c r="A297" t="n">
        <v>2622</v>
      </c>
      <c r="B297" s="3" t="inlineStr">
        <is>
          <t>Dificuldades ao Habilitar o Norton Antivirus Plus</t>
        </is>
      </c>
      <c r="C297" s="3" t="inlineStr">
        <is>
          <t>Gerenciamento de Incidentes</t>
        </is>
      </c>
      <c r="D297" s="3" t="inlineStr">
        <is>
          <t>Gerenciamento de Problemas</t>
        </is>
      </c>
      <c r="F297" s="5">
        <f>IFERROR(INDEX([1]resposta_chat_stream!$B$2:$B$34, MATCH(_xlfn.CONCAT("*#",[1]analise_resposta!A297,"*"), [1]resposta_chat_stream!$C$2:$C$34, 0)), "")</f>
        <v/>
      </c>
      <c r="G297" s="6">
        <f>IF(E297&lt;&gt;"", IF(AND(C297=E297, D297=F297), "ACERTOU", IF(OR(C297=E297, D297=F297, C297=F297, D297=E297), "PARCIALMENTE", IF(OR(E297="Não há recomendação", F297="Não há recomendação", E297="SEM RECOMENDAÇÃO", F297="SEM RECOMENDAÇÃO"), "NÃO RECOMENDOU", "ERROU"))), "")</f>
        <v/>
      </c>
      <c r="H297" s="20">
        <f>IFERROR(INDEX([1]reposta_chat!$A$2:$A$121, MATCH(_xlfn.CONCAT("*#",[1]analise_resposta!A297,"*"), [1]reposta_chat!$C$2:$C$121, 0)), "")</f>
        <v/>
      </c>
      <c r="I297" s="20">
        <f>IFERROR(INDEX([1]reposta_chat!$B$2:$B$121, MATCH(_xlfn.CONCAT("*#",[1]analise_resposta!A297,"*"), [1]reposta_chat!$C$2:$C$121, 0)), "")</f>
        <v/>
      </c>
      <c r="J297" s="20">
        <f>IF(H297&lt;&gt;"", IF(AND(C297=H297, D297=I297), "ACERTOU", IF(OR(C297=H297, D297=I297, C297=I297, D297=H297), "PARCIALMENTE", IF(OR(H297="Não há recomendação", I297="Não há recomendação", H297="SEM RECOMENDAÇÃO", I297="SEM RECOMENDAÇÃO"), "NÃO RECOMENDOU", "ERROU"))), "")</f>
        <v/>
      </c>
      <c r="K297" s="21" t="n"/>
      <c r="L297" s="21" t="n"/>
      <c r="M297" s="21" t="n"/>
      <c r="N297" s="22">
        <f>IFERROR(INDEX([1]respota_rag_adaptativo!$A$2:$A$853, MATCH(_xlfn.CONCAT("*#",[1]analise_resposta!A297,"*"), [1]respota_rag_adaptativo!$C$2:$C$85, 0)), "")</f>
        <v/>
      </c>
      <c r="O297" s="22" t="n"/>
      <c r="P297" s="22">
        <f>IF(N297&lt;&gt;"", IF(AND(C297=N297, D297=O297), "ACERTOU", IF(OR(C297=N297, D297=O297, C297=O297, D297=N297), "PARCIALMENTE", IF(OR(N297="Não há recomendação", O297="Não há recomendação", N297="SEM RECOMENDAÇÃO", O297="SEM RECOMENDAÇÃO"), "NÃO RECOMENDOU", "ERROU"))), "")</f>
        <v/>
      </c>
      <c r="Q297" s="23">
        <f>IFERROR(INDEX([1]resposta_plan_exec!$A$2:$A$121, MATCH(_xlfn.CONCAT("*",[1]analise_resposta!A297,"*"), [1]resposta_plan_exec!$C$2:$C$121, 0)), "")</f>
        <v/>
      </c>
      <c r="R297" s="23">
        <f>IF([1]analise_resposta!A297="", "",
    _xlfn.LET(_xlpm.resultado, IFERROR(INDEX([1]resposta_plan_exec!$B$2:$B$121,
                           MATCH(_xlfn.CONCAT("*", [1]analise_resposta!A297, "*"),
                                   [1]resposta_plan_exec!$C$2:$C$121, 0)), ""),
        IF(_xlpm.resultado="", "", _xlpm.resultado)))</f>
        <v/>
      </c>
      <c r="S297" s="23" t="n"/>
    </row>
    <row r="298">
      <c r="A298" t="n">
        <v>2638</v>
      </c>
      <c r="B298" s="3" t="inlineStr">
        <is>
          <t>Problema com o Dell XPS 13 ao iniciar</t>
        </is>
      </c>
      <c r="C298" s="3" t="inlineStr">
        <is>
          <t>Gerenciamento de Incidentes</t>
        </is>
      </c>
      <c r="D298" s="3" t="inlineStr">
        <is>
          <t>Gerenciamento de Ativos de TI</t>
        </is>
      </c>
      <c r="F298" s="5">
        <f>IFERROR(INDEX([1]resposta_chat_stream!$B$2:$B$34, MATCH(_xlfn.CONCAT("*#",[1]analise_resposta!A298,"*"), [1]resposta_chat_stream!$C$2:$C$34, 0)), "")</f>
        <v/>
      </c>
      <c r="G298" s="6">
        <f>IF(E298&lt;&gt;"", IF(AND(C298=E298, D298=F298), "ACERTOU", IF(OR(C298=E298, D298=F298, C298=F298, D298=E298), "PARCIALMENTE", IF(OR(E298="Não há recomendação", F298="Não há recomendação", E298="SEM RECOMENDAÇÃO", F298="SEM RECOMENDAÇÃO"), "NÃO RECOMENDOU", "ERROU"))), "")</f>
        <v/>
      </c>
      <c r="H298" s="20">
        <f>IFERROR(INDEX([1]reposta_chat!$A$2:$A$121, MATCH(_xlfn.CONCAT("*#",[1]analise_resposta!A298,"*"), [1]reposta_chat!$C$2:$C$121, 0)), "")</f>
        <v/>
      </c>
      <c r="I298" s="20">
        <f>IFERROR(INDEX([1]reposta_chat!$B$2:$B$121, MATCH(_xlfn.CONCAT("*#",[1]analise_resposta!A298,"*"), [1]reposta_chat!$C$2:$C$121, 0)), "")</f>
        <v/>
      </c>
      <c r="J298" s="20">
        <f>IF(H298&lt;&gt;"", IF(AND(C298=H298, D298=I298), "ACERTOU", IF(OR(C298=H298, D298=I298, C298=I298, D298=H298), "PARCIALMENTE", IF(OR(H298="Não há recomendação", I298="Não há recomendação", H298="SEM RECOMENDAÇÃO", I298="SEM RECOMENDAÇÃO"), "NÃO RECOMENDOU", "ERROU"))), "")</f>
        <v/>
      </c>
      <c r="K298" s="21" t="n"/>
      <c r="L298" s="21" t="n"/>
      <c r="M298" s="21" t="n"/>
      <c r="N298" s="22">
        <f>IFERROR(INDEX([1]respota_rag_adaptativo!$A$2:$A$853, MATCH(_xlfn.CONCAT("*#",[1]analise_resposta!A298,"*"), [1]respota_rag_adaptativo!$C$2:$C$85, 0)), "")</f>
        <v/>
      </c>
      <c r="O298" s="22" t="n"/>
      <c r="P298" s="22">
        <f>IF(N298&lt;&gt;"", IF(AND(C298=N298, D298=O298), "ACERTOU", IF(OR(C298=N298, D298=O298, C298=O298, D298=N298), "PARCIALMENTE", IF(OR(N298="Não há recomendação", O298="Não há recomendação", N298="SEM RECOMENDAÇÃO", O298="SEM RECOMENDAÇÃO"), "NÃO RECOMENDOU", "ERROU"))), "")</f>
        <v/>
      </c>
      <c r="Q298" s="23">
        <f>IFERROR(INDEX([1]resposta_plan_exec!$A$2:$A$121, MATCH(_xlfn.CONCAT("*",[1]analise_resposta!A298,"*"), [1]resposta_plan_exec!$C$2:$C$121, 0)), "")</f>
        <v/>
      </c>
      <c r="R298" s="23">
        <f>IF([1]analise_resposta!A298="", "",
    _xlfn.LET(_xlpm.resultado, IFERROR(INDEX([1]resposta_plan_exec!$B$2:$B$121,
                           MATCH(_xlfn.CONCAT("*", [1]analise_resposta!A298, "*"),
                                   [1]resposta_plan_exec!$C$2:$C$121, 0)), ""),
        IF(_xlpm.resultado="", "", _xlpm.resultado)))</f>
        <v/>
      </c>
      <c r="S298" s="23" t="n"/>
    </row>
    <row r="299">
      <c r="A299" t="n">
        <v>2653</v>
      </c>
      <c r="B299" s="3" t="inlineStr">
        <is>
          <t>Consulta de Compra</t>
        </is>
      </c>
      <c r="C299" s="3" t="inlineStr">
        <is>
          <t>Solicitação de Serviço</t>
        </is>
      </c>
      <c r="D299" s="3" t="inlineStr">
        <is>
          <t>Gerenciamento Financeiro</t>
        </is>
      </c>
      <c r="F299" s="5">
        <f>IFERROR(INDEX([1]resposta_chat_stream!$B$2:$B$34, MATCH(_xlfn.CONCAT("*#",[1]analise_resposta!A299,"*"), [1]resposta_chat_stream!$C$2:$C$34, 0)), "")</f>
        <v/>
      </c>
      <c r="G299" s="6">
        <f>IF(E299&lt;&gt;"", IF(AND(C299=E299, D299=F299), "ACERTOU", IF(OR(C299=E299, D299=F299, C299=F299, D299=E299), "PARCIALMENTE", IF(OR(E299="Não há recomendação", F299="Não há recomendação", E299="SEM RECOMENDAÇÃO", F299="SEM RECOMENDAÇÃO"), "NÃO RECOMENDOU", "ERROU"))), "")</f>
        <v/>
      </c>
      <c r="H299" s="20">
        <f>IFERROR(INDEX([1]reposta_chat!$A$2:$A$121, MATCH(_xlfn.CONCAT("*#",[1]analise_resposta!A299,"*"), [1]reposta_chat!$C$2:$C$121, 0)), "")</f>
        <v/>
      </c>
      <c r="I299" s="20">
        <f>IFERROR(INDEX([1]reposta_chat!$B$2:$B$121, MATCH(_xlfn.CONCAT("*#",[1]analise_resposta!A299,"*"), [1]reposta_chat!$C$2:$C$121, 0)), "")</f>
        <v/>
      </c>
      <c r="J299" s="20">
        <f>IF(H299&lt;&gt;"", IF(AND(C299=H299, D299=I299), "ACERTOU", IF(OR(C299=H299, D299=I299, C299=I299, D299=H299), "PARCIALMENTE", IF(OR(H299="Não há recomendação", I299="Não há recomendação", H299="SEM RECOMENDAÇÃO", I299="SEM RECOMENDAÇÃO"), "NÃO RECOMENDOU", "ERROU"))), "")</f>
        <v/>
      </c>
      <c r="K299" s="21" t="n"/>
      <c r="L299" s="21" t="n"/>
      <c r="M299" s="21" t="n"/>
      <c r="N299" s="22">
        <f>IFERROR(INDEX([1]respota_rag_adaptativo!$A$2:$A$853, MATCH(_xlfn.CONCAT("*#",[1]analise_resposta!A299,"*"), [1]respota_rag_adaptativo!$C$2:$C$85, 0)), "")</f>
        <v/>
      </c>
      <c r="O299" s="22" t="n"/>
      <c r="P299" s="22">
        <f>IF(N299&lt;&gt;"", IF(AND(C299=N299, D299=O299), "ACERTOU", IF(OR(C299=N299, D299=O299, C299=O299, D299=N299), "PARCIALMENTE", IF(OR(N299="Não há recomendação", O299="Não há recomendação", N299="SEM RECOMENDAÇÃO", O299="SEM RECOMENDAÇÃO"), "NÃO RECOMENDOU", "ERROU"))), "")</f>
        <v/>
      </c>
      <c r="Q299" s="23">
        <f>IFERROR(INDEX([1]resposta_plan_exec!$A$2:$A$121, MATCH(_xlfn.CONCAT("*",[1]analise_resposta!A299,"*"), [1]resposta_plan_exec!$C$2:$C$121, 0)), "")</f>
        <v/>
      </c>
      <c r="R299" s="23">
        <f>IF([1]analise_resposta!A299="", "",
    _xlfn.LET(_xlpm.resultado, IFERROR(INDEX([1]resposta_plan_exec!$B$2:$B$121,
                           MATCH(_xlfn.CONCAT("*", [1]analise_resposta!A299, "*"),
                                   [1]resposta_plan_exec!$C$2:$C$121, 0)), ""),
        IF(_xlpm.resultado="", "", _xlpm.resultado)))</f>
        <v/>
      </c>
      <c r="S299" s="23" t="n"/>
    </row>
    <row r="300">
      <c r="A300" t="n">
        <v>2659</v>
      </c>
      <c r="B300" s="3" t="inlineStr">
        <is>
          <t>Esclarecimento Necessário Sobre Cobrança de Fatura</t>
        </is>
      </c>
      <c r="C300" s="3" t="inlineStr">
        <is>
          <t>Gerenciamento Financeiro</t>
        </is>
      </c>
      <c r="D300" s="3" t="inlineStr">
        <is>
          <t>Gerenciamento de Nível de Serviço</t>
        </is>
      </c>
      <c r="F300" s="5">
        <f>IFERROR(INDEX([1]resposta_chat_stream!$B$2:$B$34, MATCH(_xlfn.CONCAT("*#",[1]analise_resposta!A300,"*"), [1]resposta_chat_stream!$C$2:$C$34, 0)), "")</f>
        <v/>
      </c>
      <c r="G300" s="6">
        <f>IF(E300&lt;&gt;"", IF(AND(C300=E300, D300=F300), "ACERTOU", IF(OR(C300=E300, D300=F300, C300=F300, D300=E300), "PARCIALMENTE", IF(OR(E300="Não há recomendação", F300="Não há recomendação", E300="SEM RECOMENDAÇÃO", F300="SEM RECOMENDAÇÃO"), "NÃO RECOMENDOU", "ERROU"))), "")</f>
        <v/>
      </c>
      <c r="H300" s="20">
        <f>IFERROR(INDEX([1]reposta_chat!$A$2:$A$121, MATCH(_xlfn.CONCAT("*#",[1]analise_resposta!A300,"*"), [1]reposta_chat!$C$2:$C$121, 0)), "")</f>
        <v/>
      </c>
      <c r="I300" s="20">
        <f>IFERROR(INDEX([1]reposta_chat!$B$2:$B$121, MATCH(_xlfn.CONCAT("*#",[1]analise_resposta!A300,"*"), [1]reposta_chat!$C$2:$C$121, 0)), "")</f>
        <v/>
      </c>
      <c r="J300" s="20">
        <f>IF(H300&lt;&gt;"", IF(AND(C300=H300, D300=I300), "ACERTOU", IF(OR(C300=H300, D300=I300, C300=I300, D300=H300), "PARCIALMENTE", IF(OR(H300="Não há recomendação", I300="Não há recomendação", H300="SEM RECOMENDAÇÃO", I300="SEM RECOMENDAÇÃO"), "NÃO RECOMENDOU", "ERROU"))), "")</f>
        <v/>
      </c>
      <c r="K300" s="21" t="n"/>
      <c r="L300" s="21" t="n"/>
      <c r="M300" s="21" t="n"/>
      <c r="N300" s="22">
        <f>IFERROR(INDEX([1]respota_rag_adaptativo!$A$2:$A$853, MATCH(_xlfn.CONCAT("*#",[1]analise_resposta!A300,"*"), [1]respota_rag_adaptativo!$C$2:$C$85, 0)), "")</f>
        <v/>
      </c>
      <c r="O300" s="22" t="n"/>
      <c r="P300" s="22">
        <f>IF(N300&lt;&gt;"", IF(AND(C300=N300, D300=O300), "ACERTOU", IF(OR(C300=N300, D300=O300, C300=O300, D300=N300), "PARCIALMENTE", IF(OR(N300="Não há recomendação", O300="Não há recomendação", N300="SEM RECOMENDAÇÃO", O300="SEM RECOMENDAÇÃO"), "NÃO RECOMENDOU", "ERROU"))), "")</f>
        <v/>
      </c>
      <c r="Q300" s="23">
        <f>IFERROR(INDEX([1]resposta_plan_exec!$A$2:$A$121, MATCH(_xlfn.CONCAT("*",[1]analise_resposta!A300,"*"), [1]resposta_plan_exec!$C$2:$C$121, 0)), "")</f>
        <v/>
      </c>
      <c r="R300" s="23">
        <f>IF([1]analise_resposta!A300="", "",
    _xlfn.LET(_xlpm.resultado, IFERROR(INDEX([1]resposta_plan_exec!$B$2:$B$121,
                           MATCH(_xlfn.CONCAT("*", [1]analise_resposta!A300, "*"),
                                   [1]resposta_plan_exec!$C$2:$C$121, 0)), ""),
        IF(_xlpm.resultado="", "", _xlpm.resultado)))</f>
        <v/>
      </c>
      <c r="S300" s="23" t="n"/>
    </row>
    <row r="301">
      <c r="A301" t="n">
        <v>2665</v>
      </c>
      <c r="B301" s="3" t="inlineStr">
        <is>
          <t>Propostas de melhorias para o gerenciamento de nuvem multi-conta da AWS</t>
        </is>
      </c>
      <c r="C301" s="3" t="inlineStr">
        <is>
          <t>Solicitação de Serviço</t>
        </is>
      </c>
      <c r="D301" s="3" t="inlineStr">
        <is>
          <t>Gerenciamento Financeiro</t>
        </is>
      </c>
      <c r="F301" s="5">
        <f>IFERROR(INDEX([1]resposta_chat_stream!$B$2:$B$34, MATCH(_xlfn.CONCAT("*#",[1]analise_resposta!A301,"*"), [1]resposta_chat_stream!$C$2:$C$34, 0)), "")</f>
        <v/>
      </c>
      <c r="G301" s="6">
        <f>IF(E301&lt;&gt;"", IF(AND(C301=E301, D301=F301), "ACERTOU", IF(OR(C301=E301, D301=F301, C301=F301, D301=E301), "PARCIALMENTE", IF(OR(E301="Não há recomendação", F301="Não há recomendação", E301="SEM RECOMENDAÇÃO", F301="SEM RECOMENDAÇÃO"), "NÃO RECOMENDOU", "ERROU"))), "")</f>
        <v/>
      </c>
      <c r="H301" s="20">
        <f>IFERROR(INDEX([1]reposta_chat!$A$2:$A$121, MATCH(_xlfn.CONCAT("*#",[1]analise_resposta!A301,"*"), [1]reposta_chat!$C$2:$C$121, 0)), "")</f>
        <v/>
      </c>
      <c r="I301" s="20">
        <f>IFERROR(INDEX([1]reposta_chat!$B$2:$B$121, MATCH(_xlfn.CONCAT("*#",[1]analise_resposta!A301,"*"), [1]reposta_chat!$C$2:$C$121, 0)), "")</f>
        <v/>
      </c>
      <c r="J301" s="20">
        <f>IF(H301&lt;&gt;"", IF(AND(C301=H301, D301=I301), "ACERTOU", IF(OR(C301=H301, D301=I301, C301=I301, D301=H301), "PARCIALMENTE", IF(OR(H301="Não há recomendação", I301="Não há recomendação", H301="SEM RECOMENDAÇÃO", I301="SEM RECOMENDAÇÃO"), "NÃO RECOMENDOU", "ERROU"))), "")</f>
        <v/>
      </c>
      <c r="K301" s="21" t="n"/>
      <c r="L301" s="21" t="n"/>
      <c r="M301" s="21" t="n"/>
      <c r="N301" s="22">
        <f>IFERROR(INDEX([1]respota_rag_adaptativo!$A$2:$A$853, MATCH(_xlfn.CONCAT("*#",[1]analise_resposta!A301,"*"), [1]respota_rag_adaptativo!$C$2:$C$85, 0)), "")</f>
        <v/>
      </c>
      <c r="O301" s="22" t="n"/>
      <c r="P301" s="22">
        <f>IF(N301&lt;&gt;"", IF(AND(C301=N301, D301=O301), "ACERTOU", IF(OR(C301=N301, D301=O301, C301=O301, D301=N301), "PARCIALMENTE", IF(OR(N301="Não há recomendação", O301="Não há recomendação", N301="SEM RECOMENDAÇÃO", O301="SEM RECOMENDAÇÃO"), "NÃO RECOMENDOU", "ERROU"))), "")</f>
        <v/>
      </c>
      <c r="Q301" s="23">
        <f>IFERROR(INDEX([1]resposta_plan_exec!$A$2:$A$121, MATCH(_xlfn.CONCAT("*",[1]analise_resposta!A301,"*"), [1]resposta_plan_exec!$C$2:$C$121, 0)), "")</f>
        <v/>
      </c>
      <c r="R301" s="23">
        <f>IF([1]analise_resposta!A301="", "",
    _xlfn.LET(_xlpm.resultado, IFERROR(INDEX([1]resposta_plan_exec!$B$2:$B$121,
                           MATCH(_xlfn.CONCAT("*", [1]analise_resposta!A301, "*"),
                                   [1]resposta_plan_exec!$C$2:$C$121, 0)), ""),
        IF(_xlpm.resultado="", "", _xlpm.resultado)))</f>
        <v/>
      </c>
      <c r="S301" s="23" t="n"/>
    </row>
    <row r="302">
      <c r="A302" t="n">
        <v>2672</v>
      </c>
      <c r="B302" s="3" t="inlineStr">
        <is>
          <t>Problemas de Conectividade e Desempenho de Wi-Fi com o Roteador Cisco</t>
        </is>
      </c>
      <c r="C302" s="3" t="inlineStr">
        <is>
          <t>Gerenciamento de Incidentes</t>
        </is>
      </c>
      <c r="D302" s="3" t="inlineStr">
        <is>
          <t>Gerenciamento de Problemas</t>
        </is>
      </c>
      <c r="F302" s="5">
        <f>IFERROR(INDEX([1]resposta_chat_stream!$B$2:$B$34, MATCH(_xlfn.CONCAT("*#",[1]analise_resposta!A302,"*"), [1]resposta_chat_stream!$C$2:$C$34, 0)), "")</f>
        <v/>
      </c>
      <c r="G302" s="6">
        <f>IF(E302&lt;&gt;"", IF(AND(C302=E302, D302=F302), "ACERTOU", IF(OR(C302=E302, D302=F302, C302=F302, D302=E302), "PARCIALMENTE", IF(OR(E302="Não há recomendação", F302="Não há recomendação", E302="SEM RECOMENDAÇÃO", F302="SEM RECOMENDAÇÃO"), "NÃO RECOMENDOU", "ERROU"))), "")</f>
        <v/>
      </c>
      <c r="H302" s="20">
        <f>IFERROR(INDEX([1]reposta_chat!$A$2:$A$121, MATCH(_xlfn.CONCAT("*#",[1]analise_resposta!A302,"*"), [1]reposta_chat!$C$2:$C$121, 0)), "")</f>
        <v/>
      </c>
      <c r="I302" s="20">
        <f>IFERROR(INDEX([1]reposta_chat!$B$2:$B$121, MATCH(_xlfn.CONCAT("*#",[1]analise_resposta!A302,"*"), [1]reposta_chat!$C$2:$C$121, 0)), "")</f>
        <v/>
      </c>
      <c r="J302" s="20">
        <f>IF(H302&lt;&gt;"", IF(AND(C302=H302, D302=I302), "ACERTOU", IF(OR(C302=H302, D302=I302, C302=I302, D302=H302), "PARCIALMENTE", IF(OR(H302="Não há recomendação", I302="Não há recomendação", H302="SEM RECOMENDAÇÃO", I302="SEM RECOMENDAÇÃO"), "NÃO RECOMENDOU", "ERROU"))), "")</f>
        <v/>
      </c>
      <c r="K302" s="21">
        <f>IFERROR(INDEX([1]resposta_rag!$A$2:$A$33, MATCH(_xlfn.CONCAT("*#",[1]analise_resposta!A302,"*"), [1]resposta_rag!$C$2:$C$33, 0)), "")</f>
        <v/>
      </c>
      <c r="L302" s="21" t="n"/>
      <c r="M302" s="21">
        <f>IF(K302&lt;&gt;"",IF(AND(K322,D302=I302),"ACERTOU",IF(OR(C302=K302,D302=L302,C302=L302,D302=K302),"PARCIALMENTE","ERROU")),"")</f>
        <v/>
      </c>
      <c r="N302" s="22">
        <f>IFERROR(INDEX([1]respota_rag_adaptativo!$A$2:$A$853, MATCH(_xlfn.CONCAT("*#",[1]analise_resposta!A302,"*"), [1]respota_rag_adaptativo!$C$2:$C$85, 0)), "")</f>
        <v/>
      </c>
      <c r="O302" s="22" t="n"/>
      <c r="P302" s="22">
        <f>IF(N302&lt;&gt;"", IF(AND(C302=N302, D302=O302), "ACERTOU", IF(OR(C302=N302, D302=O302, C302=O302, D302=N302), "PARCIALMENTE", IF(OR(N302="Não há recomendação", O302="Não há recomendação", N302="SEM RECOMENDAÇÃO", O302="SEM RECOMENDAÇÃO"), "NÃO RECOMENDOU", "ERROU"))), "")</f>
        <v/>
      </c>
      <c r="Q302" s="23">
        <f>IFERROR(INDEX([1]resposta_plan_exec!$A$2:$A$121, MATCH(_xlfn.CONCAT("*",[1]analise_resposta!A302,"*"), [1]resposta_plan_exec!$C$2:$C$121, 0)), "")</f>
        <v/>
      </c>
      <c r="R302" s="23">
        <f>IF([1]analise_resposta!A302="", "",
    _xlfn.LET(_xlpm.resultado, IFERROR(INDEX([1]resposta_plan_exec!$B$2:$B$121,
                           MATCH(_xlfn.CONCAT("*", [1]analise_resposta!A302, "*"),
                                   [1]resposta_plan_exec!$C$2:$C$121, 0)), ""),
        IF(_xlpm.resultado="", "", _xlpm.resultado)))</f>
        <v/>
      </c>
      <c r="S302" s="23" t="n"/>
    </row>
    <row r="303">
      <c r="A303" t="n">
        <v>2688</v>
      </c>
      <c r="B303" s="3" t="inlineStr">
        <is>
          <t>Consulta sobre Administração de Servidores</t>
        </is>
      </c>
      <c r="C303" s="3" t="inlineStr">
        <is>
          <t>Solicitação de Serviço</t>
        </is>
      </c>
      <c r="D303" s="3" t="inlineStr">
        <is>
          <t>Gerenciamento de Nível de Serviço</t>
        </is>
      </c>
      <c r="F303" s="5">
        <f>IFERROR(INDEX([1]resposta_chat_stream!$B$2:$B$34, MATCH(_xlfn.CONCAT("*#",[1]analise_resposta!A303,"*"), [1]resposta_chat_stream!$C$2:$C$34, 0)), "")</f>
        <v/>
      </c>
      <c r="G303" s="6">
        <f>IF(E303&lt;&gt;"", IF(AND(C303=E303, D303=F303), "ACERTOU", IF(OR(C303=E303, D303=F303, C303=F303, D303=E303), "PARCIALMENTE", IF(OR(E303="Não há recomendação", F303="Não há recomendação", E303="SEM RECOMENDAÇÃO", F303="SEM RECOMENDAÇÃO"), "NÃO RECOMENDOU", "ERROU"))), "")</f>
        <v/>
      </c>
      <c r="H303" s="20">
        <f>IFERROR(INDEX([1]reposta_chat!$A$2:$A$121, MATCH(_xlfn.CONCAT("*#",[1]analise_resposta!A303,"*"), [1]reposta_chat!$C$2:$C$121, 0)), "")</f>
        <v/>
      </c>
      <c r="I303" s="20">
        <f>IFERROR(INDEX([1]reposta_chat!$B$2:$B$121, MATCH(_xlfn.CONCAT("*#",[1]analise_resposta!A303,"*"), [1]reposta_chat!$C$2:$C$121, 0)), "")</f>
        <v/>
      </c>
      <c r="J303" s="20">
        <f>IF(H303&lt;&gt;"", IF(AND(C303=H303, D303=I303), "ACERTOU", IF(OR(C303=H303, D303=I303, C303=I303, D303=H303), "PARCIALMENTE", IF(OR(H303="Não há recomendação", I303="Não há recomendação", H303="SEM RECOMENDAÇÃO", I303="SEM RECOMENDAÇÃO"), "NÃO RECOMENDOU", "ERROU"))), "")</f>
        <v/>
      </c>
      <c r="K303" s="21">
        <f>IFERROR(INDEX([1]resposta_rag!$A$2:$A$33, MATCH(_xlfn.CONCAT("*#",[1]analise_resposta!A303,"*"), [1]resposta_rag!$C$2:$C$33, 0)), "")</f>
        <v/>
      </c>
      <c r="L303" s="21" t="n"/>
      <c r="M303" s="21">
        <f>IF(K303&lt;&gt;"",IF(AND(K323,D303=I303),"ACERTOU",IF(OR(C303=K303,D303=L303,C303=L303,D303=K303),"PARCIALMENTE","ERROU")),"")</f>
        <v/>
      </c>
      <c r="N303" s="22">
        <f>IFERROR(INDEX([1]respota_rag_adaptativo!$A$2:$A$853, MATCH(_xlfn.CONCAT("*#",[1]analise_resposta!A303,"*"), [1]respota_rag_adaptativo!$C$2:$C$85, 0)), "")</f>
        <v/>
      </c>
      <c r="O303" s="22" t="n"/>
      <c r="P303" s="22">
        <f>IF(N303&lt;&gt;"", IF(AND(C303=N303, D303=O303), "ACERTOU", IF(OR(C303=N303, D303=O303, C303=O303, D303=N303), "PARCIALMENTE", IF(OR(N303="Não há recomendação", O303="Não há recomendação", N303="SEM RECOMENDAÇÃO", O303="SEM RECOMENDAÇÃO"), "NÃO RECOMENDOU", "ERROU"))), "")</f>
        <v/>
      </c>
      <c r="Q303" s="23">
        <f>IFERROR(INDEX([1]resposta_plan_exec!$A$2:$A$121, MATCH(_xlfn.CONCAT("*",[1]analise_resposta!A303,"*"), [1]resposta_plan_exec!$C$2:$C$121, 0)), "")</f>
        <v/>
      </c>
      <c r="R303" s="23">
        <f>IF([1]analise_resposta!A303="", "",
    _xlfn.LET(_xlpm.resultado, IFERROR(INDEX([1]resposta_plan_exec!$B$2:$B$121,
                           MATCH(_xlfn.CONCAT("*", [1]analise_resposta!A303, "*"),
                                   [1]resposta_plan_exec!$C$2:$C$121, 0)), ""),
        IF(_xlpm.resultado="", "", _xlpm.resultado)))</f>
        <v/>
      </c>
      <c r="S303" s="23" t="n"/>
    </row>
    <row r="304">
      <c r="A304" t="n">
        <v>2702</v>
      </c>
      <c r="B304" s="3" t="inlineStr">
        <is>
          <t>Solicitação de Troca: Problema com a Impressora Canon PIXMA MG3620</t>
        </is>
      </c>
      <c r="C304" s="3" t="inlineStr">
        <is>
          <t>Solicitação de Serviço</t>
        </is>
      </c>
      <c r="D304" s="3" t="inlineStr">
        <is>
          <t>Gerenciamento de Ativos de TI</t>
        </is>
      </c>
      <c r="F304" s="5">
        <f>IFERROR(INDEX([1]resposta_chat_stream!$B$2:$B$34, MATCH(_xlfn.CONCAT("*#",[1]analise_resposta!A304,"*"), [1]resposta_chat_stream!$C$2:$C$34, 0)), "")</f>
        <v/>
      </c>
      <c r="G304" s="6">
        <f>IF(E304&lt;&gt;"", IF(AND(C304=E304, D304=F304), "ACERTOU", IF(OR(C304=E304, D304=F304, C304=F304, D304=E304), "PARCIALMENTE", IF(OR(E304="Não há recomendação", F304="Não há recomendação", E304="SEM RECOMENDAÇÃO", F304="SEM RECOMENDAÇÃO"), "NÃO RECOMENDOU", "ERROU"))), "")</f>
        <v/>
      </c>
      <c r="H304" s="20">
        <f>IFERROR(INDEX([1]reposta_chat!$A$2:$A$121, MATCH(_xlfn.CONCAT("*#",[1]analise_resposta!A304,"*"), [1]reposta_chat!$C$2:$C$121, 0)), "")</f>
        <v/>
      </c>
      <c r="I304" s="20">
        <f>IFERROR(INDEX([1]reposta_chat!$B$2:$B$121, MATCH(_xlfn.CONCAT("*#",[1]analise_resposta!A304,"*"), [1]reposta_chat!$C$2:$C$121, 0)), "")</f>
        <v/>
      </c>
      <c r="J304" s="20">
        <f>IF(H304&lt;&gt;"", IF(AND(C304=H304, D304=I304), "ACERTOU", IF(OR(C304=H304, D304=I304, C304=I304, D304=H304), "PARCIALMENTE", IF(OR(H304="Não há recomendação", I304="Não há recomendação", H304="SEM RECOMENDAÇÃO", I304="SEM RECOMENDAÇÃO"), "NÃO RECOMENDOU", "ERROU"))), "")</f>
        <v/>
      </c>
      <c r="K304" s="21">
        <f>IFERROR(INDEX([1]resposta_rag!$A$2:$A$33, MATCH(_xlfn.CONCAT("*#",[1]analise_resposta!A304,"*"), [1]resposta_rag!$C$2:$C$33, 0)), "")</f>
        <v/>
      </c>
      <c r="L304" s="21" t="n"/>
      <c r="M304" s="21">
        <f>IF(K304&lt;&gt;"",IF(AND(K324,D304=I304),"ACERTOU",IF(OR(C304=K304,D304=L304,C304=L304,D304=K304),"PARCIALMENTE","ERROU")),"")</f>
        <v/>
      </c>
      <c r="N304" s="22">
        <f>IFERROR(INDEX([1]respota_rag_adaptativo!$A$2:$A$853, MATCH(_xlfn.CONCAT("*#",[1]analise_resposta!A304,"*"), [1]respota_rag_adaptativo!$C$2:$C$85, 0)), "")</f>
        <v/>
      </c>
      <c r="O304" s="22" t="n"/>
      <c r="P304" s="22">
        <f>IF(N304&lt;&gt;"", IF(AND(C304=N304, D304=O304), "ACERTOU", IF(OR(C304=N304, D304=O304, C304=O304, D304=N304), "PARCIALMENTE", IF(OR(N304="Não há recomendação", O304="Não há recomendação", N304="SEM RECOMENDAÇÃO", O304="SEM RECOMENDAÇÃO"), "NÃO RECOMENDOU", "ERROU"))), "")</f>
        <v/>
      </c>
      <c r="Q304" s="23">
        <f>IFERROR(INDEX([1]resposta_plan_exec!$A$2:$A$121, MATCH(_xlfn.CONCAT("*",[1]analise_resposta!A304,"*"), [1]resposta_plan_exec!$C$2:$C$121, 0)), "")</f>
        <v/>
      </c>
      <c r="R304" s="23">
        <f>IF([1]analise_resposta!A304="", "",
    _xlfn.LET(_xlpm.resultado, IFERROR(INDEX([1]resposta_plan_exec!$B$2:$B$121,
                           MATCH(_xlfn.CONCAT("*", [1]analise_resposta!A304, "*"),
                                   [1]resposta_plan_exec!$C$2:$C$121, 0)), ""),
        IF(_xlpm.resultado="", "", _xlpm.resultado)))</f>
        <v/>
      </c>
      <c r="S304" s="23" t="n"/>
    </row>
    <row r="305">
      <c r="A305" t="n">
        <v>2713</v>
      </c>
      <c r="B305" s="3" t="inlineStr">
        <is>
          <t>Assistência Urgente Necessária para Problema de Implementação de Software</t>
        </is>
      </c>
      <c r="C305" s="3" t="inlineStr">
        <is>
          <t>Gerenciamento de Incidentes</t>
        </is>
      </c>
      <c r="D305" s="3" t="inlineStr">
        <is>
          <t>Gerenciamento de Mudanças</t>
        </is>
      </c>
      <c r="F305" s="5">
        <f>IFERROR(INDEX([1]resposta_chat_stream!$B$2:$B$34, MATCH(_xlfn.CONCAT("*#",[1]analise_resposta!A305,"*"), [1]resposta_chat_stream!$C$2:$C$34, 0)), "")</f>
        <v/>
      </c>
      <c r="G305" s="6">
        <f>IF(E305&lt;&gt;"", IF(AND(C305=E305, D305=F305), "ACERTOU", IF(OR(C305=E305, D305=F305, C305=F305, D305=E305), "PARCIALMENTE", IF(OR(E305="Não há recomendação", F305="Não há recomendação", E305="SEM RECOMENDAÇÃO", F305="SEM RECOMENDAÇÃO"), "NÃO RECOMENDOU", "ERROU"))), "")</f>
        <v/>
      </c>
      <c r="H305" s="20">
        <f>IFERROR(INDEX([1]reposta_chat!$A$2:$A$121, MATCH(_xlfn.CONCAT("*#",[1]analise_resposta!A305,"*"), [1]reposta_chat!$C$2:$C$121, 0)), "")</f>
        <v/>
      </c>
      <c r="I305" s="20">
        <f>IFERROR(INDEX([1]reposta_chat!$B$2:$B$121, MATCH(_xlfn.CONCAT("*#",[1]analise_resposta!A305,"*"), [1]reposta_chat!$C$2:$C$121, 0)), "")</f>
        <v/>
      </c>
      <c r="J305" s="20">
        <f>IF(H305&lt;&gt;"", IF(AND(C305=H305, D305=I305), "ACERTOU", IF(OR(C305=H305, D305=I305, C305=I305, D305=H305), "PARCIALMENTE", IF(OR(H305="Não há recomendação", I305="Não há recomendação", H305="SEM RECOMENDAÇÃO", I305="SEM RECOMENDAÇÃO"), "NÃO RECOMENDOU", "ERROU"))), "")</f>
        <v/>
      </c>
      <c r="K305" s="21">
        <f>IFERROR(INDEX([1]resposta_rag!$A$2:$A$33, MATCH(_xlfn.CONCAT("*#",[1]analise_resposta!A305,"*"), [1]resposta_rag!$C$2:$C$33, 0)), "")</f>
        <v/>
      </c>
      <c r="L305" s="21" t="n"/>
      <c r="M305" s="21">
        <f>IF(K305&lt;&gt;"",IF(AND(K325,D305=I305),"ACERTOU",IF(OR(C305=K305,D305=L305,C305=L305,D305=K305),"PARCIALMENTE","ERROU")),"")</f>
        <v/>
      </c>
      <c r="N305" s="22">
        <f>IFERROR(INDEX([1]respota_rag_adaptativo!$A$2:$A$853, MATCH(_xlfn.CONCAT("*#",[1]analise_resposta!A305,"*"), [1]respota_rag_adaptativo!$C$2:$C$85, 0)), "")</f>
        <v/>
      </c>
      <c r="O305" s="22" t="n"/>
      <c r="P305" s="22">
        <f>IF(N305&lt;&gt;"", IF(AND(C305=N305, D305=O305), "ACERTOU", IF(OR(C305=N305, D305=O305, C305=O305, D305=N305), "PARCIALMENTE", IF(OR(N305="Não há recomendação", O305="Não há recomendação", N305="SEM RECOMENDAÇÃO", O305="SEM RECOMENDAÇÃO"), "NÃO RECOMENDOU", "ERROU"))), "")</f>
        <v/>
      </c>
      <c r="Q305" s="23">
        <f>IFERROR(INDEX([1]resposta_plan_exec!$A$2:$A$121, MATCH(_xlfn.CONCAT("*",[1]analise_resposta!A305,"*"), [1]resposta_plan_exec!$C$2:$C$121, 0)), "")</f>
        <v/>
      </c>
      <c r="R305" s="23">
        <f>IF([1]analise_resposta!A305="", "",
    _xlfn.LET(_xlpm.resultado, IFERROR(INDEX([1]resposta_plan_exec!$B$2:$B$121,
                           MATCH(_xlfn.CONCAT("*", [1]analise_resposta!A305, "*"),
                                   [1]resposta_plan_exec!$C$2:$C$121, 0)), ""),
        IF(_xlpm.resultado="", "", _xlpm.resultado)))</f>
        <v/>
      </c>
      <c r="S305" s="23" t="n"/>
    </row>
    <row r="306">
      <c r="A306" t="n">
        <v>2736</v>
      </c>
      <c r="B306" s="3" t="inlineStr">
        <is>
          <t>Flickering Intermitente da Tela no Dell XPS 13</t>
        </is>
      </c>
      <c r="C306" s="3" t="inlineStr">
        <is>
          <t>Gerenciamento de Incidentes</t>
        </is>
      </c>
      <c r="D306" s="3" t="inlineStr">
        <is>
          <t>Gerenciamento de Problemas</t>
        </is>
      </c>
      <c r="F306" s="5">
        <f>IFERROR(INDEX([1]resposta_chat_stream!$B$2:$B$34, MATCH(_xlfn.CONCAT("*#",[1]analise_resposta!A306,"*"), [1]resposta_chat_stream!$C$2:$C$34, 0)), "")</f>
        <v/>
      </c>
      <c r="G306" s="6">
        <f>IF(E306&lt;&gt;"", IF(AND(C306=E306, D306=F306), "ACERTOU", IF(OR(C306=E306, D306=F306, C306=F306, D306=E306), "PARCIALMENTE", IF(OR(E306="Não há recomendação", F306="Não há recomendação", E306="SEM RECOMENDAÇÃO", F306="SEM RECOMENDAÇÃO"), "NÃO RECOMENDOU", "ERROU"))), "")</f>
        <v/>
      </c>
      <c r="H306" s="20">
        <f>IFERROR(INDEX([1]reposta_chat!$A$2:$A$121, MATCH(_xlfn.CONCAT("*#",[1]analise_resposta!A306,"*"), [1]reposta_chat!$C$2:$C$121, 0)), "")</f>
        <v/>
      </c>
      <c r="I306" s="20">
        <f>IFERROR(INDEX([1]reposta_chat!$B$2:$B$121, MATCH(_xlfn.CONCAT("*#",[1]analise_resposta!A306,"*"), [1]reposta_chat!$C$2:$C$121, 0)), "")</f>
        <v/>
      </c>
      <c r="J306" s="20">
        <f>IF(H306&lt;&gt;"", IF(AND(C306=H306, D306=I306), "ACERTOU", IF(OR(C306=H306, D306=I306, C306=I306, D306=H306), "PARCIALMENTE", IF(OR(H306="Não há recomendação", I306="Não há recomendação", H306="SEM RECOMENDAÇÃO", I306="SEM RECOMENDAÇÃO"), "NÃO RECOMENDOU", "ERROU"))), "")</f>
        <v/>
      </c>
      <c r="K306" s="21">
        <f>IFERROR(INDEX([1]resposta_rag!$A$2:$A$33, MATCH(_xlfn.CONCAT("*#",[1]analise_resposta!A306,"*"), [1]resposta_rag!$C$2:$C$33, 0)), "")</f>
        <v/>
      </c>
      <c r="L306" s="21" t="n"/>
      <c r="M306" s="21">
        <f>IF(K306&lt;&gt;"",IF(AND(K326,D306=I306),"ACERTOU",IF(OR(C306=K306,D306=L306,C306=L306,D306=K306),"PARCIALMENTE","ERROU")),"")</f>
        <v/>
      </c>
      <c r="N306" s="22">
        <f>IFERROR(INDEX([1]respota_rag_adaptativo!$A$2:$A$853, MATCH(_xlfn.CONCAT("*#",[1]analise_resposta!A306,"*"), [1]respota_rag_adaptativo!$C$2:$C$85, 0)), "")</f>
        <v/>
      </c>
      <c r="O306" s="22" t="n"/>
      <c r="P306" s="22">
        <f>IF(N306&lt;&gt;"", IF(AND(C306=N306, D306=O306), "ACERTOU", IF(OR(C306=N306, D306=O306, C306=O306, D306=N306), "PARCIALMENTE", IF(OR(N306="Não há recomendação", O306="Não há recomendação", N306="SEM RECOMENDAÇÃO", O306="SEM RECOMENDAÇÃO"), "NÃO RECOMENDOU", "ERROU"))), "")</f>
        <v/>
      </c>
      <c r="Q306" s="23">
        <f>IFERROR(INDEX([1]resposta_plan_exec!$A$2:$A$121, MATCH(_xlfn.CONCAT("*",[1]analise_resposta!A306,"*"), [1]resposta_plan_exec!$C$2:$C$121, 0)), "")</f>
        <v/>
      </c>
      <c r="R306" s="23">
        <f>IF([1]analise_resposta!A306="", "",
    _xlfn.LET(_xlpm.resultado, IFERROR(INDEX([1]resposta_plan_exec!$B$2:$B$121,
                           MATCH(_xlfn.CONCAT("*", [1]analise_resposta!A306, "*"),
                                   [1]resposta_plan_exec!$C$2:$C$121, 0)), ""),
        IF(_xlpm.resultado="", "", _xlpm.resultado)))</f>
        <v/>
      </c>
      <c r="S306" s="23" t="n"/>
    </row>
    <row r="307">
      <c r="A307" t="n">
        <v>2748</v>
      </c>
      <c r="B307" s="3" t="inlineStr">
        <is>
          <t>Problema Urgente com o Deployment da AWS</t>
        </is>
      </c>
      <c r="C307" s="3" t="inlineStr">
        <is>
          <t>Gerenciamento de Incidentes</t>
        </is>
      </c>
      <c r="D307" s="3" t="inlineStr">
        <is>
          <t>Gerenciamento de Mudanças</t>
        </is>
      </c>
      <c r="F307" s="5">
        <f>IFERROR(INDEX([1]resposta_chat_stream!$B$2:$B$34, MATCH(_xlfn.CONCAT("*#",[1]analise_resposta!A307,"*"), [1]resposta_chat_stream!$C$2:$C$34, 0)), "")</f>
        <v/>
      </c>
      <c r="G307" s="6">
        <f>IF(E307&lt;&gt;"", IF(AND(C307=E307, D307=F307), "ACERTOU", IF(OR(C307=E307, D307=F307, C307=F307, D307=E307), "PARCIALMENTE", IF(OR(E307="Não há recomendação", F307="Não há recomendação", E307="SEM RECOMENDAÇÃO", F307="SEM RECOMENDAÇÃO"), "NÃO RECOMENDOU", "ERROU"))), "")</f>
        <v/>
      </c>
      <c r="H307" s="20">
        <f>IFERROR(INDEX([1]reposta_chat!$A$2:$A$121, MATCH(_xlfn.CONCAT("*#",[1]analise_resposta!A307,"*"), [1]reposta_chat!$C$2:$C$121, 0)), "")</f>
        <v/>
      </c>
      <c r="I307" s="20">
        <f>IFERROR(INDEX([1]reposta_chat!$B$2:$B$121, MATCH(_xlfn.CONCAT("*#",[1]analise_resposta!A307,"*"), [1]reposta_chat!$C$2:$C$121, 0)), "")</f>
        <v/>
      </c>
      <c r="J307" s="20">
        <f>IF(H307&lt;&gt;"", IF(AND(C307=H307, D307=I307), "ACERTOU", IF(OR(C307=H307, D307=I307, C307=I307, D307=H307), "PARCIALMENTE", IF(OR(H307="Não há recomendação", I307="Não há recomendação", H307="SEM RECOMENDAÇÃO", I307="SEM RECOMENDAÇÃO"), "NÃO RECOMENDOU", "ERROU"))), "")</f>
        <v/>
      </c>
      <c r="K307" s="21">
        <f>IFERROR(INDEX([1]resposta_rag!$A$2:$A$33, MATCH(_xlfn.CONCAT("*#",[1]analise_resposta!A307,"*"), [1]resposta_rag!$C$2:$C$33, 0)), "")</f>
        <v/>
      </c>
      <c r="L307" s="21" t="n"/>
      <c r="M307" s="21">
        <f>IF(K307&lt;&gt;"",IF(AND(K327,D307=I307),"ACERTOU",IF(OR(C307=K307,D307=L307,C307=L307,D307=K307),"PARCIALMENTE","ERROU")),"")</f>
        <v/>
      </c>
      <c r="N307" s="22">
        <f>IFERROR(INDEX([1]respota_rag_adaptativo!$A$2:$A$853, MATCH(_xlfn.CONCAT("*#",[1]analise_resposta!A307,"*"), [1]respota_rag_adaptativo!$C$2:$C$85, 0)), "")</f>
        <v/>
      </c>
      <c r="O307" s="22" t="n"/>
      <c r="P307" s="22">
        <f>IF(N307&lt;&gt;"", IF(AND(C307=N307, D307=O307), "ACERTOU", IF(OR(C307=N307, D307=O307, C307=O307, D307=N307), "PARCIALMENTE", IF(OR(N307="Não há recomendação", O307="Não há recomendação", N307="SEM RECOMENDAÇÃO", O307="SEM RECOMENDAÇÃO"), "NÃO RECOMENDOU", "ERROU"))), "")</f>
        <v/>
      </c>
      <c r="Q307" s="23">
        <f>IFERROR(INDEX([1]resposta_plan_exec!$A$2:$A$121, MATCH(_xlfn.CONCAT("*",[1]analise_resposta!A307,"*"), [1]resposta_plan_exec!$C$2:$C$121, 0)), "")</f>
        <v/>
      </c>
      <c r="R307" s="23">
        <f>IF([1]analise_resposta!A307="", "",
    _xlfn.LET(_xlpm.resultado, IFERROR(INDEX([1]resposta_plan_exec!$B$2:$B$121,
                           MATCH(_xlfn.CONCAT("*", [1]analise_resposta!A307, "*"),
                                   [1]resposta_plan_exec!$C$2:$C$121, 0)), ""),
        IF(_xlpm.resultado="", "", _xlpm.resultado)))</f>
        <v/>
      </c>
      <c r="S307" s="23" t="n"/>
    </row>
    <row r="308">
      <c r="A308" t="n">
        <v>2764</v>
      </c>
      <c r="B308" s="3" t="inlineStr">
        <is>
          <t>Urgente: Assistência Imediata Necessária para Problema de Administração de Servidor</t>
        </is>
      </c>
      <c r="C308" s="3" t="inlineStr">
        <is>
          <t>Gerenciamento de Incidentes</t>
        </is>
      </c>
      <c r="D308" s="3" t="inlineStr">
        <is>
          <t>Gerenciamento de Disponibilidade</t>
        </is>
      </c>
      <c r="F308" s="5">
        <f>IFERROR(INDEX([1]resposta_chat_stream!$B$2:$B$34, MATCH(_xlfn.CONCAT("*#",[1]analise_resposta!A308,"*"), [1]resposta_chat_stream!$C$2:$C$34, 0)), "")</f>
        <v/>
      </c>
      <c r="G308" s="6">
        <f>IF(E308&lt;&gt;"", IF(AND(C308=E308, D308=F308), "ACERTOU", IF(OR(C308=E308, D308=F308, C308=F308, D308=E308), "PARCIALMENTE", IF(OR(E308="Não há recomendação", F308="Não há recomendação", E308="SEM RECOMENDAÇÃO", F308="SEM RECOMENDAÇÃO"), "NÃO RECOMENDOU", "ERROU"))), "")</f>
        <v/>
      </c>
      <c r="H308" s="20">
        <f>IFERROR(INDEX([1]reposta_chat!$A$2:$A$121, MATCH(_xlfn.CONCAT("*#",[1]analise_resposta!A308,"*"), [1]reposta_chat!$C$2:$C$121, 0)), "")</f>
        <v/>
      </c>
      <c r="I308" s="20">
        <f>IFERROR(INDEX([1]reposta_chat!$B$2:$B$121, MATCH(_xlfn.CONCAT("*#",[1]analise_resposta!A308,"*"), [1]reposta_chat!$C$2:$C$121, 0)), "")</f>
        <v/>
      </c>
      <c r="J308" s="20">
        <f>IF(H308&lt;&gt;"", IF(AND(C308=H308, D308=I308), "ACERTOU", IF(OR(C308=H308, D308=I308, C308=I308, D308=H308), "PARCIALMENTE", IF(OR(H308="Não há recomendação", I308="Não há recomendação", H308="SEM RECOMENDAÇÃO", I308="SEM RECOMENDAÇÃO"), "NÃO RECOMENDOU", "ERROU"))), "")</f>
        <v/>
      </c>
      <c r="K308" s="21">
        <f>IFERROR(INDEX([1]resposta_rag!$A$2:$A$33, MATCH(_xlfn.CONCAT("*#",[1]analise_resposta!A308,"*"), [1]resposta_rag!$C$2:$C$33, 0)), "")</f>
        <v/>
      </c>
      <c r="L308" s="21" t="n"/>
      <c r="M308" s="21">
        <f>IF(K308&lt;&gt;"",IF(AND(K328,D308=I308),"ACERTOU",IF(OR(C308=K308,D308=L308,C308=L308,D308=K308),"PARCIALMENTE","ERROU")),"")</f>
        <v/>
      </c>
      <c r="N308" s="22">
        <f>IFERROR(INDEX([1]respota_rag_adaptativo!$A$2:$A$853, MATCH(_xlfn.CONCAT("*#",[1]analise_resposta!A308,"*"), [1]respota_rag_adaptativo!$C$2:$C$85, 0)), "")</f>
        <v/>
      </c>
      <c r="O308" s="22" t="n"/>
      <c r="P308" s="22">
        <f>IF(N308&lt;&gt;"", IF(AND(C308=N308, D308=O308), "ACERTOU", IF(OR(C308=N308, D308=O308, C308=O308, D308=N308), "PARCIALMENTE", IF(OR(N308="Não há recomendação", O308="Não há recomendação", N308="SEM RECOMENDAÇÃO", O308="SEM RECOMENDAÇÃO"), "NÃO RECOMENDOU", "ERROU"))), "")</f>
        <v/>
      </c>
      <c r="Q308" s="23">
        <f>IFERROR(INDEX([1]resposta_plan_exec!$A$2:$A$121, MATCH(_xlfn.CONCAT("*",[1]analise_resposta!A308,"*"), [1]resposta_plan_exec!$C$2:$C$121, 0)), "")</f>
        <v/>
      </c>
      <c r="R308" s="23">
        <f>IF([1]analise_resposta!A308="", "",
    _xlfn.LET(_xlpm.resultado, IFERROR(INDEX([1]resposta_plan_exec!$B$2:$B$121,
                           MATCH(_xlfn.CONCAT("*", [1]analise_resposta!A308, "*"),
                                   [1]resposta_plan_exec!$C$2:$C$121, 0)), ""),
        IF(_xlpm.resultado="", "", _xlpm.resultado)))</f>
        <v/>
      </c>
      <c r="S308" s="23" t="n"/>
    </row>
    <row r="309">
      <c r="A309" t="n">
        <v>2778</v>
      </c>
      <c r="B309" s="3" t="inlineStr">
        <is>
          <t>Problema com a Criação de Tarefas</t>
        </is>
      </c>
      <c r="C309" s="3" t="inlineStr">
        <is>
          <t>Gerenciamento de Incidentes</t>
        </is>
      </c>
      <c r="D309" s="3" t="inlineStr">
        <is>
          <t>Gerenciamento de Problemas</t>
        </is>
      </c>
      <c r="F309" s="5">
        <f>IFERROR(INDEX([1]resposta_chat_stream!$B$2:$B$34, MATCH(_xlfn.CONCAT("*#",[1]analise_resposta!A309,"*"), [1]resposta_chat_stream!$C$2:$C$34, 0)), "")</f>
        <v/>
      </c>
      <c r="G309" s="6">
        <f>IF(E309&lt;&gt;"", IF(AND(C309=E309, D309=F309), "ACERTOU", IF(OR(C309=E309, D309=F309, C309=F309, D309=E309), "PARCIALMENTE", IF(OR(E309="Não há recomendação", F309="Não há recomendação", E309="SEM RECOMENDAÇÃO", F309="SEM RECOMENDAÇÃO"), "NÃO RECOMENDOU", "ERROU"))), "")</f>
        <v/>
      </c>
      <c r="H309" s="20">
        <f>IFERROR(INDEX([1]reposta_chat!$A$2:$A$121, MATCH(_xlfn.CONCAT("*#",[1]analise_resposta!A309,"*"), [1]reposta_chat!$C$2:$C$121, 0)), "")</f>
        <v/>
      </c>
      <c r="I309" s="20">
        <f>IFERROR(INDEX([1]reposta_chat!$B$2:$B$121, MATCH(_xlfn.CONCAT("*#",[1]analise_resposta!A309,"*"), [1]reposta_chat!$C$2:$C$121, 0)), "")</f>
        <v/>
      </c>
      <c r="J309" s="20">
        <f>IF(H309&lt;&gt;"", IF(AND(C309=H309, D309=I309), "ACERTOU", IF(OR(C309=H309, D309=I309, C309=I309, D309=H309), "PARCIALMENTE", IF(OR(H309="Não há recomendação", I309="Não há recomendação", H309="SEM RECOMENDAÇÃO", I309="SEM RECOMENDAÇÃO"), "NÃO RECOMENDOU", "ERROU"))), "")</f>
        <v/>
      </c>
      <c r="K309" s="21">
        <f>IFERROR(INDEX([1]resposta_rag!$A$2:$A$33, MATCH(_xlfn.CONCAT("*#",[1]analise_resposta!A309,"*"), [1]resposta_rag!$C$2:$C$33, 0)), "")</f>
        <v/>
      </c>
      <c r="L309" s="21" t="n"/>
      <c r="M309" s="21">
        <f>IF(K309&lt;&gt;"",IF(AND(K329,D309=I309),"ACERTOU",IF(OR(C309=K309,D309=L309,C309=L309,D309=K309),"PARCIALMENTE","ERROU")),"")</f>
        <v/>
      </c>
      <c r="N309" s="22">
        <f>IFERROR(INDEX([1]respota_rag_adaptativo!$A$2:$A$853, MATCH(_xlfn.CONCAT("*#",[1]analise_resposta!A309,"*"), [1]respota_rag_adaptativo!$C$2:$C$85, 0)), "")</f>
        <v/>
      </c>
      <c r="O309" s="22" t="n"/>
      <c r="P309" s="22">
        <f>IF(N309&lt;&gt;"", IF(AND(C309=N309, D309=O309), "ACERTOU", IF(OR(C309=N309, D309=O309, C309=O309, D309=N309), "PARCIALMENTE", IF(OR(N309="Não há recomendação", O309="Não há recomendação", N309="SEM RECOMENDAÇÃO", O309="SEM RECOMENDAÇÃO"), "NÃO RECOMENDOU", "ERROU"))), "")</f>
        <v/>
      </c>
      <c r="Q309" s="23">
        <f>IFERROR(INDEX([1]resposta_plan_exec!$A$2:$A$121, MATCH(_xlfn.CONCAT("*",[1]analise_resposta!A309,"*"), [1]resposta_plan_exec!$C$2:$C$121, 0)), "")</f>
        <v/>
      </c>
      <c r="R309" s="23">
        <f>IF([1]analise_resposta!A309="", "",
    _xlfn.LET(_xlpm.resultado, IFERROR(INDEX([1]resposta_plan_exec!$B$2:$B$121,
                           MATCH(_xlfn.CONCAT("*", [1]analise_resposta!A309, "*"),
                                   [1]resposta_plan_exec!$C$2:$C$121, 0)), ""),
        IF(_xlpm.resultado="", "", _xlpm.resultado)))</f>
        <v/>
      </c>
      <c r="S309" s="23" t="n"/>
    </row>
    <row r="310">
      <c r="A310" t="n">
        <v>2784</v>
      </c>
      <c r="B310" s="3" t="inlineStr">
        <is>
          <t>Problema de Instalação Reportado</t>
        </is>
      </c>
      <c r="C310" s="3" t="inlineStr">
        <is>
          <t>Gerenciamento de Incidentes</t>
        </is>
      </c>
      <c r="D310" s="3" t="inlineStr">
        <is>
          <t>Gerenciamento de Problemas</t>
        </is>
      </c>
      <c r="F310" s="5">
        <f>IFERROR(INDEX([1]resposta_chat_stream!$B$2:$B$34, MATCH(_xlfn.CONCAT("*#",[1]analise_resposta!A310,"*"), [1]resposta_chat_stream!$C$2:$C$34, 0)), "")</f>
        <v/>
      </c>
      <c r="G310" s="6">
        <f>IF(E310&lt;&gt;"", IF(AND(C310=E310, D310=F310), "ACERTOU", IF(OR(C310=E310, D310=F310, C310=F310, D310=E310), "PARCIALMENTE", IF(OR(E310="Não há recomendação", F310="Não há recomendação", E310="SEM RECOMENDAÇÃO", F310="SEM RECOMENDAÇÃO"), "NÃO RECOMENDOU", "ERROU"))), "")</f>
        <v/>
      </c>
      <c r="H310" s="20">
        <f>IFERROR(INDEX([1]reposta_chat!$A$2:$A$121, MATCH(_xlfn.CONCAT("*#",[1]analise_resposta!A310,"*"), [1]reposta_chat!$C$2:$C$121, 0)), "")</f>
        <v/>
      </c>
      <c r="I310" s="20">
        <f>IFERROR(INDEX([1]reposta_chat!$B$2:$B$121, MATCH(_xlfn.CONCAT("*#",[1]analise_resposta!A310,"*"), [1]reposta_chat!$C$2:$C$121, 0)), "")</f>
        <v/>
      </c>
      <c r="J310" s="20">
        <f>IF(H310&lt;&gt;"", IF(AND(C310=H310, D310=I310), "ACERTOU", IF(OR(C310=H310, D310=I310, C310=I310, D310=H310), "PARCIALMENTE", IF(OR(H310="Não há recomendação", I310="Não há recomendação", H310="SEM RECOMENDAÇÃO", I310="SEM RECOMENDAÇÃO"), "NÃO RECOMENDOU", "ERROU"))), "")</f>
        <v/>
      </c>
      <c r="K310" s="21">
        <f>IFERROR(INDEX([1]resposta_rag!$A$2:$A$33, MATCH(_xlfn.CONCAT("*#",[1]analise_resposta!A310,"*"), [1]resposta_rag!$C$2:$C$33, 0)), "")</f>
        <v/>
      </c>
      <c r="L310" s="21" t="n"/>
      <c r="M310" s="21">
        <f>IF(K310&lt;&gt;"",IF(AND(K330,D310=I310),"ACERTOU",IF(OR(C310=K310,D310=L310,C310=L310,D310=K310),"PARCIALMENTE","ERROU")),"")</f>
        <v/>
      </c>
      <c r="N310" s="22">
        <f>IFERROR(INDEX([1]respota_rag_adaptativo!$A$2:$A$853, MATCH(_xlfn.CONCAT("*#",[1]analise_resposta!A310,"*"), [1]respota_rag_adaptativo!$C$2:$C$85, 0)), "")</f>
        <v/>
      </c>
      <c r="O310" s="22" t="n"/>
      <c r="P310" s="22">
        <f>IF(N310&lt;&gt;"", IF(AND(C310=N310, D310=O310), "ACERTOU", IF(OR(C310=N310, D310=O310, C310=O310, D310=N310), "PARCIALMENTE", IF(OR(N310="Não há recomendação", O310="Não há recomendação", N310="SEM RECOMENDAÇÃO", O310="SEM RECOMENDAÇÃO"), "NÃO RECOMENDOU", "ERROU"))), "")</f>
        <v/>
      </c>
      <c r="Q310" s="23">
        <f>IFERROR(INDEX([1]resposta_plan_exec!$A$2:$A$121, MATCH(_xlfn.CONCAT("*",[1]analise_resposta!A310,"*"), [1]resposta_plan_exec!$C$2:$C$121, 0)), "")</f>
        <v/>
      </c>
      <c r="R310" s="23">
        <f>IF([1]analise_resposta!A310="", "",
    _xlfn.LET(_xlpm.resultado, IFERROR(INDEX([1]resposta_plan_exec!$B$2:$B$121,
                           MATCH(_xlfn.CONCAT("*", [1]analise_resposta!A310, "*"),
                                   [1]resposta_plan_exec!$C$2:$C$121, 0)), ""),
        IF(_xlpm.resultado="", "", _xlpm.resultado)))</f>
        <v/>
      </c>
      <c r="S310" s="23" t="n"/>
    </row>
    <row r="311">
      <c r="A311" t="n">
        <v>2786</v>
      </c>
      <c r="B311" s="3" t="inlineStr">
        <is>
          <t>Assistência Necessária para Depuração do VS Code</t>
        </is>
      </c>
      <c r="C311" s="3" t="inlineStr">
        <is>
          <t>Gerenciamento de Incidentes</t>
        </is>
      </c>
      <c r="D311" s="3" t="inlineStr">
        <is>
          <t>Gerenciamento de Problemas</t>
        </is>
      </c>
      <c r="F311" s="5">
        <f>IFERROR(INDEX([1]resposta_chat_stream!$B$2:$B$34, MATCH(_xlfn.CONCAT("*#",[1]analise_resposta!A311,"*"), [1]resposta_chat_stream!$C$2:$C$34, 0)), "")</f>
        <v/>
      </c>
      <c r="G311" s="6">
        <f>IF(E311&lt;&gt;"", IF(AND(C311=E311, D311=F311), "ACERTOU", IF(OR(C311=E311, D311=F311, C311=F311, D311=E311), "PARCIALMENTE", IF(OR(E311="Não há recomendação", F311="Não há recomendação", E311="SEM RECOMENDAÇÃO", F311="SEM RECOMENDAÇÃO"), "NÃO RECOMENDOU", "ERROU"))), "")</f>
        <v/>
      </c>
      <c r="H311" s="20">
        <f>IFERROR(INDEX([1]reposta_chat!$A$2:$A$121, MATCH(_xlfn.CONCAT("*#",[1]analise_resposta!A311,"*"), [1]reposta_chat!$C$2:$C$121, 0)), "")</f>
        <v/>
      </c>
      <c r="I311" s="20">
        <f>IFERROR(INDEX([1]reposta_chat!$B$2:$B$121, MATCH(_xlfn.CONCAT("*#",[1]analise_resposta!A311,"*"), [1]reposta_chat!$C$2:$C$121, 0)), "")</f>
        <v/>
      </c>
      <c r="J311" s="20">
        <f>IF(H311&lt;&gt;"", IF(AND(C311=H311, D311=I311), "ACERTOU", IF(OR(C311=H311, D311=I311, C311=I311, D311=H311), "PARCIALMENTE", IF(OR(H311="Não há recomendação", I311="Não há recomendação", H311="SEM RECOMENDAÇÃO", I311="SEM RECOMENDAÇÃO"), "NÃO RECOMENDOU", "ERROU"))), "")</f>
        <v/>
      </c>
      <c r="K311" s="21">
        <f>IFERROR(INDEX([1]resposta_rag!$A$2:$A$33, MATCH(_xlfn.CONCAT("*#",[1]analise_resposta!A311,"*"), [1]resposta_rag!$C$2:$C$33, 0)), "")</f>
        <v/>
      </c>
      <c r="L311" s="21" t="n"/>
      <c r="M311" s="21">
        <f>IF(K311&lt;&gt;"",IF(AND(K331,D311=I311),"ACERTOU",IF(OR(C311=K311,D311=L311,C311=L311,D311=K311),"PARCIALMENTE","ERROU")),"")</f>
        <v/>
      </c>
      <c r="N311" s="22">
        <f>IFERROR(INDEX([1]respota_rag_adaptativo!$A$2:$A$853, MATCH(_xlfn.CONCAT("*#",[1]analise_resposta!A311,"*"), [1]respota_rag_adaptativo!$C$2:$C$85, 0)), "")</f>
        <v/>
      </c>
      <c r="O311" s="22" t="n"/>
      <c r="P311" s="22">
        <f>IF(N311&lt;&gt;"", IF(AND(C311=N311, D311=O311), "ACERTOU", IF(OR(C311=N311, D311=O311, C311=O311, D311=N311), "PARCIALMENTE", IF(OR(N311="Não há recomendação", O311="Não há recomendação", N311="SEM RECOMENDAÇÃO", O311="SEM RECOMENDAÇÃO"), "NÃO RECOMENDOU", "ERROU"))), "")</f>
        <v/>
      </c>
      <c r="Q311" s="23">
        <f>IFERROR(INDEX([1]resposta_plan_exec!$A$2:$A$121, MATCH(_xlfn.CONCAT("*",[1]analise_resposta!A311,"*"), [1]resposta_plan_exec!$C$2:$C$121, 0)), "")</f>
        <v/>
      </c>
      <c r="R311" s="23">
        <f>IF([1]analise_resposta!A311="", "",
    _xlfn.LET(_xlpm.resultado, IFERROR(INDEX([1]resposta_plan_exec!$B$2:$B$121,
                           MATCH(_xlfn.CONCAT("*", [1]analise_resposta!A311, "*"),
                                   [1]resposta_plan_exec!$C$2:$C$121, 0)), ""),
        IF(_xlpm.resultado="", "", _xlpm.resultado)))</f>
        <v/>
      </c>
      <c r="S311" s="23" t="n"/>
    </row>
    <row r="312">
      <c r="A312" t="n">
        <v>2788</v>
      </c>
      <c r="B312" s="3" t="inlineStr">
        <is>
          <t>Assistência Necessária para Implementação na AWS</t>
        </is>
      </c>
      <c r="C312" s="3" t="inlineStr">
        <is>
          <t>Solicitação de Serviço</t>
        </is>
      </c>
      <c r="D312" s="3" t="inlineStr">
        <is>
          <t>Gerenciamento de Segurança</t>
        </is>
      </c>
      <c r="F312" s="5">
        <f>IFERROR(INDEX([1]resposta_chat_stream!$B$2:$B$34, MATCH(_xlfn.CONCAT("*#",[1]analise_resposta!A312,"*"), [1]resposta_chat_stream!$C$2:$C$34, 0)), "")</f>
        <v/>
      </c>
      <c r="G312" s="6">
        <f>IF(E312&lt;&gt;"", IF(AND(C312=E312, D312=F312), "ACERTOU", IF(OR(C312=E312, D312=F312, C312=F312, D312=E312), "PARCIALMENTE", IF(OR(E312="Não há recomendação", F312="Não há recomendação", E312="SEM RECOMENDAÇÃO", F312="SEM RECOMENDAÇÃO"), "NÃO RECOMENDOU", "ERROU"))), "")</f>
        <v/>
      </c>
      <c r="H312" s="20">
        <f>IFERROR(INDEX([1]reposta_chat!$A$2:$A$121, MATCH(_xlfn.CONCAT("*#",[1]analise_resposta!A312,"*"), [1]reposta_chat!$C$2:$C$121, 0)), "")</f>
        <v/>
      </c>
      <c r="I312" s="20">
        <f>IFERROR(INDEX([1]reposta_chat!$B$2:$B$121, MATCH(_xlfn.CONCAT("*#",[1]analise_resposta!A312,"*"), [1]reposta_chat!$C$2:$C$121, 0)), "")</f>
        <v/>
      </c>
      <c r="J312" s="20">
        <f>IF(H312&lt;&gt;"", IF(AND(C312=H312, D312=I312), "ACERTOU", IF(OR(C312=H312, D312=I312, C312=I312, D312=H312), "PARCIALMENTE", IF(OR(H312="Não há recomendação", I312="Não há recomendação", H312="SEM RECOMENDAÇÃO", I312="SEM RECOMENDAÇÃO"), "NÃO RECOMENDOU", "ERROU"))), "")</f>
        <v/>
      </c>
      <c r="K312" s="21">
        <f>IFERROR(INDEX([1]resposta_rag!$A$2:$A$33, MATCH(_xlfn.CONCAT("*#",[1]analise_resposta!A312,"*"), [1]resposta_rag!$C$2:$C$33, 0)), "")</f>
        <v/>
      </c>
      <c r="L312" s="21" t="n"/>
      <c r="M312" s="21">
        <f>IF(K312&lt;&gt;"",IF(AND(K332,D312=I312),"ACERTOU",IF(OR(C312=K312,D312=L312,C312=L312,D312=K312),"PARCIALMENTE","ERROU")),"")</f>
        <v/>
      </c>
      <c r="N312" s="22">
        <f>IFERROR(INDEX([1]respota_rag_adaptativo!$A$2:$A$853, MATCH(_xlfn.CONCAT("*#",[1]analise_resposta!A312,"*"), [1]respota_rag_adaptativo!$C$2:$C$85, 0)), "")</f>
        <v/>
      </c>
      <c r="O312" s="22" t="n"/>
      <c r="P312" s="22">
        <f>IF(N312&lt;&gt;"", IF(AND(C312=N312, D312=O312), "ACERTOU", IF(OR(C312=N312, D312=O312, C312=O312, D312=N312), "PARCIALMENTE", IF(OR(N312="Não há recomendação", O312="Não há recomendação", N312="SEM RECOMENDAÇÃO", O312="SEM RECOMENDAÇÃO"), "NÃO RECOMENDOU", "ERROU"))), "")</f>
        <v/>
      </c>
      <c r="Q312" s="23">
        <f>IFERROR(INDEX([1]resposta_plan_exec!$A$2:$A$121, MATCH(_xlfn.CONCAT("*",[1]analise_resposta!A312,"*"), [1]resposta_plan_exec!$C$2:$C$121, 0)), "")</f>
        <v/>
      </c>
      <c r="R312" s="23">
        <f>IF([1]analise_resposta!A312="", "",
    _xlfn.LET(_xlpm.resultado, IFERROR(INDEX([1]resposta_plan_exec!$B$2:$B$121,
                           MATCH(_xlfn.CONCAT("*", [1]analise_resposta!A312, "*"),
                                   [1]resposta_plan_exec!$C$2:$C$121, 0)), ""),
        IF(_xlpm.resultado="", "", _xlpm.resultado)))</f>
        <v/>
      </c>
      <c r="S312" s="23" t="n"/>
    </row>
    <row r="313">
      <c r="A313" t="n">
        <v>2794</v>
      </c>
      <c r="B313" s="3" t="inlineStr">
        <is>
          <t>Problema com o iPad Pro</t>
        </is>
      </c>
      <c r="C313" s="3" t="inlineStr">
        <is>
          <t>Gerenciamento de Incidentes</t>
        </is>
      </c>
      <c r="D313" s="3" t="inlineStr">
        <is>
          <t>Gerenciamento de Ativos de TI</t>
        </is>
      </c>
      <c r="F313" s="5">
        <f>IFERROR(INDEX([1]resposta_chat_stream!$B$2:$B$34, MATCH(_xlfn.CONCAT("*#",[1]analise_resposta!A313,"*"), [1]resposta_chat_stream!$C$2:$C$34, 0)), "")</f>
        <v/>
      </c>
      <c r="G313" s="6">
        <f>IF(E313&lt;&gt;"", IF(AND(C313=E313, D313=F313), "ACERTOU", IF(OR(C313=E313, D313=F313, C313=F313, D313=E313), "PARCIALMENTE", IF(OR(E313="Não há recomendação", F313="Não há recomendação", E313="SEM RECOMENDAÇÃO", F313="SEM RECOMENDAÇÃO"), "NÃO RECOMENDOU", "ERROU"))), "")</f>
        <v/>
      </c>
      <c r="H313" s="20">
        <f>IFERROR(INDEX([1]reposta_chat!$A$2:$A$121, MATCH(_xlfn.CONCAT("*#",[1]analise_resposta!A313,"*"), [1]reposta_chat!$C$2:$C$121, 0)), "")</f>
        <v/>
      </c>
      <c r="I313" s="20">
        <f>IFERROR(INDEX([1]reposta_chat!$B$2:$B$121, MATCH(_xlfn.CONCAT("*#",[1]analise_resposta!A313,"*"), [1]reposta_chat!$C$2:$C$121, 0)), "")</f>
        <v/>
      </c>
      <c r="J313" s="20">
        <f>IF(H313&lt;&gt;"", IF(AND(C313=H313, D313=I313), "ACERTOU", IF(OR(C313=H313, D313=I313, C313=I313, D313=H313), "PARCIALMENTE", IF(OR(H313="Não há recomendação", I313="Não há recomendação", H313="SEM RECOMENDAÇÃO", I313="SEM RECOMENDAÇÃO"), "NÃO RECOMENDOU", "ERROU"))), "")</f>
        <v/>
      </c>
      <c r="K313" s="21">
        <f>IFERROR(INDEX([1]resposta_rag!$A$2:$A$33, MATCH(_xlfn.CONCAT("*#",[1]analise_resposta!A313,"*"), [1]resposta_rag!$C$2:$C$33, 0)), "")</f>
        <v/>
      </c>
      <c r="L313" s="21" t="n"/>
      <c r="M313" s="21">
        <f>IF(K313&lt;&gt;"",IF(AND(K333,D313=I313),"ACERTOU",IF(OR(C313=K313,D313=L313,C313=L313,D313=K313),"PARCIALMENTE","ERROU")),"")</f>
        <v/>
      </c>
      <c r="N313" s="22">
        <f>IFERROR(INDEX([1]respota_rag_adaptativo!$A$2:$A$853, MATCH(_xlfn.CONCAT("*#",[1]analise_resposta!A313,"*"), [1]respota_rag_adaptativo!$C$2:$C$85, 0)), "")</f>
        <v/>
      </c>
      <c r="O313" s="22" t="n"/>
      <c r="P313" s="22">
        <f>IF(N313&lt;&gt;"", IF(AND(C313=N313, D313=O313), "ACERTOU", IF(OR(C313=N313, D313=O313, C313=O313, D313=N313), "PARCIALMENTE", IF(OR(N313="Não há recomendação", O313="Não há recomendação", N313="SEM RECOMENDAÇÃO", O313="SEM RECOMENDAÇÃO"), "NÃO RECOMENDOU", "ERROU"))), "")</f>
        <v/>
      </c>
      <c r="Q313" s="23">
        <f>IFERROR(INDEX([1]resposta_plan_exec!$A$2:$A$121, MATCH(_xlfn.CONCAT("*",[1]analise_resposta!A313,"*"), [1]resposta_plan_exec!$C$2:$C$121, 0)), "")</f>
        <v/>
      </c>
      <c r="R313" s="23">
        <f>IF([1]analise_resposta!A313="", "",
    _xlfn.LET(_xlpm.resultado, IFERROR(INDEX([1]resposta_plan_exec!$B$2:$B$121,
                           MATCH(_xlfn.CONCAT("*", [1]analise_resposta!A313, "*"),
                                   [1]resposta_plan_exec!$C$2:$C$121, 0)), ""),
        IF(_xlpm.resultado="", "", _xlpm.resultado)))</f>
        <v/>
      </c>
      <c r="S313" s="23" t="n"/>
    </row>
    <row r="314">
      <c r="A314" t="n">
        <v>2797</v>
      </c>
      <c r="B314" s="3" t="inlineStr">
        <is>
          <t>Urgente: Assistência Imediata Necessária para Problema no Roteador</t>
        </is>
      </c>
      <c r="C314" s="3" t="inlineStr">
        <is>
          <t>Gerenciamento de Incidentes</t>
        </is>
      </c>
      <c r="D314" s="3" t="inlineStr">
        <is>
          <t>Gerenciamento de Disponibilidade</t>
        </is>
      </c>
      <c r="F314" s="5">
        <f>IFERROR(INDEX([1]resposta_chat_stream!$B$2:$B$34, MATCH(_xlfn.CONCAT("*#",[1]analise_resposta!A314,"*"), [1]resposta_chat_stream!$C$2:$C$34, 0)), "")</f>
        <v/>
      </c>
      <c r="G314" s="6">
        <f>IF(E314&lt;&gt;"", IF(AND(C314=E314, D314=F314), "ACERTOU", IF(OR(C314=E314, D314=F314, C314=F314, D314=E314), "PARCIALMENTE", IF(OR(E314="Não há recomendação", F314="Não há recomendação", E314="SEM RECOMENDAÇÃO", F314="SEM RECOMENDAÇÃO"), "NÃO RECOMENDOU", "ERROU"))), "")</f>
        <v/>
      </c>
      <c r="H314" s="20">
        <f>IFERROR(INDEX([1]reposta_chat!$A$2:$A$121, MATCH(_xlfn.CONCAT("*#",[1]analise_resposta!A314,"*"), [1]reposta_chat!$C$2:$C$121, 0)), "")</f>
        <v/>
      </c>
      <c r="I314" s="20">
        <f>IFERROR(INDEX([1]reposta_chat!$B$2:$B$121, MATCH(_xlfn.CONCAT("*#",[1]analise_resposta!A314,"*"), [1]reposta_chat!$C$2:$C$121, 0)), "")</f>
        <v/>
      </c>
      <c r="J314" s="20">
        <f>IF(H314&lt;&gt;"", IF(AND(C314=H314, D314=I314), "ACERTOU", IF(OR(C314=H314, D314=I314, C314=I314, D314=H314), "PARCIALMENTE", IF(OR(H314="Não há recomendação", I314="Não há recomendação", H314="SEM RECOMENDAÇÃO", I314="SEM RECOMENDAÇÃO"), "NÃO RECOMENDOU", "ERROU"))), "")</f>
        <v/>
      </c>
      <c r="K314" s="21">
        <f>IFERROR(INDEX([1]resposta_rag!$A$2:$A$33, MATCH(_xlfn.CONCAT("*#",[1]analise_resposta!A314,"*"), [1]resposta_rag!$C$2:$C$33, 0)), "")</f>
        <v/>
      </c>
      <c r="L314" s="21" t="n"/>
      <c r="M314" s="21">
        <f>IF(K314&lt;&gt;"",IF(AND(K334,D314=I314),"ACERTOU",IF(OR(C314=K314,D314=L314,C314=L314,D314=K314),"PARCIALMENTE","ERROU")),"")</f>
        <v/>
      </c>
      <c r="N314" s="22">
        <f>IFERROR(INDEX([1]respota_rag_adaptativo!$A$2:$A$853, MATCH(_xlfn.CONCAT("*#",[1]analise_resposta!A314,"*"), [1]respota_rag_adaptativo!$C$2:$C$85, 0)), "")</f>
        <v/>
      </c>
      <c r="O314" s="22" t="n"/>
      <c r="P314" s="22">
        <f>IF(N314&lt;&gt;"", IF(AND(C314=N314, D314=O314), "ACERTOU", IF(OR(C314=N314, D314=O314, C314=O314, D314=N314), "PARCIALMENTE", IF(OR(N314="Não há recomendação", O314="Não há recomendação", N314="SEM RECOMENDAÇÃO", O314="SEM RECOMENDAÇÃO"), "NÃO RECOMENDOU", "ERROU"))), "")</f>
        <v/>
      </c>
      <c r="Q314" s="23">
        <f>IFERROR(INDEX([1]resposta_plan_exec!$A$2:$A$121, MATCH(_xlfn.CONCAT("*",[1]analise_resposta!A314,"*"), [1]resposta_plan_exec!$C$2:$C$121, 0)), "")</f>
        <v/>
      </c>
      <c r="R314" s="23">
        <f>IF([1]analise_resposta!A314="", "",
    _xlfn.LET(_xlpm.resultado, IFERROR(INDEX([1]resposta_plan_exec!$B$2:$B$121,
                           MATCH(_xlfn.CONCAT("*", [1]analise_resposta!A314, "*"),
                                   [1]resposta_plan_exec!$C$2:$C$121, 0)), ""),
        IF(_xlpm.resultado="", "", _xlpm.resultado)))</f>
        <v/>
      </c>
      <c r="S314" s="23" t="n"/>
    </row>
    <row r="315">
      <c r="A315" t="n">
        <v>2808</v>
      </c>
      <c r="B315" s="3" t="inlineStr">
        <is>
          <t>Problema com o Dell XPS 13 superaquecendo</t>
        </is>
      </c>
      <c r="C315" s="3" t="inlineStr">
        <is>
          <t>Gerenciamento de Incidentes</t>
        </is>
      </c>
      <c r="D315" s="3" t="inlineStr">
        <is>
          <t>Gerenciamento de Problemas</t>
        </is>
      </c>
      <c r="F315" s="5">
        <f>IFERROR(INDEX([1]resposta_chat_stream!$B$2:$B$34, MATCH(_xlfn.CONCAT("*#",[1]analise_resposta!A315,"*"), [1]resposta_chat_stream!$C$2:$C$34, 0)), "")</f>
        <v/>
      </c>
      <c r="G315" s="6">
        <f>IF(E315&lt;&gt;"", IF(AND(C315=E315, D315=F315), "ACERTOU", IF(OR(C315=E315, D315=F315, C315=F315, D315=E315), "PARCIALMENTE", IF(OR(E315="Não há recomendação", F315="Não há recomendação", E315="SEM RECOMENDAÇÃO", F315="SEM RECOMENDAÇÃO"), "NÃO RECOMENDOU", "ERROU"))), "")</f>
        <v/>
      </c>
      <c r="H315" s="20">
        <f>IFERROR(INDEX([1]reposta_chat!$A$2:$A$121, MATCH(_xlfn.CONCAT("*#",[1]analise_resposta!A315,"*"), [1]reposta_chat!$C$2:$C$121, 0)), "")</f>
        <v/>
      </c>
      <c r="I315" s="20">
        <f>IFERROR(INDEX([1]reposta_chat!$B$2:$B$121, MATCH(_xlfn.CONCAT("*#",[1]analise_resposta!A315,"*"), [1]reposta_chat!$C$2:$C$121, 0)), "")</f>
        <v/>
      </c>
      <c r="J315" s="20">
        <f>IF(H315&lt;&gt;"", IF(AND(C315=H315, D315=I315), "ACERTOU", IF(OR(C315=H315, D315=I315, C315=I315, D315=H315), "PARCIALMENTE", IF(OR(H315="Não há recomendação", I315="Não há recomendação", H315="SEM RECOMENDAÇÃO", I315="SEM RECOMENDAÇÃO"), "NÃO RECOMENDOU", "ERROU"))), "")</f>
        <v/>
      </c>
      <c r="K315" s="21">
        <f>IFERROR(INDEX([1]resposta_rag!$A$2:$A$33, MATCH(_xlfn.CONCAT("*#",[1]analise_resposta!A315,"*"), [1]resposta_rag!$C$2:$C$33, 0)), "")</f>
        <v/>
      </c>
      <c r="L315" s="21" t="n"/>
      <c r="M315" s="21">
        <f>IF(K315&lt;&gt;"",IF(AND(K335,D315=I315),"ACERTOU",IF(OR(C315=K315,D315=L315,C315=L315,D315=K315),"PARCIALMENTE","ERROU")),"")</f>
        <v/>
      </c>
      <c r="N315" s="22">
        <f>IFERROR(INDEX([1]respota_rag_adaptativo!$A$2:$A$853, MATCH(_xlfn.CONCAT("*#",[1]analise_resposta!A315,"*"), [1]respota_rag_adaptativo!$C$2:$C$85, 0)), "")</f>
        <v/>
      </c>
      <c r="O315" s="22" t="n"/>
      <c r="P315" s="22">
        <f>IF(N315&lt;&gt;"", IF(AND(C315=N315, D315=O315), "ACERTOU", IF(OR(C315=N315, D315=O315, C315=O315, D315=N315), "PARCIALMENTE", IF(OR(N315="Não há recomendação", O315="Não há recomendação", N315="SEM RECOMENDAÇÃO", O315="SEM RECOMENDAÇÃO"), "NÃO RECOMENDOU", "ERROU"))), "")</f>
        <v/>
      </c>
      <c r="Q315" s="23">
        <f>IFERROR(INDEX([1]resposta_plan_exec!$A$2:$A$121, MATCH(_xlfn.CONCAT("*",[1]analise_resposta!A315,"*"), [1]resposta_plan_exec!$C$2:$C$121, 0)), "")</f>
        <v/>
      </c>
      <c r="R315" s="23">
        <f>IF([1]analise_resposta!A315="", "",
    _xlfn.LET(_xlpm.resultado, IFERROR(INDEX([1]resposta_plan_exec!$B$2:$B$121,
                           MATCH(_xlfn.CONCAT("*", [1]analise_resposta!A315, "*"),
                                   [1]resposta_plan_exec!$C$2:$C$121, 0)), ""),
        IF(_xlpm.resultado="", "", _xlpm.resultado)))</f>
        <v/>
      </c>
      <c r="S315" s="23" t="n"/>
    </row>
    <row r="316">
      <c r="A316" t="n">
        <v>2809</v>
      </c>
      <c r="B316" s="3" t="inlineStr">
        <is>
          <t>Crítico: Interrupção dos Serviços Durante a Manutenção Planejada</t>
        </is>
      </c>
      <c r="C316" s="3" t="inlineStr">
        <is>
          <t>Gerenciamento de Incidentes</t>
        </is>
      </c>
      <c r="D316" s="3" t="inlineStr">
        <is>
          <t>Gerenciamento de Mudanças</t>
        </is>
      </c>
      <c r="F316" s="5">
        <f>IFERROR(INDEX([1]resposta_chat_stream!$B$2:$B$34, MATCH(_xlfn.CONCAT("*#",[1]analise_resposta!A316,"*"), [1]resposta_chat_stream!$C$2:$C$34, 0)), "")</f>
        <v/>
      </c>
      <c r="G316" s="6">
        <f>IF(E316&lt;&gt;"", IF(AND(C316=E316, D316=F316), "ACERTOU", IF(OR(C316=E316, D316=F316, C316=F316, D316=E316), "PARCIALMENTE", IF(OR(E316="Não há recomendação", F316="Não há recomendação", E316="SEM RECOMENDAÇÃO", F316="SEM RECOMENDAÇÃO"), "NÃO RECOMENDOU", "ERROU"))), "")</f>
        <v/>
      </c>
      <c r="H316" s="20">
        <f>IFERROR(INDEX([1]reposta_chat!$A$2:$A$121, MATCH(_xlfn.CONCAT("*#",[1]analise_resposta!A316,"*"), [1]reposta_chat!$C$2:$C$121, 0)), "")</f>
        <v/>
      </c>
      <c r="I316" s="20">
        <f>IFERROR(INDEX([1]reposta_chat!$B$2:$B$121, MATCH(_xlfn.CONCAT("*#",[1]analise_resposta!A316,"*"), [1]reposta_chat!$C$2:$C$121, 0)), "")</f>
        <v/>
      </c>
      <c r="J316" s="20">
        <f>IF(H316&lt;&gt;"", IF(AND(C316=H316, D316=I316), "ACERTOU", IF(OR(C316=H316, D316=I316, C316=I316, D316=H316), "PARCIALMENTE", IF(OR(H316="Não há recomendação", I316="Não há recomendação", H316="SEM RECOMENDAÇÃO", I316="SEM RECOMENDAÇÃO"), "NÃO RECOMENDOU", "ERROU"))), "")</f>
        <v/>
      </c>
      <c r="K316" s="21">
        <f>IFERROR(INDEX([1]resposta_rag!$A$2:$A$33, MATCH(_xlfn.CONCAT("*#",[1]analise_resposta!A316,"*"), [1]resposta_rag!$C$2:$C$33, 0)), "")</f>
        <v/>
      </c>
      <c r="L316" s="21" t="n"/>
      <c r="M316" s="21">
        <f>IF(K316&lt;&gt;"",IF(AND(K336,D316=I316),"ACERTOU",IF(OR(C316=K316,D316=L316,C316=L316,D316=K316),"PARCIALMENTE","ERROU")),"")</f>
        <v/>
      </c>
      <c r="N316" s="22">
        <f>IFERROR(INDEX([1]respota_rag_adaptativo!$A$2:$A$853, MATCH(_xlfn.CONCAT("*#",[1]analise_resposta!A316,"*"), [1]respota_rag_adaptativo!$C$2:$C$85, 0)), "")</f>
        <v/>
      </c>
      <c r="O316" s="22" t="n"/>
      <c r="P316" s="22">
        <f>IF(N316&lt;&gt;"", IF(AND(C316=N316, D316=O316), "ACERTOU", IF(OR(C316=N316, D316=O316, C316=O316, D316=N316), "PARCIALMENTE", IF(OR(N316="Não há recomendação", O316="Não há recomendação", N316="SEM RECOMENDAÇÃO", O316="SEM RECOMENDAÇÃO"), "NÃO RECOMENDOU", "ERROU"))), "")</f>
        <v/>
      </c>
      <c r="Q316" s="23">
        <f>IFERROR(INDEX([1]resposta_plan_exec!$A$2:$A$121, MATCH(_xlfn.CONCAT("*",[1]analise_resposta!A316,"*"), [1]resposta_plan_exec!$C$2:$C$121, 0)), "")</f>
        <v/>
      </c>
      <c r="R316" s="23">
        <f>IF([1]analise_resposta!A316="", "",
    _xlfn.LET(_xlpm.resultado, IFERROR(INDEX([1]resposta_plan_exec!$B$2:$B$121,
                           MATCH(_xlfn.CONCAT("*", [1]analise_resposta!A316, "*"),
                                   [1]resposta_plan_exec!$C$2:$C$121, 0)), ""),
        IF(_xlpm.resultado="", "", _xlpm.resultado)))</f>
        <v/>
      </c>
      <c r="S316" s="23" t="n"/>
    </row>
    <row r="317">
      <c r="A317" t="n">
        <v>2811</v>
      </c>
      <c r="B317" s="3" t="inlineStr">
        <is>
          <t>Assistência com Gestão da AWS</t>
        </is>
      </c>
      <c r="C317" s="3" t="inlineStr">
        <is>
          <t>Solicitação de Serviço</t>
        </is>
      </c>
      <c r="D317" s="3" t="inlineStr">
        <is>
          <t>Gerenciamento Financeiro</t>
        </is>
      </c>
      <c r="F317" s="5">
        <f>IFERROR(INDEX([1]resposta_chat_stream!$B$2:$B$34, MATCH(_xlfn.CONCAT("*#",[1]analise_resposta!A317,"*"), [1]resposta_chat_stream!$C$2:$C$34, 0)), "")</f>
        <v/>
      </c>
      <c r="G317" s="6">
        <f>IF(E317&lt;&gt;"", IF(AND(C317=E317, D317=F317), "ACERTOU", IF(OR(C317=E317, D317=F317, C317=F317, D317=E317), "PARCIALMENTE", IF(OR(E317="Não há recomendação", F317="Não há recomendação", E317="SEM RECOMENDAÇÃO", F317="SEM RECOMENDAÇÃO"), "NÃO RECOMENDOU", "ERROU"))), "")</f>
        <v/>
      </c>
      <c r="H317" s="20">
        <f>IFERROR(INDEX([1]reposta_chat!$A$2:$A$121, MATCH(_xlfn.CONCAT("*#",[1]analise_resposta!A317,"*"), [1]reposta_chat!$C$2:$C$121, 0)), "")</f>
        <v/>
      </c>
      <c r="I317" s="20">
        <f>IFERROR(INDEX([1]reposta_chat!$B$2:$B$121, MATCH(_xlfn.CONCAT("*#",[1]analise_resposta!A317,"*"), [1]reposta_chat!$C$2:$C$121, 0)), "")</f>
        <v/>
      </c>
      <c r="J317" s="20">
        <f>IF(H317&lt;&gt;"", IF(AND(C317=H317, D317=I317), "ACERTOU", IF(OR(C317=H317, D317=I317, C317=I317, D317=H317), "PARCIALMENTE", IF(OR(H317="Não há recomendação", I317="Não há recomendação", H317="SEM RECOMENDAÇÃO", I317="SEM RECOMENDAÇÃO"), "NÃO RECOMENDOU", "ERROU"))), "")</f>
        <v/>
      </c>
      <c r="K317" s="21">
        <f>IFERROR(INDEX([1]resposta_rag!$A$2:$A$33, MATCH(_xlfn.CONCAT("*#",[1]analise_resposta!A317,"*"), [1]resposta_rag!$C$2:$C$33, 0)), "")</f>
        <v/>
      </c>
      <c r="L317" s="21" t="n"/>
      <c r="M317" s="21">
        <f>IF(K317&lt;&gt;"",IF(AND(K337,D317=I317),"ACERTOU",IF(OR(C317=K317,D317=L317,C317=L317,D317=K317),"PARCIALMENTE","ERROU")),"")</f>
        <v/>
      </c>
      <c r="N317" s="22">
        <f>IFERROR(INDEX([1]respota_rag_adaptativo!$A$2:$A$853, MATCH(_xlfn.CONCAT("*#",[1]analise_resposta!A317,"*"), [1]respota_rag_adaptativo!$C$2:$C$85, 0)), "")</f>
        <v/>
      </c>
      <c r="O317" s="22" t="n"/>
      <c r="P317" s="22">
        <f>IF(N317&lt;&gt;"", IF(AND(C317=N317, D317=O317), "ACERTOU", IF(OR(C317=N317, D317=O317, C317=O317, D317=N317), "PARCIALMENTE", IF(OR(N317="Não há recomendação", O317="Não há recomendação", N317="SEM RECOMENDAÇÃO", O317="SEM RECOMENDAÇÃO"), "NÃO RECOMENDOU", "ERROU"))), "")</f>
        <v/>
      </c>
      <c r="Q317" s="23">
        <f>IFERROR(INDEX([1]resposta_plan_exec!$A$2:$A$121, MATCH(_xlfn.CONCAT("*",[1]analise_resposta!A317,"*"), [1]resposta_plan_exec!$C$2:$C$121, 0)), "")</f>
        <v/>
      </c>
      <c r="R317" s="23">
        <f>IF([1]analise_resposta!A317="", "",
    _xlfn.LET(_xlpm.resultado, IFERROR(INDEX([1]resposta_plan_exec!$B$2:$B$121,
                           MATCH(_xlfn.CONCAT("*", [1]analise_resposta!A317, "*"),
                                   [1]resposta_plan_exec!$C$2:$C$121, 0)), ""),
        IF(_xlpm.resultado="", "", _xlpm.resultado)))</f>
        <v/>
      </c>
      <c r="S317" s="23" t="n"/>
    </row>
    <row r="318">
      <c r="A318" t="n">
        <v>2812</v>
      </c>
      <c r="B318" s="3" t="inlineStr">
        <is>
          <t>Problemas com o Roteador Cisco ISR4331</t>
        </is>
      </c>
      <c r="C318" s="3" t="inlineStr">
        <is>
          <t>Gerenciamento de Incidentes</t>
        </is>
      </c>
      <c r="D318" s="3" t="inlineStr">
        <is>
          <t>Gerenciamento de Problemas</t>
        </is>
      </c>
      <c r="F318" s="5">
        <f>IFERROR(INDEX([1]resposta_chat_stream!$B$2:$B$34, MATCH(_xlfn.CONCAT("*#",[1]analise_resposta!A318,"*"), [1]resposta_chat_stream!$C$2:$C$34, 0)), "")</f>
        <v/>
      </c>
      <c r="G318" s="6">
        <f>IF(E318&lt;&gt;"", IF(AND(C318=E318, D318=F318), "ACERTOU", IF(OR(C318=E318, D318=F318, C318=F318, D318=E318), "PARCIALMENTE", IF(OR(E318="Não há recomendação", F318="Não há recomendação", E318="SEM RECOMENDAÇÃO", F318="SEM RECOMENDAÇÃO"), "NÃO RECOMENDOU", "ERROU"))), "")</f>
        <v/>
      </c>
      <c r="H318" s="20">
        <f>IFERROR(INDEX([1]reposta_chat!$A$2:$A$121, MATCH(_xlfn.CONCAT("*#",[1]analise_resposta!A318,"*"), [1]reposta_chat!$C$2:$C$121, 0)), "")</f>
        <v/>
      </c>
      <c r="I318" s="20">
        <f>IFERROR(INDEX([1]reposta_chat!$B$2:$B$121, MATCH(_xlfn.CONCAT("*#",[1]analise_resposta!A318,"*"), [1]reposta_chat!$C$2:$C$121, 0)), "")</f>
        <v/>
      </c>
      <c r="J318" s="20">
        <f>IF(H318&lt;&gt;"", IF(AND(C318=H318, D318=I318), "ACERTOU", IF(OR(C318=H318, D318=I318, C318=I318, D318=H318), "PARCIALMENTE", IF(OR(H318="Não há recomendação", I318="Não há recomendação", H318="SEM RECOMENDAÇÃO", I318="SEM RECOMENDAÇÃO"), "NÃO RECOMENDOU", "ERROU"))), "")</f>
        <v/>
      </c>
      <c r="K318" s="21">
        <f>IFERROR(INDEX([1]resposta_rag!$A$2:$A$33, MATCH(_xlfn.CONCAT("*#",[1]analise_resposta!A318,"*"), [1]resposta_rag!$C$2:$C$33, 0)), "")</f>
        <v/>
      </c>
      <c r="L318" s="21" t="n"/>
      <c r="M318" s="21">
        <f>IF(K318&lt;&gt;"",IF(AND(K338,D318=I318),"ACERTOU",IF(OR(C318=K318,D318=L318,C318=L318,D318=K318),"PARCIALMENTE","ERROU")),"")</f>
        <v/>
      </c>
      <c r="N318" s="22">
        <f>IFERROR(INDEX([1]respota_rag_adaptativo!$A$2:$A$853, MATCH(_xlfn.CONCAT("*#",[1]analise_resposta!A318,"*"), [1]respota_rag_adaptativo!$C$2:$C$85, 0)), "")</f>
        <v/>
      </c>
      <c r="O318" s="22" t="n"/>
      <c r="P318" s="22">
        <f>IF(N318&lt;&gt;"", IF(AND(C318=N318, D318=O318), "ACERTOU", IF(OR(C318=N318, D318=O318, C318=O318, D318=N318), "PARCIALMENTE", IF(OR(N318="Não há recomendação", O318="Não há recomendação", N318="SEM RECOMENDAÇÃO", O318="SEM RECOMENDAÇÃO"), "NÃO RECOMENDOU", "ERROU"))), "")</f>
        <v/>
      </c>
      <c r="Q318" s="23">
        <f>IFERROR(INDEX([1]resposta_plan_exec!$A$2:$A$121, MATCH(_xlfn.CONCAT("*",[1]analise_resposta!A318,"*"), [1]resposta_plan_exec!$C$2:$C$121, 0)), "")</f>
        <v/>
      </c>
      <c r="R318" s="23">
        <f>IF([1]analise_resposta!A318="", "",
    _xlfn.LET(_xlpm.resultado, IFERROR(INDEX([1]resposta_plan_exec!$B$2:$B$121,
                           MATCH(_xlfn.CONCAT("*", [1]analise_resposta!A318, "*"),
                                   [1]resposta_plan_exec!$C$2:$C$121, 0)), ""),
        IF(_xlpm.resultado="", "", _xlpm.resultado)))</f>
        <v/>
      </c>
      <c r="S318" s="23" t="n"/>
    </row>
    <row r="319">
      <c r="A319" t="n">
        <v>2825</v>
      </c>
      <c r="B319" s="3" t="inlineStr">
        <is>
          <t>Experienciando Desconexões Frequentes com Zoom 5.11.0</t>
        </is>
      </c>
      <c r="C319" s="3" t="inlineStr">
        <is>
          <t>Gerenciamento de Incidentes</t>
        </is>
      </c>
      <c r="D319" s="3" t="inlineStr">
        <is>
          <t>Gerenciamento de Problemas</t>
        </is>
      </c>
      <c r="F319" s="5">
        <f>IFERROR(INDEX([1]resposta_chat_stream!$B$2:$B$34, MATCH(_xlfn.CONCAT("*#",[1]analise_resposta!A319,"*"), [1]resposta_chat_stream!$C$2:$C$34, 0)), "")</f>
        <v/>
      </c>
      <c r="G319" s="6">
        <f>IF(E319&lt;&gt;"", IF(AND(C319=E319, D319=F319), "ACERTOU", IF(OR(C319=E319, D319=F319, C319=F319, D319=E319), "PARCIALMENTE", IF(OR(E319="Não há recomendação", F319="Não há recomendação", E319="SEM RECOMENDAÇÃO", F319="SEM RECOMENDAÇÃO"), "NÃO RECOMENDOU", "ERROU"))), "")</f>
        <v/>
      </c>
      <c r="H319" s="20">
        <f>IFERROR(INDEX([1]reposta_chat!$A$2:$A$121, MATCH(_xlfn.CONCAT("*#",[1]analise_resposta!A319,"*"), [1]reposta_chat!$C$2:$C$121, 0)), "")</f>
        <v/>
      </c>
      <c r="I319" s="20">
        <f>IFERROR(INDEX([1]reposta_chat!$B$2:$B$121, MATCH(_xlfn.CONCAT("*#",[1]analise_resposta!A319,"*"), [1]reposta_chat!$C$2:$C$121, 0)), "")</f>
        <v/>
      </c>
      <c r="J319" s="20">
        <f>IF(H319&lt;&gt;"", IF(AND(C319=H319, D319=I319), "ACERTOU", IF(OR(C319=H319, D319=I319, C319=I319, D319=H319), "PARCIALMENTE", IF(OR(H319="Não há recomendação", I319="Não há recomendação", H319="SEM RECOMENDAÇÃO", I319="SEM RECOMENDAÇÃO"), "NÃO RECOMENDOU", "ERROU"))), "")</f>
        <v/>
      </c>
      <c r="K319" s="21">
        <f>IFERROR(INDEX([1]resposta_rag!$A$2:$A$33, MATCH(_xlfn.CONCAT("*#",[1]analise_resposta!A319,"*"), [1]resposta_rag!$C$2:$C$33, 0)), "")</f>
        <v/>
      </c>
      <c r="L319" s="21" t="n"/>
      <c r="M319" s="21">
        <f>IF(K319&lt;&gt;"",IF(AND(K339,D319=I319),"ACERTOU",IF(OR(C319=K319,D319=L319,C319=L319,D319=K319),"PARCIALMENTE","ERROU")),"")</f>
        <v/>
      </c>
      <c r="N319" s="22">
        <f>IFERROR(INDEX([1]respota_rag_adaptativo!$A$2:$A$853, MATCH(_xlfn.CONCAT("*#",[1]analise_resposta!A319,"*"), [1]respota_rag_adaptativo!$C$2:$C$85, 0)), "")</f>
        <v/>
      </c>
      <c r="O319" s="22" t="n"/>
      <c r="P319" s="22">
        <f>IF(N319&lt;&gt;"", IF(AND(C319=N319, D319=O319), "ACERTOU", IF(OR(C319=N319, D319=O319, C319=O319, D319=N319), "PARCIALMENTE", IF(OR(N319="Não há recomendação", O319="Não há recomendação", N319="SEM RECOMENDAÇÃO", O319="SEM RECOMENDAÇÃO"), "NÃO RECOMENDOU", "ERROU"))), "")</f>
        <v/>
      </c>
      <c r="Q319" s="23">
        <f>IFERROR(INDEX([1]resposta_plan_exec!$A$2:$A$121, MATCH(_xlfn.CONCAT("*",[1]analise_resposta!A319,"*"), [1]resposta_plan_exec!$C$2:$C$121, 0)), "")</f>
        <v/>
      </c>
      <c r="R319" s="23">
        <f>IF([1]analise_resposta!A319="", "",
    _xlfn.LET(_xlpm.resultado, IFERROR(INDEX([1]resposta_plan_exec!$B$2:$B$121,
                           MATCH(_xlfn.CONCAT("*", [1]analise_resposta!A319, "*"),
                                   [1]resposta_plan_exec!$C$2:$C$121, 0)), ""),
        IF(_xlpm.resultado="", "", _xlpm.resultado)))</f>
        <v/>
      </c>
      <c r="S319" s="23" t="n"/>
    </row>
    <row r="320">
      <c r="A320" t="n">
        <v>2830</v>
      </c>
      <c r="B320" s="3" t="inlineStr">
        <is>
          <t>Problema com a Conectividade da Canon PIXMA MG3620</t>
        </is>
      </c>
      <c r="C320" s="3" t="inlineStr">
        <is>
          <t>Gerenciamento de Incidentes</t>
        </is>
      </c>
      <c r="D320" s="3" t="inlineStr">
        <is>
          <t>Gerenciamento de Problemas</t>
        </is>
      </c>
      <c r="F320" s="5">
        <f>IFERROR(INDEX([1]resposta_chat_stream!$B$2:$B$34, MATCH(_xlfn.CONCAT("*#",[1]analise_resposta!A320,"*"), [1]resposta_chat_stream!$C$2:$C$34, 0)), "")</f>
        <v/>
      </c>
      <c r="G320" s="6">
        <f>IF(E320&lt;&gt;"", IF(AND(C320=E320, D320=F320), "ACERTOU", IF(OR(C320=E320, D320=F320, C320=F320, D320=E320), "PARCIALMENTE", IF(OR(E320="Não há recomendação", F320="Não há recomendação", E320="SEM RECOMENDAÇÃO", F320="SEM RECOMENDAÇÃO"), "NÃO RECOMENDOU", "ERROU"))), "")</f>
        <v/>
      </c>
      <c r="H320" s="20">
        <f>IFERROR(INDEX([1]reposta_chat!$A$2:$A$121, MATCH(_xlfn.CONCAT("*#",[1]analise_resposta!A320,"*"), [1]reposta_chat!$C$2:$C$121, 0)), "")</f>
        <v/>
      </c>
      <c r="I320" s="20">
        <f>IFERROR(INDEX([1]reposta_chat!$B$2:$B$121, MATCH(_xlfn.CONCAT("*#",[1]analise_resposta!A320,"*"), [1]reposta_chat!$C$2:$C$121, 0)), "")</f>
        <v/>
      </c>
      <c r="J320" s="20">
        <f>IF(H320&lt;&gt;"", IF(AND(C320=H320, D320=I320), "ACERTOU", IF(OR(C320=H320, D320=I320, C320=I320, D320=H320), "PARCIALMENTE", IF(OR(H320="Não há recomendação", I320="Não há recomendação", H320="SEM RECOMENDAÇÃO", I320="SEM RECOMENDAÇÃO"), "NÃO RECOMENDOU", "ERROU"))), "")</f>
        <v/>
      </c>
      <c r="K320" s="21">
        <f>IFERROR(INDEX([1]resposta_rag!$A$2:$A$33, MATCH(_xlfn.CONCAT("*#",[1]analise_resposta!A320,"*"), [1]resposta_rag!$C$2:$C$33, 0)), "")</f>
        <v/>
      </c>
      <c r="L320" s="21" t="n"/>
      <c r="M320" s="21">
        <f>IF(K320&lt;&gt;"",IF(AND(K340,D320=I320),"ACERTOU",IF(OR(C320=K320,D320=L320,C320=L320,D320=K320),"PARCIALMENTE","ERROU")),"")</f>
        <v/>
      </c>
      <c r="N320" s="22">
        <f>IFERROR(INDEX([1]respota_rag_adaptativo!$A$2:$A$853, MATCH(_xlfn.CONCAT("*#",[1]analise_resposta!A320,"*"), [1]respota_rag_adaptativo!$C$2:$C$85, 0)), "")</f>
        <v/>
      </c>
      <c r="O320" s="22" t="n"/>
      <c r="P320" s="22">
        <f>IF(N320&lt;&gt;"", IF(AND(C320=N320, D320=O320), "ACERTOU", IF(OR(C320=N320, D320=O320, C320=O320, D320=N320), "PARCIALMENTE", IF(OR(N320="Não há recomendação", O320="Não há recomendação", N320="SEM RECOMENDAÇÃO", O320="SEM RECOMENDAÇÃO"), "NÃO RECOMENDOU", "ERROU"))), "")</f>
        <v/>
      </c>
      <c r="Q320" s="23">
        <f>IFERROR(INDEX([1]resposta_plan_exec!$A$2:$A$121, MATCH(_xlfn.CONCAT("*",[1]analise_resposta!A320,"*"), [1]resposta_plan_exec!$C$2:$C$121, 0)), "")</f>
        <v/>
      </c>
      <c r="R320" s="23">
        <f>IF([1]analise_resposta!A320="", "",
    _xlfn.LET(_xlpm.resultado, IFERROR(INDEX([1]resposta_plan_exec!$B$2:$B$121,
                           MATCH(_xlfn.CONCAT("*", [1]analise_resposta!A320, "*"),
                                   [1]resposta_plan_exec!$C$2:$C$121, 0)), ""),
        IF(_xlpm.resultado="", "", _xlpm.resultado)))</f>
        <v/>
      </c>
      <c r="S320" s="23" t="n"/>
    </row>
    <row r="321">
      <c r="A321" t="n">
        <v>2832</v>
      </c>
      <c r="B321" s="3" t="inlineStr">
        <is>
          <t>Assistência com Configuração de Impressora</t>
        </is>
      </c>
      <c r="C321" s="3" t="inlineStr">
        <is>
          <t>Solicitação de Serviço</t>
        </is>
      </c>
      <c r="D321" s="3" t="inlineStr">
        <is>
          <t>Gerenciamento de Incidentes</t>
        </is>
      </c>
      <c r="F321" s="5">
        <f>IFERROR(INDEX([1]resposta_chat_stream!$B$2:$B$34, MATCH(_xlfn.CONCAT("*#",[1]analise_resposta!A321,"*"), [1]resposta_chat_stream!$C$2:$C$34, 0)), "")</f>
        <v/>
      </c>
      <c r="G321" s="6">
        <f>IF(E321&lt;&gt;"", IF(AND(C321=E321, D321=F321), "ACERTOU", IF(OR(C321=E321, D321=F321, C321=F321, D321=E321), "PARCIALMENTE", IF(OR(E321="Não há recomendação", F321="Não há recomendação", E321="SEM RECOMENDAÇÃO", F321="SEM RECOMENDAÇÃO"), "NÃO RECOMENDOU", "ERROU"))), "")</f>
        <v/>
      </c>
      <c r="H321" s="20">
        <f>IFERROR(INDEX([1]reposta_chat!$A$2:$A$121, MATCH(_xlfn.CONCAT("*#",[1]analise_resposta!A321,"*"), [1]reposta_chat!$C$2:$C$121, 0)), "")</f>
        <v/>
      </c>
      <c r="I321" s="20">
        <f>IFERROR(INDEX([1]reposta_chat!$B$2:$B$121, MATCH(_xlfn.CONCAT("*#",[1]analise_resposta!A321,"*"), [1]reposta_chat!$C$2:$C$121, 0)), "")</f>
        <v/>
      </c>
      <c r="J321" s="20">
        <f>IF(H321&lt;&gt;"", IF(AND(C321=H321, D321=I321), "ACERTOU", IF(OR(C321=H321, D321=I321, C321=I321, D321=H321), "PARCIALMENTE", IF(OR(H321="Não há recomendação", I321="Não há recomendação", H321="SEM RECOMENDAÇÃO", I321="SEM RECOMENDAÇÃO"), "NÃO RECOMENDOU", "ERROU"))), "")</f>
        <v/>
      </c>
      <c r="K321" s="21">
        <f>IFERROR(INDEX([1]resposta_rag!$A$2:$A$33, MATCH(_xlfn.CONCAT("*#",[1]analise_resposta!A321,"*"), [1]resposta_rag!$C$2:$C$33, 0)), "")</f>
        <v/>
      </c>
      <c r="L321" s="21" t="n"/>
      <c r="M321" s="21">
        <f>IF(K321&lt;&gt;"",IF(AND(K341,D321=I321),"ACERTOU",IF(OR(C321=K321,D321=L321,C321=L321,D321=K321),"PARCIALMENTE","ERROU")),"")</f>
        <v/>
      </c>
      <c r="N321" s="22">
        <f>IFERROR(INDEX([1]respota_rag_adaptativo!$A$2:$A$853, MATCH(_xlfn.CONCAT("*#",[1]analise_resposta!A321,"*"), [1]respota_rag_adaptativo!$C$2:$C$85, 0)), "")</f>
        <v/>
      </c>
      <c r="O321" s="22" t="n"/>
      <c r="P321" s="22">
        <f>IF(N321&lt;&gt;"", IF(AND(C321=N321, D321=O321), "ACERTOU", IF(OR(C321=N321, D321=O321, C321=O321, D321=N321), "PARCIALMENTE", IF(OR(N321="Não há recomendação", O321="Não há recomendação", N321="SEM RECOMENDAÇÃO", O321="SEM RECOMENDAÇÃO"), "NÃO RECOMENDOU", "ERROU"))), "")</f>
        <v/>
      </c>
      <c r="Q321" s="23">
        <f>IFERROR(INDEX([1]resposta_plan_exec!$A$2:$A$121, MATCH(_xlfn.CONCAT("*",[1]analise_resposta!A321,"*"), [1]resposta_plan_exec!$C$2:$C$121, 0)), "")</f>
        <v/>
      </c>
      <c r="R321" s="23">
        <f>IF([1]analise_resposta!A321="", "",
    _xlfn.LET(_xlpm.resultado, IFERROR(INDEX([1]resposta_plan_exec!$B$2:$B$121,
                           MATCH(_xlfn.CONCAT("*", [1]analise_resposta!A321, "*"),
                                   [1]resposta_plan_exec!$C$2:$C$121, 0)), ""),
        IF(_xlpm.resultado="", "", _xlpm.resultado)))</f>
        <v/>
      </c>
      <c r="S321" s="23" t="n"/>
    </row>
    <row r="322">
      <c r="A322" t="n">
        <v>2840</v>
      </c>
      <c r="B322" s="3" t="inlineStr">
        <is>
          <t>Urgente: Implementação de Servidor Atrasada Afetando as Operações do Cliente</t>
        </is>
      </c>
      <c r="C322" s="3" t="inlineStr">
        <is>
          <t>Gerenciamento de Incidentes</t>
        </is>
      </c>
      <c r="D322" s="3" t="inlineStr">
        <is>
          <t>Gerenciamento de Mudanças</t>
        </is>
      </c>
      <c r="F322" s="5">
        <f>IFERROR(INDEX([1]resposta_chat_stream!$B$2:$B$34, MATCH(_xlfn.CONCAT("*#",[1]analise_resposta!A322,"*"), [1]resposta_chat_stream!$C$2:$C$34, 0)), "")</f>
        <v/>
      </c>
      <c r="G322" s="6">
        <f>IF(E322&lt;&gt;"", IF(AND(C322=E322, D322=F322), "ACERTOU", IF(OR(C322=E322, D322=F322, C322=F322, D322=E322), "PARCIALMENTE", IF(OR(E322="Não há recomendação", F322="Não há recomendação", E322="SEM RECOMENDAÇÃO", F322="SEM RECOMENDAÇÃO"), "NÃO RECOMENDOU", "ERROU"))), "")</f>
        <v/>
      </c>
      <c r="H322" s="20">
        <f>IFERROR(INDEX([1]reposta_chat!$A$2:$A$121, MATCH(_xlfn.CONCAT("*#",[1]analise_resposta!A322,"*"), [1]reposta_chat!$C$2:$C$121, 0)), "")</f>
        <v/>
      </c>
      <c r="I322" s="20">
        <f>IFERROR(INDEX([1]reposta_chat!$B$2:$B$121, MATCH(_xlfn.CONCAT("*#",[1]analise_resposta!A322,"*"), [1]reposta_chat!$C$2:$C$121, 0)), "")</f>
        <v/>
      </c>
      <c r="J322" s="20">
        <f>IF(H322&lt;&gt;"", IF(AND(C322=H322, D322=I322), "ACERTOU", IF(OR(C322=H322, D322=I322, C322=I322, D322=H322), "PARCIALMENTE", IF(OR(H322="Não há recomendação", I322="Não há recomendação", H322="SEM RECOMENDAÇÃO", I322="SEM RECOMENDAÇÃO"), "NÃO RECOMENDOU", "ERROU"))), "")</f>
        <v/>
      </c>
      <c r="K322" s="21">
        <f>IFERROR(INDEX([1]resposta_rag!$A$2:$A$33, MATCH(_xlfn.CONCAT("*#",[1]analise_resposta!A322,"*"), [1]resposta_rag!$C$2:$C$33, 0)), "")</f>
        <v/>
      </c>
      <c r="L322" s="21" t="n"/>
      <c r="M322" s="21">
        <f>IF(K322&lt;&gt;"",IF(AND(K342,D322=I322),"ACERTOU",IF(OR(C322=K322,D322=L322,C322=L322,D322=K322),"PARCIALMENTE","ERROU")),"")</f>
        <v/>
      </c>
      <c r="N322" s="22">
        <f>IFERROR(INDEX([1]respota_rag_adaptativo!$A$2:$A$853, MATCH(_xlfn.CONCAT("*#",[1]analise_resposta!A322,"*"), [1]respota_rag_adaptativo!$C$2:$C$85, 0)), "")</f>
        <v/>
      </c>
      <c r="O322" s="22" t="n"/>
      <c r="P322" s="22">
        <f>IF(N322&lt;&gt;"", IF(AND(C322=N322, D322=O322), "ACERTOU", IF(OR(C322=N322, D322=O322, C322=O322, D322=N322), "PARCIALMENTE", IF(OR(N322="Não há recomendação", O322="Não há recomendação", N322="SEM RECOMENDAÇÃO", O322="SEM RECOMENDAÇÃO"), "NÃO RECOMENDOU", "ERROU"))), "")</f>
        <v/>
      </c>
      <c r="Q322" s="23">
        <f>IFERROR(INDEX([1]resposta_plan_exec!$A$2:$A$121, MATCH(_xlfn.CONCAT("*",[1]analise_resposta!A322,"*"), [1]resposta_plan_exec!$C$2:$C$121, 0)), "")</f>
        <v/>
      </c>
      <c r="R322" s="23">
        <f>IF([1]analise_resposta!A322="", "",
    _xlfn.LET(_xlpm.resultado, IFERROR(INDEX([1]resposta_plan_exec!$B$2:$B$121,
                           MATCH(_xlfn.CONCAT("*", [1]analise_resposta!A322, "*"),
                                   [1]resposta_plan_exec!$C$2:$C$121, 0)), ""),
        IF(_xlpm.resultado="", "", _xlpm.resultado)))</f>
        <v/>
      </c>
      <c r="S322" s="23" t="n"/>
    </row>
    <row r="323">
      <c r="A323" t="n">
        <v>2847</v>
      </c>
      <c r="B323" s="3" t="inlineStr">
        <is>
          <t>Urgente: Interrupção de Rede pelo Roteador ISR4331</t>
        </is>
      </c>
      <c r="C323" s="3" t="inlineStr">
        <is>
          <t>Gerenciamento de Incidentes</t>
        </is>
      </c>
      <c r="D323" s="3" t="inlineStr">
        <is>
          <t>Gerenciamento de Disponibilidade</t>
        </is>
      </c>
      <c r="F323" s="5">
        <f>IFERROR(INDEX([1]resposta_chat_stream!$B$2:$B$34, MATCH(_xlfn.CONCAT("*#",[1]analise_resposta!A323,"*"), [1]resposta_chat_stream!$C$2:$C$34, 0)), "")</f>
        <v/>
      </c>
      <c r="G323" s="6">
        <f>IF(E323&lt;&gt;"", IF(AND(C323=E323, D323=F323), "ACERTOU", IF(OR(C323=E323, D323=F323, C323=F323, D323=E323), "PARCIALMENTE", IF(OR(E323="Não há recomendação", F323="Não há recomendação", E323="SEM RECOMENDAÇÃO", F323="SEM RECOMENDAÇÃO"), "NÃO RECOMENDOU", "ERROU"))), "")</f>
        <v/>
      </c>
      <c r="H323" s="20">
        <f>IFERROR(INDEX([1]reposta_chat!$A$2:$A$121, MATCH(_xlfn.CONCAT("*#",[1]analise_resposta!A323,"*"), [1]reposta_chat!$C$2:$C$121, 0)), "")</f>
        <v/>
      </c>
      <c r="I323" s="20">
        <f>IFERROR(INDEX([1]reposta_chat!$B$2:$B$121, MATCH(_xlfn.CONCAT("*#",[1]analise_resposta!A323,"*"), [1]reposta_chat!$C$2:$C$121, 0)), "")</f>
        <v/>
      </c>
      <c r="J323" s="20">
        <f>IF(H323&lt;&gt;"", IF(AND(C323=H323, D323=I323), "ACERTOU", IF(OR(C323=H323, D323=I323, C323=I323, D323=H323), "PARCIALMENTE", IF(OR(H323="Não há recomendação", I323="Não há recomendação", H323="SEM RECOMENDAÇÃO", I323="SEM RECOMENDAÇÃO"), "NÃO RECOMENDOU", "ERROU"))), "")</f>
        <v/>
      </c>
      <c r="K323" s="21">
        <f>IFERROR(INDEX([1]resposta_rag!$A$2:$A$33, MATCH(_xlfn.CONCAT("*#",[1]analise_resposta!A323,"*"), [1]resposta_rag!$C$2:$C$33, 0)), "")</f>
        <v/>
      </c>
      <c r="L323" s="21" t="n"/>
      <c r="M323" s="21">
        <f>IF(K323&lt;&gt;"",IF(AND(K343,D323=I323),"ACERTOU",IF(OR(C323=K323,D323=L323,C323=L323,D323=K323),"PARCIALMENTE","ERROU")),"")</f>
        <v/>
      </c>
      <c r="N323" s="22">
        <f>IFERROR(INDEX([1]respota_rag_adaptativo!$A$2:$A$853, MATCH(_xlfn.CONCAT("*#",[1]analise_resposta!A323,"*"), [1]respota_rag_adaptativo!$C$2:$C$85, 0)), "")</f>
        <v/>
      </c>
      <c r="O323" s="22" t="n"/>
      <c r="P323" s="22">
        <f>IF(N323&lt;&gt;"", IF(AND(C323=N323, D323=O323), "ACERTOU", IF(OR(C323=N323, D323=O323, C323=O323, D323=N323), "PARCIALMENTE", IF(OR(N323="Não há recomendação", O323="Não há recomendação", N323="SEM RECOMENDAÇÃO", O323="SEM RECOMENDAÇÃO"), "NÃO RECOMENDOU", "ERROU"))), "")</f>
        <v/>
      </c>
      <c r="Q323" s="23">
        <f>IFERROR(INDEX([1]resposta_plan_exec!$A$2:$A$121, MATCH(_xlfn.CONCAT("*",[1]analise_resposta!A323,"*"), [1]resposta_plan_exec!$C$2:$C$121, 0)), "")</f>
        <v/>
      </c>
      <c r="R323" s="23">
        <f>IF([1]analise_resposta!A323="", "",
    _xlfn.LET(_xlpm.resultado, IFERROR(INDEX([1]resposta_plan_exec!$B$2:$B$121,
                           MATCH(_xlfn.CONCAT("*", [1]analise_resposta!A323, "*"),
                                   [1]resposta_plan_exec!$C$2:$C$121, 0)), ""),
        IF(_xlpm.resultado="", "", _xlpm.resultado)))</f>
        <v/>
      </c>
      <c r="S323" s="23" t="n"/>
    </row>
    <row r="324">
      <c r="A324" t="n">
        <v>2851</v>
      </c>
      <c r="B324" s="3" t="inlineStr">
        <is>
          <t>Solicitação de Otimização da Infraestrutura AWS</t>
        </is>
      </c>
      <c r="C324" s="3" t="inlineStr">
        <is>
          <t>Solicitação de Serviço</t>
        </is>
      </c>
      <c r="D324" s="3" t="inlineStr">
        <is>
          <t>Gerenciamento Financeiro</t>
        </is>
      </c>
      <c r="F324" s="5">
        <f>IFERROR(INDEX([1]resposta_chat_stream!$B$2:$B$34, MATCH(_xlfn.CONCAT("*#",[1]analise_resposta!A324,"*"), [1]resposta_chat_stream!$C$2:$C$34, 0)), "")</f>
        <v/>
      </c>
      <c r="G324" s="6">
        <f>IF(E324&lt;&gt;"", IF(AND(C324=E324, D324=F324), "ACERTOU", IF(OR(C324=E324, D324=F324, C324=F324, D324=E324), "PARCIALMENTE", IF(OR(E324="Não há recomendação", F324="Não há recomendação", E324="SEM RECOMENDAÇÃO", F324="SEM RECOMENDAÇÃO"), "NÃO RECOMENDOU", "ERROU"))), "")</f>
        <v/>
      </c>
      <c r="H324" s="20">
        <f>IFERROR(INDEX([1]reposta_chat!$A$2:$A$121, MATCH(_xlfn.CONCAT("*#",[1]analise_resposta!A324,"*"), [1]reposta_chat!$C$2:$C$121, 0)), "")</f>
        <v/>
      </c>
      <c r="I324" s="20">
        <f>IFERROR(INDEX([1]reposta_chat!$B$2:$B$121, MATCH(_xlfn.CONCAT("*#",[1]analise_resposta!A324,"*"), [1]reposta_chat!$C$2:$C$121, 0)), "")</f>
        <v/>
      </c>
      <c r="J324" s="20">
        <f>IF(H324&lt;&gt;"", IF(AND(C324=H324, D324=I324), "ACERTOU", IF(OR(C324=H324, D324=I324, C324=I324, D324=H324), "PARCIALMENTE", IF(OR(H324="Não há recomendação", I324="Não há recomendação", H324="SEM RECOMENDAÇÃO", I324="SEM RECOMENDAÇÃO"), "NÃO RECOMENDOU", "ERROU"))), "")</f>
        <v/>
      </c>
      <c r="K324" s="21">
        <f>IFERROR(INDEX([1]resposta_rag!$A$2:$A$33, MATCH(_xlfn.CONCAT("*#",[1]analise_resposta!A324,"*"), [1]resposta_rag!$C$2:$C$33, 0)), "")</f>
        <v/>
      </c>
      <c r="L324" s="21" t="n"/>
      <c r="M324" s="21">
        <f>IF(K324&lt;&gt;"",IF(AND(K344,D324=I324),"ACERTOU",IF(OR(C324=K324,D324=L324,C324=L324,D324=K324),"PARCIALMENTE","ERROU")),"")</f>
        <v/>
      </c>
      <c r="N324" s="22">
        <f>IFERROR(INDEX([1]respota_rag_adaptativo!$A$2:$A$853, MATCH(_xlfn.CONCAT("*#",[1]analise_resposta!A324,"*"), [1]respota_rag_adaptativo!$C$2:$C$85, 0)), "")</f>
        <v/>
      </c>
      <c r="O324" s="22" t="n"/>
      <c r="P324" s="22">
        <f>IF(N324&lt;&gt;"", IF(AND(C324=N324, D324=O324), "ACERTOU", IF(OR(C324=N324, D324=O324, C324=O324, D324=N324), "PARCIALMENTE", IF(OR(N324="Não há recomendação", O324="Não há recomendação", N324="SEM RECOMENDAÇÃO", O324="SEM RECOMENDAÇÃO"), "NÃO RECOMENDOU", "ERROU"))), "")</f>
        <v/>
      </c>
      <c r="Q324" s="23">
        <f>IFERROR(INDEX([1]resposta_plan_exec!$A$2:$A$121, MATCH(_xlfn.CONCAT("*",[1]analise_resposta!A324,"*"), [1]resposta_plan_exec!$C$2:$C$121, 0)), "")</f>
        <v/>
      </c>
      <c r="R324" s="23">
        <f>IF([1]analise_resposta!A324="", "",
    _xlfn.LET(_xlpm.resultado, IFERROR(INDEX([1]resposta_plan_exec!$B$2:$B$121,
                           MATCH(_xlfn.CONCAT("*", [1]analise_resposta!A324, "*"),
                                   [1]resposta_plan_exec!$C$2:$C$121, 0)), ""),
        IF(_xlpm.resultado="", "", _xlpm.resultado)))</f>
        <v/>
      </c>
      <c r="S324" s="23" t="n"/>
    </row>
    <row r="325">
      <c r="A325" t="n">
        <v>2862</v>
      </c>
      <c r="B325" s="3" t="inlineStr">
        <is>
          <t>Consulta sobre a Disponibilidade do MacBook Air M1</t>
        </is>
      </c>
      <c r="C325" s="3" t="inlineStr">
        <is>
          <t>Solicitação de Serviço</t>
        </is>
      </c>
      <c r="D325" s="3" t="inlineStr">
        <is>
          <t>Gerenciamento de Ativos de TI</t>
        </is>
      </c>
      <c r="F325" s="5">
        <f>IFERROR(INDEX([1]resposta_chat_stream!$B$2:$B$34, MATCH(_xlfn.CONCAT("*#",[1]analise_resposta!A325,"*"), [1]resposta_chat_stream!$C$2:$C$34, 0)), "")</f>
        <v/>
      </c>
      <c r="G325" s="6">
        <f>IF(E325&lt;&gt;"", IF(AND(C325=E325, D325=F325), "ACERTOU", IF(OR(C325=E325, D325=F325, C325=F325, D325=E325), "PARCIALMENTE", IF(OR(E325="Não há recomendação", F325="Não há recomendação", E325="SEM RECOMENDAÇÃO", F325="SEM RECOMENDAÇÃO"), "NÃO RECOMENDOU", "ERROU"))), "")</f>
        <v/>
      </c>
      <c r="H325" s="20">
        <f>IFERROR(INDEX([1]reposta_chat!$A$2:$A$121, MATCH(_xlfn.CONCAT("*#",[1]analise_resposta!A325,"*"), [1]reposta_chat!$C$2:$C$121, 0)), "")</f>
        <v/>
      </c>
      <c r="I325" s="20">
        <f>IFERROR(INDEX([1]reposta_chat!$B$2:$B$121, MATCH(_xlfn.CONCAT("*#",[1]analise_resposta!A325,"*"), [1]reposta_chat!$C$2:$C$121, 0)), "")</f>
        <v/>
      </c>
      <c r="J325" s="20">
        <f>IF(H325&lt;&gt;"", IF(AND(C325=H325, D325=I325), "ACERTOU", IF(OR(C325=H325, D325=I325, C325=I325, D325=H325), "PARCIALMENTE", IF(OR(H325="Não há recomendação", I325="Não há recomendação", H325="SEM RECOMENDAÇÃO", I325="SEM RECOMENDAÇÃO"), "NÃO RECOMENDOU", "ERROU"))), "")</f>
        <v/>
      </c>
      <c r="K325" s="21">
        <f>IFERROR(INDEX([1]resposta_rag!$A$2:$A$33, MATCH(_xlfn.CONCAT("*#",[1]analise_resposta!A325,"*"), [1]resposta_rag!$C$2:$C$33, 0)), "")</f>
        <v/>
      </c>
      <c r="L325" s="21" t="n"/>
      <c r="M325" s="21">
        <f>IF(K325&lt;&gt;"",IF(AND(K345,D325=I325),"ACERTOU",IF(OR(C325=K325,D325=L325,C325=L325,D325=K325),"PARCIALMENTE","ERROU")),"")</f>
        <v/>
      </c>
      <c r="N325" s="22">
        <f>IFERROR(INDEX([1]respota_rag_adaptativo!$A$2:$A$853, MATCH(_xlfn.CONCAT("*#",[1]analise_resposta!A325,"*"), [1]respota_rag_adaptativo!$C$2:$C$85, 0)), "")</f>
        <v/>
      </c>
      <c r="O325" s="22" t="n"/>
      <c r="P325" s="22">
        <f>IF(N325&lt;&gt;"", IF(AND(C325=N325, D325=O325), "ACERTOU", IF(OR(C325=N325, D325=O325, C325=O325, D325=N325), "PARCIALMENTE", IF(OR(N325="Não há recomendação", O325="Não há recomendação", N325="SEM RECOMENDAÇÃO", O325="SEM RECOMENDAÇÃO"), "NÃO RECOMENDOU", "ERROU"))), "")</f>
        <v/>
      </c>
      <c r="Q325" s="23">
        <f>IFERROR(INDEX([1]resposta_plan_exec!$A$2:$A$121, MATCH(_xlfn.CONCAT("*",[1]analise_resposta!A325,"*"), [1]resposta_plan_exec!$C$2:$C$121, 0)), "")</f>
        <v/>
      </c>
      <c r="R325" s="23">
        <f>IF([1]analise_resposta!A325="", "",
    _xlfn.LET(_xlpm.resultado, IFERROR(INDEX([1]resposta_plan_exec!$B$2:$B$121,
                           MATCH(_xlfn.CONCAT("*", [1]analise_resposta!A325, "*"),
                                   [1]resposta_plan_exec!$C$2:$C$121, 0)), ""),
        IF(_xlpm.resultado="", "", _xlpm.resultado)))</f>
        <v/>
      </c>
      <c r="S325" s="23" t="n"/>
    </row>
    <row r="326">
      <c r="A326" t="n">
        <v>2864</v>
      </c>
      <c r="B326" s="3" t="inlineStr">
        <is>
          <t>Urgente: Problemas de Login Durante Apresentação Pré-Vendas</t>
        </is>
      </c>
      <c r="C326" s="3" t="inlineStr">
        <is>
          <t>Gerenciamento de Incidentes</t>
        </is>
      </c>
      <c r="D326" s="3" t="inlineStr">
        <is>
          <t>Gerenciamento de Acesso</t>
        </is>
      </c>
      <c r="F326" s="5">
        <f>IFERROR(INDEX([1]resposta_chat_stream!$B$2:$B$34, MATCH(_xlfn.CONCAT("*#",[1]analise_resposta!A326,"*"), [1]resposta_chat_stream!$C$2:$C$34, 0)), "")</f>
        <v/>
      </c>
      <c r="G326" s="6">
        <f>IF(E326&lt;&gt;"", IF(AND(C326=E326, D326=F326), "ACERTOU", IF(OR(C326=E326, D326=F326, C326=F326, D326=E326), "PARCIALMENTE", IF(OR(E326="Não há recomendação", F326="Não há recomendação", E326="SEM RECOMENDAÇÃO", F326="SEM RECOMENDAÇÃO"), "NÃO RECOMENDOU", "ERROU"))), "")</f>
        <v/>
      </c>
      <c r="H326" s="20">
        <f>IFERROR(INDEX([1]reposta_chat!$A$2:$A$121, MATCH(_xlfn.CONCAT("*#",[1]analise_resposta!A326,"*"), [1]reposta_chat!$C$2:$C$121, 0)), "")</f>
        <v/>
      </c>
      <c r="I326" s="20">
        <f>IFERROR(INDEX([1]reposta_chat!$B$2:$B$121, MATCH(_xlfn.CONCAT("*#",[1]analise_resposta!A326,"*"), [1]reposta_chat!$C$2:$C$121, 0)), "")</f>
        <v/>
      </c>
      <c r="J326" s="20">
        <f>IF(H326&lt;&gt;"", IF(AND(C326=H326, D326=I326), "ACERTOU", IF(OR(C326=H326, D326=I326, C326=I326, D326=H326), "PARCIALMENTE", IF(OR(H326="Não há recomendação", I326="Não há recomendação", H326="SEM RECOMENDAÇÃO", I326="SEM RECOMENDAÇÃO"), "NÃO RECOMENDOU", "ERROU"))), "")</f>
        <v/>
      </c>
      <c r="K326" s="21">
        <f>IFERROR(INDEX([1]resposta_rag!$A$2:$A$33, MATCH(_xlfn.CONCAT("*#",[1]analise_resposta!A326,"*"), [1]resposta_rag!$C$2:$C$33, 0)), "")</f>
        <v/>
      </c>
      <c r="L326" s="21" t="n"/>
      <c r="M326" s="21">
        <f>IF(K326&lt;&gt;"",IF(AND(K346,D326=I326),"ACERTOU",IF(OR(C326=K326,D326=L326,C326=L326,D326=K326),"PARCIALMENTE","ERROU")),"")</f>
        <v/>
      </c>
      <c r="N326" s="22">
        <f>IFERROR(INDEX([1]respota_rag_adaptativo!$A$2:$A$853, MATCH(_xlfn.CONCAT("*#",[1]analise_resposta!A326,"*"), [1]respota_rag_adaptativo!$C$2:$C$85, 0)), "")</f>
        <v/>
      </c>
      <c r="O326" s="22" t="n"/>
      <c r="P326" s="22">
        <f>IF(N326&lt;&gt;"", IF(AND(C326=N326, D326=O326), "ACERTOU", IF(OR(C326=N326, D326=O326, C326=O326, D326=N326), "PARCIALMENTE", IF(OR(N326="Não há recomendação", O326="Não há recomendação", N326="SEM RECOMENDAÇÃO", O326="SEM RECOMENDAÇÃO"), "NÃO RECOMENDOU", "ERROU"))), "")</f>
        <v/>
      </c>
      <c r="Q326" s="23">
        <f>IFERROR(INDEX([1]resposta_plan_exec!$A$2:$A$121, MATCH(_xlfn.CONCAT("*",[1]analise_resposta!A326,"*"), [1]resposta_plan_exec!$C$2:$C$121, 0)), "")</f>
        <v/>
      </c>
      <c r="R326" s="23">
        <f>IF([1]analise_resposta!A326="", "",
    _xlfn.LET(_xlpm.resultado, IFERROR(INDEX([1]resposta_plan_exec!$B$2:$B$121,
                           MATCH(_xlfn.CONCAT("*", [1]analise_resposta!A326, "*"),
                                   [1]resposta_plan_exec!$C$2:$C$121, 0)), ""),
        IF(_xlpm.resultado="", "", _xlpm.resultado)))</f>
        <v/>
      </c>
      <c r="S326" s="23" t="n"/>
    </row>
    <row r="327">
      <c r="A327" t="n">
        <v>2866</v>
      </c>
      <c r="B327" s="3" t="inlineStr">
        <is>
          <t>Problemas de Áudio no Zoom</t>
        </is>
      </c>
      <c r="C327" s="3" t="inlineStr">
        <is>
          <t>Gerenciamento de Incidentes</t>
        </is>
      </c>
      <c r="D327" s="3" t="inlineStr">
        <is>
          <t>Gerenciamento de Problemas</t>
        </is>
      </c>
      <c r="F327" s="5">
        <f>IFERROR(INDEX([1]resposta_chat_stream!$B$2:$B$34, MATCH(_xlfn.CONCAT("*#",[1]analise_resposta!A327,"*"), [1]resposta_chat_stream!$C$2:$C$34, 0)), "")</f>
        <v/>
      </c>
      <c r="G327" s="6">
        <f>IF(E327&lt;&gt;"", IF(AND(C327=E327, D327=F327), "ACERTOU", IF(OR(C327=E327, D327=F327, C327=F327, D327=E327), "PARCIALMENTE", IF(OR(E327="Não há recomendação", F327="Não há recomendação", E327="SEM RECOMENDAÇÃO", F327="SEM RECOMENDAÇÃO"), "NÃO RECOMENDOU", "ERROU"))), "")</f>
        <v/>
      </c>
      <c r="H327" s="20">
        <f>IFERROR(INDEX([1]reposta_chat!$A$2:$A$121, MATCH(_xlfn.CONCAT("*#",[1]analise_resposta!A327,"*"), [1]reposta_chat!$C$2:$C$121, 0)), "")</f>
        <v/>
      </c>
      <c r="I327" s="20">
        <f>IFERROR(INDEX([1]reposta_chat!$B$2:$B$121, MATCH(_xlfn.CONCAT("*#",[1]analise_resposta!A327,"*"), [1]reposta_chat!$C$2:$C$121, 0)), "")</f>
        <v/>
      </c>
      <c r="J327" s="20">
        <f>IF(H327&lt;&gt;"", IF(AND(C327=H327, D327=I327), "ACERTOU", IF(OR(C327=H327, D327=I327, C327=I327, D327=H327), "PARCIALMENTE", IF(OR(H327="Não há recomendação", I327="Não há recomendação", H327="SEM RECOMENDAÇÃO", I327="SEM RECOMENDAÇÃO"), "NÃO RECOMENDOU", "ERROU"))), "")</f>
        <v/>
      </c>
      <c r="K327" s="21">
        <f>IFERROR(INDEX([1]resposta_rag!$A$2:$A$33, MATCH(_xlfn.CONCAT("*#",[1]analise_resposta!A327,"*"), [1]resposta_rag!$C$2:$C$33, 0)), "")</f>
        <v/>
      </c>
      <c r="L327" s="21" t="n"/>
      <c r="M327" s="21">
        <f>IF(K327&lt;&gt;"",IF(AND(K347,D327=I327),"ACERTOU",IF(OR(C327=K327,D327=L327,C327=L327,D327=K327),"PARCIALMENTE","ERROU")),"")</f>
        <v/>
      </c>
      <c r="N327" s="22">
        <f>IFERROR(INDEX([1]respota_rag_adaptativo!$A$2:$A$853, MATCH(_xlfn.CONCAT("*#",[1]analise_resposta!A327,"*"), [1]respota_rag_adaptativo!$C$2:$C$85, 0)), "")</f>
        <v/>
      </c>
      <c r="O327" s="22" t="n"/>
      <c r="P327" s="22">
        <f>IF(N327&lt;&gt;"", IF(AND(C327=N327, D327=O327), "ACERTOU", IF(OR(C327=N327, D327=O327, C327=O327, D327=N327), "PARCIALMENTE", IF(OR(N327="Não há recomendação", O327="Não há recomendação", N327="SEM RECOMENDAÇÃO", O327="SEM RECOMENDAÇÃO"), "NÃO RECOMENDOU", "ERROU"))), "")</f>
        <v/>
      </c>
      <c r="Q327" s="23">
        <f>IFERROR(INDEX([1]resposta_plan_exec!$A$2:$A$121, MATCH(_xlfn.CONCAT("*",[1]analise_resposta!A327,"*"), [1]resposta_plan_exec!$C$2:$C$121, 0)), "")</f>
        <v/>
      </c>
      <c r="R327" s="23">
        <f>IF([1]analise_resposta!A327="", "",
    _xlfn.LET(_xlpm.resultado, IFERROR(INDEX([1]resposta_plan_exec!$B$2:$B$121,
                           MATCH(_xlfn.CONCAT("*", [1]analise_resposta!A327, "*"),
                                   [1]resposta_plan_exec!$C$2:$C$121, 0)), ""),
        IF(_xlpm.resultado="", "", _xlpm.resultado)))</f>
        <v/>
      </c>
      <c r="S327" s="23" t="n"/>
    </row>
    <row r="328">
      <c r="A328" t="n">
        <v>2870</v>
      </c>
      <c r="B328" s="3" t="inlineStr">
        <is>
          <t>Explicação Necessária sobre a Otimização de Servidores com Serviços de TI</t>
        </is>
      </c>
      <c r="C328" s="3" t="inlineStr">
        <is>
          <t>Solicitação de Serviço</t>
        </is>
      </c>
      <c r="D328" s="3" t="inlineStr">
        <is>
          <t>Gerenciamento de Capacidade</t>
        </is>
      </c>
      <c r="F328" s="5">
        <f>IFERROR(INDEX([1]resposta_chat_stream!$B$2:$B$34, MATCH(_xlfn.CONCAT("*#",[1]analise_resposta!A328,"*"), [1]resposta_chat_stream!$C$2:$C$34, 0)), "")</f>
        <v/>
      </c>
      <c r="G328" s="6">
        <f>IF(E328&lt;&gt;"", IF(AND(C328=E328, D328=F328), "ACERTOU", IF(OR(C328=E328, D328=F328, C328=F328, D328=E328), "PARCIALMENTE", IF(OR(E328="Não há recomendação", F328="Não há recomendação", E328="SEM RECOMENDAÇÃO", F328="SEM RECOMENDAÇÃO"), "NÃO RECOMENDOU", "ERROU"))), "")</f>
        <v/>
      </c>
      <c r="H328" s="20">
        <f>IFERROR(INDEX([1]reposta_chat!$A$2:$A$121, MATCH(_xlfn.CONCAT("*#",[1]analise_resposta!A328,"*"), [1]reposta_chat!$C$2:$C$121, 0)), "")</f>
        <v/>
      </c>
      <c r="I328" s="20">
        <f>IFERROR(INDEX([1]reposta_chat!$B$2:$B$121, MATCH(_xlfn.CONCAT("*#",[1]analise_resposta!A328,"*"), [1]reposta_chat!$C$2:$C$121, 0)), "")</f>
        <v/>
      </c>
      <c r="J328" s="20">
        <f>IF(H328&lt;&gt;"", IF(AND(C328=H328, D328=I328), "ACERTOU", IF(OR(C328=H328, D328=I328, C328=I328, D328=H328), "PARCIALMENTE", IF(OR(H328="Não há recomendação", I328="Não há recomendação", H328="SEM RECOMENDAÇÃO", I328="SEM RECOMENDAÇÃO"), "NÃO RECOMENDOU", "ERROU"))), "")</f>
        <v/>
      </c>
      <c r="K328" s="21">
        <f>IFERROR(INDEX([1]resposta_rag!$A$2:$A$33, MATCH(_xlfn.CONCAT("*#",[1]analise_resposta!A328,"*"), [1]resposta_rag!$C$2:$C$33, 0)), "")</f>
        <v/>
      </c>
      <c r="L328" s="21" t="n"/>
      <c r="M328" s="21">
        <f>IF(K328&lt;&gt;"",IF(AND(K348,D328=I328),"ACERTOU",IF(OR(C328=K328,D328=L328,C328=L328,D328=K328),"PARCIALMENTE","ERROU")),"")</f>
        <v/>
      </c>
      <c r="N328" s="22">
        <f>IFERROR(INDEX([1]respota_rag_adaptativo!$A$2:$A$853, MATCH(_xlfn.CONCAT("*#",[1]analise_resposta!A328,"*"), [1]respota_rag_adaptativo!$C$2:$C$85, 0)), "")</f>
        <v/>
      </c>
      <c r="O328" s="22" t="n"/>
      <c r="P328" s="22">
        <f>IF(N328&lt;&gt;"", IF(AND(C328=N328, D328=O328), "ACERTOU", IF(OR(C328=N328, D328=O328, C328=O328, D328=N328), "PARCIALMENTE", IF(OR(N328="Não há recomendação", O328="Não há recomendação", N328="SEM RECOMENDAÇÃO", O328="SEM RECOMENDAÇÃO"), "NÃO RECOMENDOU", "ERROU"))), "")</f>
        <v/>
      </c>
      <c r="Q328" s="23">
        <f>IFERROR(INDEX([1]resposta_plan_exec!$A$2:$A$121, MATCH(_xlfn.CONCAT("*",[1]analise_resposta!A328,"*"), [1]resposta_plan_exec!$C$2:$C$121, 0)), "")</f>
        <v/>
      </c>
      <c r="R328" s="23">
        <f>IF([1]analise_resposta!A328="", "",
    _xlfn.LET(_xlpm.resultado, IFERROR(INDEX([1]resposta_plan_exec!$B$2:$B$121,
                           MATCH(_xlfn.CONCAT("*", [1]analise_resposta!A328, "*"),
                                   [1]resposta_plan_exec!$C$2:$C$121, 0)), ""),
        IF(_xlpm.resultado="", "", _xlpm.resultado)))</f>
        <v/>
      </c>
      <c r="S328" s="23" t="n"/>
    </row>
    <row r="329">
      <c r="A329" t="n">
        <v>2881</v>
      </c>
      <c r="B329" s="3" t="inlineStr">
        <is>
          <t>Otimização de Custos Urgente Necessária para o Serviço AWS</t>
        </is>
      </c>
      <c r="C329" s="3" t="inlineStr">
        <is>
          <t>Gerenciamento Financeiro</t>
        </is>
      </c>
      <c r="D329" s="3" t="inlineStr">
        <is>
          <t>Gerenciamento de Incidentes</t>
        </is>
      </c>
      <c r="F329" s="5">
        <f>IFERROR(INDEX([1]resposta_chat_stream!$B$2:$B$34, MATCH(_xlfn.CONCAT("*#",[1]analise_resposta!A329,"*"), [1]resposta_chat_stream!$C$2:$C$34, 0)), "")</f>
        <v/>
      </c>
      <c r="G329" s="6">
        <f>IF(E329&lt;&gt;"", IF(AND(C329=E329, D329=F329), "ACERTOU", IF(OR(C329=E329, D329=F329, C329=F329, D329=E329), "PARCIALMENTE", IF(OR(E329="Não há recomendação", F329="Não há recomendação", E329="SEM RECOMENDAÇÃO", F329="SEM RECOMENDAÇÃO"), "NÃO RECOMENDOU", "ERROU"))), "")</f>
        <v/>
      </c>
      <c r="H329" s="20">
        <f>IFERROR(INDEX([1]reposta_chat!$A$2:$A$121, MATCH(_xlfn.CONCAT("*#",[1]analise_resposta!A329,"*"), [1]reposta_chat!$C$2:$C$121, 0)), "")</f>
        <v/>
      </c>
      <c r="I329" s="20">
        <f>IFERROR(INDEX([1]reposta_chat!$B$2:$B$121, MATCH(_xlfn.CONCAT("*#",[1]analise_resposta!A329,"*"), [1]reposta_chat!$C$2:$C$121, 0)), "")</f>
        <v/>
      </c>
      <c r="J329" s="20">
        <f>IF(H329&lt;&gt;"", IF(AND(C329=H329, D329=I329), "ACERTOU", IF(OR(C329=H329, D329=I329, C329=I329, D329=H329), "PARCIALMENTE", IF(OR(H329="Não há recomendação", I329="Não há recomendação", H329="SEM RECOMENDAÇÃO", I329="SEM RECOMENDAÇÃO"), "NÃO RECOMENDOU", "ERROU"))), "")</f>
        <v/>
      </c>
      <c r="K329" s="21">
        <f>IFERROR(INDEX([1]resposta_rag!$A$2:$A$33, MATCH(_xlfn.CONCAT("*#",[1]analise_resposta!A329,"*"), [1]resposta_rag!$C$2:$C$33, 0)), "")</f>
        <v/>
      </c>
      <c r="L329" s="21" t="n"/>
      <c r="M329" s="21">
        <f>IF(K329&lt;&gt;"",IF(AND(K349,D329=I329),"ACERTOU",IF(OR(C329=K329,D329=L329,C329=L329,D329=K329),"PARCIALMENTE","ERROU")),"")</f>
        <v/>
      </c>
      <c r="N329" s="22">
        <f>IFERROR(INDEX([1]respota_rag_adaptativo!$A$2:$A$853, MATCH(_xlfn.CONCAT("*#",[1]analise_resposta!A329,"*"), [1]respota_rag_adaptativo!$C$2:$C$85, 0)), "")</f>
        <v/>
      </c>
      <c r="O329" s="22" t="n"/>
      <c r="P329" s="22">
        <f>IF(N329&lt;&gt;"", IF(AND(C329=N329, D329=O329), "ACERTOU", IF(OR(C329=N329, D329=O329, C329=O329, D329=N329), "PARCIALMENTE", IF(OR(N329="Não há recomendação", O329="Não há recomendação", N329="SEM RECOMENDAÇÃO", O329="SEM RECOMENDAÇÃO"), "NÃO RECOMENDOU", "ERROU"))), "")</f>
        <v/>
      </c>
      <c r="Q329" s="23">
        <f>IFERROR(INDEX([1]resposta_plan_exec!$A$2:$A$121, MATCH(_xlfn.CONCAT("*",[1]analise_resposta!A329,"*"), [1]resposta_plan_exec!$C$2:$C$121, 0)), "")</f>
        <v/>
      </c>
      <c r="R329" s="23">
        <f>IF([1]analise_resposta!A329="", "",
    _xlfn.LET(_xlpm.resultado, IFERROR(INDEX([1]resposta_plan_exec!$B$2:$B$121,
                           MATCH(_xlfn.CONCAT("*", [1]analise_resposta!A329, "*"),
                                   [1]resposta_plan_exec!$C$2:$C$121, 0)), ""),
        IF(_xlpm.resultado="", "", _xlpm.resultado)))</f>
        <v/>
      </c>
      <c r="S329" s="23" t="n"/>
    </row>
    <row r="330">
      <c r="A330" t="n">
        <v>2883</v>
      </c>
      <c r="B330" s="3" t="inlineStr">
        <is>
          <t>Necessidade de Assistência Imediata: Dificuldades de Ativação com Kaspersky Internet Security 2024 para o Usuário &lt;name&gt;</t>
        </is>
      </c>
      <c r="C330" s="3" t="inlineStr">
        <is>
          <t>Gerenciamento de Incidentes</t>
        </is>
      </c>
      <c r="D330" s="3" t="inlineStr">
        <is>
          <t>Gerenciamento de Problemas</t>
        </is>
      </c>
      <c r="F330" s="5">
        <f>IFERROR(INDEX([1]resposta_chat_stream!$B$2:$B$34, MATCH(_xlfn.CONCAT("*#",[1]analise_resposta!A330,"*"), [1]resposta_chat_stream!$C$2:$C$34, 0)), "")</f>
        <v/>
      </c>
      <c r="G330" s="6">
        <f>IF(E330&lt;&gt;"", IF(AND(C330=E330, D330=F330), "ACERTOU", IF(OR(C330=E330, D330=F330, C330=F330, D330=E330), "PARCIALMENTE", IF(OR(E330="Não há recomendação", F330="Não há recomendação", E330="SEM RECOMENDAÇÃO", F330="SEM RECOMENDAÇÃO"), "NÃO RECOMENDOU", "ERROU"))), "")</f>
        <v/>
      </c>
      <c r="H330" s="20">
        <f>IFERROR(INDEX([1]reposta_chat!$A$2:$A$121, MATCH(_xlfn.CONCAT("*#",[1]analise_resposta!A330,"*"), [1]reposta_chat!$C$2:$C$121, 0)), "")</f>
        <v/>
      </c>
      <c r="I330" s="20">
        <f>IFERROR(INDEX([1]reposta_chat!$B$2:$B$121, MATCH(_xlfn.CONCAT("*#",[1]analise_resposta!A330,"*"), [1]reposta_chat!$C$2:$C$121, 0)), "")</f>
        <v/>
      </c>
      <c r="J330" s="20">
        <f>IF(H330&lt;&gt;"", IF(AND(C330=H330, D330=I330), "ACERTOU", IF(OR(C330=H330, D330=I330, C330=I330, D330=H330), "PARCIALMENTE", IF(OR(H330="Não há recomendação", I330="Não há recomendação", H330="SEM RECOMENDAÇÃO", I330="SEM RECOMENDAÇÃO"), "NÃO RECOMENDOU", "ERROU"))), "")</f>
        <v/>
      </c>
      <c r="K330" s="21">
        <f>IFERROR(INDEX([1]resposta_rag!$A$2:$A$33, MATCH(_xlfn.CONCAT("*#",[1]analise_resposta!A330,"*"), [1]resposta_rag!$C$2:$C$33, 0)), "")</f>
        <v/>
      </c>
      <c r="L330" s="21" t="n"/>
      <c r="M330" s="21">
        <f>IF(K330&lt;&gt;"",IF(AND(K350,D330=I330),"ACERTOU",IF(OR(C330=K330,D330=L330,C330=L330,D330=K330),"PARCIALMENTE","ERROU")),"")</f>
        <v/>
      </c>
      <c r="N330" s="22">
        <f>IFERROR(INDEX([1]respota_rag_adaptativo!$A$2:$A$853, MATCH(_xlfn.CONCAT("*#",[1]analise_resposta!A330,"*"), [1]respota_rag_adaptativo!$C$2:$C$85, 0)), "")</f>
        <v/>
      </c>
      <c r="O330" s="22" t="n"/>
      <c r="P330" s="22">
        <f>IF(N330&lt;&gt;"", IF(AND(C330=N330, D330=O330), "ACERTOU", IF(OR(C330=N330, D330=O330, C330=O330, D330=N330), "PARCIALMENTE", IF(OR(N330="Não há recomendação", O330="Não há recomendação", N330="SEM RECOMENDAÇÃO", O330="SEM RECOMENDAÇÃO"), "NÃO RECOMENDOU", "ERROU"))), "")</f>
        <v/>
      </c>
      <c r="Q330" s="23">
        <f>IFERROR(INDEX([1]resposta_plan_exec!$A$2:$A$121, MATCH(_xlfn.CONCAT("*",[1]analise_resposta!A330,"*"), [1]resposta_plan_exec!$C$2:$C$121, 0)), "")</f>
        <v/>
      </c>
      <c r="R330" s="23">
        <f>IF([1]analise_resposta!A330="", "",
    _xlfn.LET(_xlpm.resultado, IFERROR(INDEX([1]resposta_plan_exec!$B$2:$B$121,
                           MATCH(_xlfn.CONCAT("*", [1]analise_resposta!A330, "*"),
                                   [1]resposta_plan_exec!$C$2:$C$121, 0)), ""),
        IF(_xlpm.resultado="", "", _xlpm.resultado)))</f>
        <v/>
      </c>
      <c r="S330" s="23" t="n"/>
    </row>
    <row r="331">
      <c r="A331" t="n">
        <v>2890</v>
      </c>
      <c r="B331" s="3" t="inlineStr">
        <is>
          <t>Pedido de Assistência em Consultoria de TI</t>
        </is>
      </c>
      <c r="C331" s="3" t="inlineStr">
        <is>
          <t>Solicitação de Serviço</t>
        </is>
      </c>
      <c r="D331" s="3" t="inlineStr">
        <is>
          <t>Gerenciamento de Nível de Serviço</t>
        </is>
      </c>
      <c r="F331" s="5">
        <f>IFERROR(INDEX([1]resposta_chat_stream!$B$2:$B$34, MATCH(_xlfn.CONCAT("*#",[1]analise_resposta!A331,"*"), [1]resposta_chat_stream!$C$2:$C$34, 0)), "")</f>
        <v/>
      </c>
      <c r="G331" s="6">
        <f>IF(E331&lt;&gt;"", IF(AND(C331=E331, D331=F331), "ACERTOU", IF(OR(C331=E331, D331=F331, C331=F331, D331=E331), "PARCIALMENTE", IF(OR(E331="Não há recomendação", F331="Não há recomendação", E331="SEM RECOMENDAÇÃO", F331="SEM RECOMENDAÇÃO"), "NÃO RECOMENDOU", "ERROU"))), "")</f>
        <v/>
      </c>
      <c r="H331" s="20">
        <f>IFERROR(INDEX([1]reposta_chat!$A$2:$A$121, MATCH(_xlfn.CONCAT("*#",[1]analise_resposta!A331,"*"), [1]reposta_chat!$C$2:$C$121, 0)), "")</f>
        <v/>
      </c>
      <c r="I331" s="20">
        <f>IFERROR(INDEX([1]reposta_chat!$B$2:$B$121, MATCH(_xlfn.CONCAT("*#",[1]analise_resposta!A331,"*"), [1]reposta_chat!$C$2:$C$121, 0)), "")</f>
        <v/>
      </c>
      <c r="J331" s="20">
        <f>IF(H331&lt;&gt;"", IF(AND(C331=H331, D331=I331), "ACERTOU", IF(OR(C331=H331, D331=I331, C331=I331, D331=H331), "PARCIALMENTE", IF(OR(H331="Não há recomendação", I331="Não há recomendação", H331="SEM RECOMENDAÇÃO", I331="SEM RECOMENDAÇÃO"), "NÃO RECOMENDOU", "ERROU"))), "")</f>
        <v/>
      </c>
      <c r="K331" s="21">
        <f>IFERROR(INDEX([1]resposta_rag!$A$2:$A$33, MATCH(_xlfn.CONCAT("*#",[1]analise_resposta!A331,"*"), [1]resposta_rag!$C$2:$C$33, 0)), "")</f>
        <v/>
      </c>
      <c r="L331" s="21" t="n"/>
      <c r="M331" s="21">
        <f>IF(K331&lt;&gt;"",IF(AND(K351,D331=I331),"ACERTOU",IF(OR(C331=K331,D331=L331,C331=L331,D331=K331),"PARCIALMENTE","ERROU")),"")</f>
        <v/>
      </c>
      <c r="N331" s="22">
        <f>IFERROR(INDEX([1]respota_rag_adaptativo!$A$2:$A$853, MATCH(_xlfn.CONCAT("*#",[1]analise_resposta!A331,"*"), [1]respota_rag_adaptativo!$C$2:$C$85, 0)), "")</f>
        <v/>
      </c>
      <c r="O331" s="22" t="n"/>
      <c r="P331" s="22">
        <f>IF(N331&lt;&gt;"", IF(AND(C331=N331, D331=O331), "ACERTOU", IF(OR(C331=N331, D331=O331, C331=O331, D331=N331), "PARCIALMENTE", IF(OR(N331="Não há recomendação", O331="Não há recomendação", N331="SEM RECOMENDAÇÃO", O331="SEM RECOMENDAÇÃO"), "NÃO RECOMENDOU", "ERROU"))), "")</f>
        <v/>
      </c>
      <c r="Q331" s="23">
        <f>IFERROR(INDEX([1]resposta_plan_exec!$A$2:$A$121, MATCH(_xlfn.CONCAT("*",[1]analise_resposta!A331,"*"), [1]resposta_plan_exec!$C$2:$C$121, 0)), "")</f>
        <v/>
      </c>
      <c r="R331" s="23">
        <f>IF([1]analise_resposta!A331="", "",
    _xlfn.LET(_xlpm.resultado, IFERROR(INDEX([1]resposta_plan_exec!$B$2:$B$121,
                           MATCH(_xlfn.CONCAT("*", [1]analise_resposta!A331, "*"),
                                   [1]resposta_plan_exec!$C$2:$C$121, 0)), ""),
        IF(_xlpm.resultado="", "", _xlpm.resultado)))</f>
        <v/>
      </c>
      <c r="S331" s="23" t="n"/>
    </row>
    <row r="332">
      <c r="A332" t="n">
        <v>2892</v>
      </c>
      <c r="B332" s="3" t="inlineStr">
        <is>
          <t>Solicitação de Suporte de Configuração de Alta Prioridade</t>
        </is>
      </c>
      <c r="C332" s="3" t="inlineStr">
        <is>
          <t>Gerenciamento de Incidentes</t>
        </is>
      </c>
      <c r="D332" s="3" t="inlineStr">
        <is>
          <t>Gerenciamento de Mudanças</t>
        </is>
      </c>
      <c r="F332" s="5">
        <f>IFERROR(INDEX([1]resposta_chat_stream!$B$2:$B$34, MATCH(_xlfn.CONCAT("*#",[1]analise_resposta!A332,"*"), [1]resposta_chat_stream!$C$2:$C$34, 0)), "")</f>
        <v/>
      </c>
      <c r="G332" s="6">
        <f>IF(E332&lt;&gt;"", IF(AND(C332=E332, D332=F332), "ACERTOU", IF(OR(C332=E332, D332=F332, C332=F332, D332=E332), "PARCIALMENTE", IF(OR(E332="Não há recomendação", F332="Não há recomendação", E332="SEM RECOMENDAÇÃO", F332="SEM RECOMENDAÇÃO"), "NÃO RECOMENDOU", "ERROU"))), "")</f>
        <v/>
      </c>
      <c r="H332" s="20">
        <f>IFERROR(INDEX([1]reposta_chat!$A$2:$A$121, MATCH(_xlfn.CONCAT("*#",[1]analise_resposta!A332,"*"), [1]reposta_chat!$C$2:$C$121, 0)), "")</f>
        <v/>
      </c>
      <c r="I332" s="20">
        <f>IFERROR(INDEX([1]reposta_chat!$B$2:$B$121, MATCH(_xlfn.CONCAT("*#",[1]analise_resposta!A332,"*"), [1]reposta_chat!$C$2:$C$121, 0)), "")</f>
        <v/>
      </c>
      <c r="J332" s="20">
        <f>IF(H332&lt;&gt;"", IF(AND(C332=H332, D332=I332), "ACERTOU", IF(OR(C332=H332, D332=I332, C332=I332, D332=H332), "PARCIALMENTE", IF(OR(H332="Não há recomendação", I332="Não há recomendação", H332="SEM RECOMENDAÇÃO", I332="SEM RECOMENDAÇÃO"), "NÃO RECOMENDOU", "ERROU"))), "")</f>
        <v/>
      </c>
      <c r="K332" s="21">
        <f>IFERROR(INDEX([1]resposta_rag!$A$2:$A$33, MATCH(_xlfn.CONCAT("*#",[1]analise_resposta!A332,"*"), [1]resposta_rag!$C$2:$C$33, 0)), "")</f>
        <v/>
      </c>
      <c r="L332" s="21" t="n"/>
      <c r="M332" s="21">
        <f>IF(K332&lt;&gt;"",IF(AND(K352,D332=I332),"ACERTOU",IF(OR(C332=K332,D332=L332,C332=L332,D332=K332),"PARCIALMENTE","ERROU")),"")</f>
        <v/>
      </c>
      <c r="N332" s="22">
        <f>IFERROR(INDEX([1]respota_rag_adaptativo!$A$2:$A$853, MATCH(_xlfn.CONCAT("*#",[1]analise_resposta!A332,"*"), [1]respota_rag_adaptativo!$C$2:$C$85, 0)), "")</f>
        <v/>
      </c>
      <c r="O332" s="22" t="n"/>
      <c r="P332" s="22">
        <f>IF(N332&lt;&gt;"", IF(AND(C332=N332, D332=O332), "ACERTOU", IF(OR(C332=N332, D332=O332, C332=O332, D332=N332), "PARCIALMENTE", IF(OR(N332="Não há recomendação", O332="Não há recomendação", N332="SEM RECOMENDAÇÃO", O332="SEM RECOMENDAÇÃO"), "NÃO RECOMENDOU", "ERROU"))), "")</f>
        <v/>
      </c>
      <c r="Q332" s="23">
        <f>IFERROR(INDEX([1]resposta_plan_exec!$A$2:$A$121, MATCH(_xlfn.CONCAT("*",[1]analise_resposta!A332,"*"), [1]resposta_plan_exec!$C$2:$C$121, 0)), "")</f>
        <v/>
      </c>
      <c r="R332" s="23">
        <f>IF([1]analise_resposta!A332="", "",
    _xlfn.LET(_xlpm.resultado, IFERROR(INDEX([1]resposta_plan_exec!$B$2:$B$121,
                           MATCH(_xlfn.CONCAT("*", [1]analise_resposta!A332, "*"),
                                   [1]resposta_plan_exec!$C$2:$C$121, 0)), ""),
        IF(_xlpm.resultado="", "", _xlpm.resultado)))</f>
        <v/>
      </c>
      <c r="S332" s="23" t="n"/>
    </row>
    <row r="333">
      <c r="A333" t="n">
        <v>2913</v>
      </c>
      <c r="B333" s="3" t="inlineStr">
        <is>
          <t>Solicitação de Feedback sobre o Desempenho do Servidor</t>
        </is>
      </c>
      <c r="C333" s="3" t="inlineStr">
        <is>
          <t>Solicitação de Serviço</t>
        </is>
      </c>
      <c r="D333" s="3" t="inlineStr">
        <is>
          <t>Gerenciamento de Nível de Serviço</t>
        </is>
      </c>
      <c r="F333" s="5">
        <f>IFERROR(INDEX([1]resposta_chat_stream!$B$2:$B$34, MATCH(_xlfn.CONCAT("*#",[1]analise_resposta!A333,"*"), [1]resposta_chat_stream!$C$2:$C$34, 0)), "")</f>
        <v/>
      </c>
      <c r="G333" s="6">
        <f>IF(E333&lt;&gt;"", IF(AND(C333=E333, D333=F333), "ACERTOU", IF(OR(C333=E333, D333=F333, C333=F333, D333=E333), "PARCIALMENTE", IF(OR(E333="Não há recomendação", F333="Não há recomendação", E333="SEM RECOMENDAÇÃO", F333="SEM RECOMENDAÇÃO"), "NÃO RECOMENDOU", "ERROU"))), "")</f>
        <v/>
      </c>
      <c r="H333" s="20">
        <f>IFERROR(INDEX([1]reposta_chat!$A$2:$A$121, MATCH(_xlfn.CONCAT("*#",[1]analise_resposta!A333,"*"), [1]reposta_chat!$C$2:$C$121, 0)), "")</f>
        <v/>
      </c>
      <c r="I333" s="20">
        <f>IFERROR(INDEX([1]reposta_chat!$B$2:$B$121, MATCH(_xlfn.CONCAT("*#",[1]analise_resposta!A333,"*"), [1]reposta_chat!$C$2:$C$121, 0)), "")</f>
        <v/>
      </c>
      <c r="J333" s="20">
        <f>IF(H333&lt;&gt;"", IF(AND(C333=H333, D333=I333), "ACERTOU", IF(OR(C333=H333, D333=I333, C333=I333, D333=H333), "PARCIALMENTE", IF(OR(H333="Não há recomendação", I333="Não há recomendação", H333="SEM RECOMENDAÇÃO", I333="SEM RECOMENDAÇÃO"), "NÃO RECOMENDOU", "ERROU"))), "")</f>
        <v/>
      </c>
      <c r="K333" s="21">
        <f>IFERROR(INDEX([1]resposta_rag!$A$2:$A$33, MATCH(_xlfn.CONCAT("*#",[1]analise_resposta!A333,"*"), [1]resposta_rag!$C$2:$C$33, 0)), "")</f>
        <v/>
      </c>
      <c r="L333" s="21" t="n"/>
      <c r="M333" s="21">
        <f>IF(K333&lt;&gt;"",IF(AND(K353,D333=I333),"ACERTOU",IF(OR(C333=K333,D333=L333,C333=L333,D333=K333),"PARCIALMENTE","ERROU")),"")</f>
        <v/>
      </c>
      <c r="N333" s="22">
        <f>IFERROR(INDEX([1]respota_rag_adaptativo!$A$2:$A$853, MATCH(_xlfn.CONCAT("*#",[1]analise_resposta!A333,"*"), [1]respota_rag_adaptativo!$C$2:$C$85, 0)), "")</f>
        <v/>
      </c>
      <c r="O333" s="22" t="n"/>
      <c r="P333" s="22">
        <f>IF(N333&lt;&gt;"", IF(AND(C333=N333, D333=O333), "ACERTOU", IF(OR(C333=N333, D333=O333, C333=O333, D333=N333), "PARCIALMENTE", IF(OR(N333="Não há recomendação", O333="Não há recomendação", N333="SEM RECOMENDAÇÃO", O333="SEM RECOMENDAÇÃO"), "NÃO RECOMENDOU", "ERROU"))), "")</f>
        <v/>
      </c>
      <c r="Q333" s="23">
        <f>IFERROR(INDEX([1]resposta_plan_exec!$A$2:$A$121, MATCH(_xlfn.CONCAT("*",[1]analise_resposta!A333,"*"), [1]resposta_plan_exec!$C$2:$C$121, 0)), "")</f>
        <v/>
      </c>
      <c r="R333" s="23">
        <f>IF([1]analise_resposta!A333="", "",
    _xlfn.LET(_xlpm.resultado, IFERROR(INDEX([1]resposta_plan_exec!$B$2:$B$121,
                           MATCH(_xlfn.CONCAT("*", [1]analise_resposta!A333, "*"),
                                   [1]resposta_plan_exec!$C$2:$C$121, 0)), ""),
        IF(_xlpm.resultado="", "", _xlpm.resultado)))</f>
        <v/>
      </c>
      <c r="S333" s="23" t="n"/>
    </row>
    <row r="334">
      <c r="A334" t="n">
        <v>2915</v>
      </c>
      <c r="B334" s="3" t="inlineStr">
        <is>
          <t>Problema de Faturamento</t>
        </is>
      </c>
      <c r="C334" s="3" t="inlineStr">
        <is>
          <t>Gerenciamento Financeiro</t>
        </is>
      </c>
      <c r="D334" s="3" t="inlineStr">
        <is>
          <t>Gerenciamento de Nível de Serviço</t>
        </is>
      </c>
      <c r="F334" s="5">
        <f>IFERROR(INDEX([1]resposta_chat_stream!$B$2:$B$34, MATCH(_xlfn.CONCAT("*#",[1]analise_resposta!A334,"*"), [1]resposta_chat_stream!$C$2:$C$34, 0)), "")</f>
        <v/>
      </c>
      <c r="G334" s="6">
        <f>IF(E334&lt;&gt;"", IF(AND(C334=E334, D334=F334), "ACERTOU", IF(OR(C334=E334, D334=F334, C334=F334, D334=E334), "PARCIALMENTE", IF(OR(E334="Não há recomendação", F334="Não há recomendação", E334="SEM RECOMENDAÇÃO", F334="SEM RECOMENDAÇÃO"), "NÃO RECOMENDOU", "ERROU"))), "")</f>
        <v/>
      </c>
      <c r="H334" s="20">
        <f>IFERROR(INDEX([1]reposta_chat!$A$2:$A$121, MATCH(_xlfn.CONCAT("*#",[1]analise_resposta!A334,"*"), [1]reposta_chat!$C$2:$C$121, 0)), "")</f>
        <v/>
      </c>
      <c r="I334" s="20">
        <f>IFERROR(INDEX([1]reposta_chat!$B$2:$B$121, MATCH(_xlfn.CONCAT("*#",[1]analise_resposta!A334,"*"), [1]reposta_chat!$C$2:$C$121, 0)), "")</f>
        <v/>
      </c>
      <c r="J334" s="20">
        <f>IF(H334&lt;&gt;"", IF(AND(C334=H334, D334=I334), "ACERTOU", IF(OR(C334=H334, D334=I334, C334=I334, D334=H334), "PARCIALMENTE", IF(OR(H334="Não há recomendação", I334="Não há recomendação", H334="SEM RECOMENDAÇÃO", I334="SEM RECOMENDAÇÃO"), "NÃO RECOMENDOU", "ERROU"))), "")</f>
        <v/>
      </c>
      <c r="K334" s="21">
        <f>IFERROR(INDEX([1]resposta_rag!$A$2:$A$33, MATCH(_xlfn.CONCAT("*#",[1]analise_resposta!A334,"*"), [1]resposta_rag!$C$2:$C$33, 0)), "")</f>
        <v/>
      </c>
      <c r="L334" s="21" t="n"/>
      <c r="M334" s="21">
        <f>IF(K334&lt;&gt;"",IF(AND(K354,D334=I334),"ACERTOU",IF(OR(C334=K334,D334=L334,C334=L334,D334=K334),"PARCIALMENTE","ERROU")),"")</f>
        <v/>
      </c>
      <c r="N334" s="22">
        <f>IFERROR(INDEX([1]respota_rag_adaptativo!$A$2:$A$853, MATCH(_xlfn.CONCAT("*#",[1]analise_resposta!A334,"*"), [1]respota_rag_adaptativo!$C$2:$C$85, 0)), "")</f>
        <v/>
      </c>
      <c r="O334" s="22" t="n"/>
      <c r="P334" s="22">
        <f>IF(N334&lt;&gt;"", IF(AND(C334=N334, D334=O334), "ACERTOU", IF(OR(C334=N334, D334=O334, C334=O334, D334=N334), "PARCIALMENTE", IF(OR(N334="Não há recomendação", O334="Não há recomendação", N334="SEM RECOMENDAÇÃO", O334="SEM RECOMENDAÇÃO"), "NÃO RECOMENDOU", "ERROU"))), "")</f>
        <v/>
      </c>
      <c r="Q334" s="23">
        <f>IFERROR(INDEX([1]resposta_plan_exec!$A$2:$A$121, MATCH(_xlfn.CONCAT("*",[1]analise_resposta!A334,"*"), [1]resposta_plan_exec!$C$2:$C$121, 0)), "")</f>
        <v/>
      </c>
      <c r="R334" s="23">
        <f>IF([1]analise_resposta!A334="", "",
    _xlfn.LET(_xlpm.resultado, IFERROR(INDEX([1]resposta_plan_exec!$B$2:$B$121,
                           MATCH(_xlfn.CONCAT("*", [1]analise_resposta!A334, "*"),
                                   [1]resposta_plan_exec!$C$2:$C$121, 0)), ""),
        IF(_xlpm.resultado="", "", _xlpm.resultado)))</f>
        <v/>
      </c>
      <c r="S334" s="23" t="n"/>
    </row>
    <row r="335">
      <c r="A335" t="n">
        <v>2926</v>
      </c>
      <c r="B335" s="3" t="inlineStr">
        <is>
          <t>Solicitação de Orientação: Implementação Eficiente da Administração de Servidores</t>
        </is>
      </c>
      <c r="C335" s="3" t="inlineStr">
        <is>
          <t>Solicitação de Serviço</t>
        </is>
      </c>
      <c r="D335" s="3" t="inlineStr">
        <is>
          <t>Gerenciamento de Capacidade</t>
        </is>
      </c>
      <c r="F335" s="5">
        <f>IFERROR(INDEX([1]resposta_chat_stream!$B$2:$B$34, MATCH(_xlfn.CONCAT("*#",[1]analise_resposta!A335,"*"), [1]resposta_chat_stream!$C$2:$C$34, 0)), "")</f>
        <v/>
      </c>
      <c r="G335" s="6">
        <f>IF(E335&lt;&gt;"", IF(AND(C335=E335, D335=F335), "ACERTOU", IF(OR(C335=E335, D335=F335, C335=F335, D335=E335), "PARCIALMENTE", IF(OR(E335="Não há recomendação", F335="Não há recomendação", E335="SEM RECOMENDAÇÃO", F335="SEM RECOMENDAÇÃO"), "NÃO RECOMENDOU", "ERROU"))), "")</f>
        <v/>
      </c>
      <c r="H335" s="20">
        <f>IFERROR(INDEX([1]reposta_chat!$A$2:$A$121, MATCH(_xlfn.CONCAT("*#",[1]analise_resposta!A335,"*"), [1]reposta_chat!$C$2:$C$121, 0)), "")</f>
        <v/>
      </c>
      <c r="I335" s="20">
        <f>IFERROR(INDEX([1]reposta_chat!$B$2:$B$121, MATCH(_xlfn.CONCAT("*#",[1]analise_resposta!A335,"*"), [1]reposta_chat!$C$2:$C$121, 0)), "")</f>
        <v/>
      </c>
      <c r="J335" s="20">
        <f>IF(H335&lt;&gt;"", IF(AND(C335=H335, D335=I335), "ACERTOU", IF(OR(C335=H335, D335=I335, C335=I335, D335=H335), "PARCIALMENTE", IF(OR(H335="Não há recomendação", I335="Não há recomendação", H335="SEM RECOMENDAÇÃO", I335="SEM RECOMENDAÇÃO"), "NÃO RECOMENDOU", "ERROU"))), "")</f>
        <v/>
      </c>
      <c r="K335" s="21">
        <f>IFERROR(INDEX([1]resposta_rag!$A$2:$A$33, MATCH(_xlfn.CONCAT("*#",[1]analise_resposta!A335,"*"), [1]resposta_rag!$C$2:$C$33, 0)), "")</f>
        <v/>
      </c>
      <c r="L335" s="21" t="n"/>
      <c r="M335" s="21">
        <f>IF(K335&lt;&gt;"",IF(AND(K355,D335=I335),"ACERTOU",IF(OR(C335=K335,D335=L335,C335=L335,D335=K335),"PARCIALMENTE","ERROU")),"")</f>
        <v/>
      </c>
      <c r="N335" s="22">
        <f>IFERROR(INDEX([1]respota_rag_adaptativo!$A$2:$A$853, MATCH(_xlfn.CONCAT("*#",[1]analise_resposta!A335,"*"), [1]respota_rag_adaptativo!$C$2:$C$85, 0)), "")</f>
        <v/>
      </c>
      <c r="O335" s="22" t="n"/>
      <c r="P335" s="22">
        <f>IF(N335&lt;&gt;"", IF(AND(C335=N335, D335=O335), "ACERTOU", IF(OR(C335=N335, D335=O335, C335=O335, D335=N335), "PARCIALMENTE", IF(OR(N335="Não há recomendação", O335="Não há recomendação", N335="SEM RECOMENDAÇÃO", O335="SEM RECOMENDAÇÃO"), "NÃO RECOMENDOU", "ERROU"))), "")</f>
        <v/>
      </c>
      <c r="Q335" s="23">
        <f>IFERROR(INDEX([1]resposta_plan_exec!$A$2:$A$121, MATCH(_xlfn.CONCAT("*",[1]analise_resposta!A335,"*"), [1]resposta_plan_exec!$C$2:$C$121, 0)), "")</f>
        <v/>
      </c>
      <c r="R335" s="23">
        <f>IF([1]analise_resposta!A335="", "",
    _xlfn.LET(_xlpm.resultado, IFERROR(INDEX([1]resposta_plan_exec!$B$2:$B$121,
                           MATCH(_xlfn.CONCAT("*", [1]analise_resposta!A335, "*"),
                                   [1]resposta_plan_exec!$C$2:$C$121, 0)), ""),
        IF(_xlpm.resultado="", "", _xlpm.resultado)))</f>
        <v/>
      </c>
      <c r="S335" s="23" t="n"/>
    </row>
    <row r="336">
      <c r="A336" t="n">
        <v>2946</v>
      </c>
      <c r="B336" s="3" t="inlineStr">
        <is>
          <t>Solicitação de Atualização das Ferramentas de Design</t>
        </is>
      </c>
      <c r="C336" s="3" t="inlineStr">
        <is>
          <t>Solicitação de Serviço</t>
        </is>
      </c>
      <c r="D336" s="3" t="inlineStr">
        <is>
          <t>Gerenciamento de Ativos de TI</t>
        </is>
      </c>
      <c r="F336" s="5">
        <f>IFERROR(INDEX([1]resposta_chat_stream!$B$2:$B$34, MATCH(_xlfn.CONCAT("*#",[1]analise_resposta!A336,"*"), [1]resposta_chat_stream!$C$2:$C$34, 0)), "")</f>
        <v/>
      </c>
      <c r="G336" s="6">
        <f>IF(E336&lt;&gt;"", IF(AND(C336=E336, D336=F336), "ACERTOU", IF(OR(C336=E336, D336=F336, C336=F336, D336=E336), "PARCIALMENTE", IF(OR(E336="Não há recomendação", F336="Não há recomendação", E336="SEM RECOMENDAÇÃO", F336="SEM RECOMENDAÇÃO"), "NÃO RECOMENDOU", "ERROU"))), "")</f>
        <v/>
      </c>
      <c r="H336" s="20">
        <f>IFERROR(INDEX([1]reposta_chat!$A$2:$A$121, MATCH(_xlfn.CONCAT("*#",[1]analise_resposta!A336,"*"), [1]reposta_chat!$C$2:$C$121, 0)), "")</f>
        <v/>
      </c>
      <c r="I336" s="20">
        <f>IFERROR(INDEX([1]reposta_chat!$B$2:$B$121, MATCH(_xlfn.CONCAT("*#",[1]analise_resposta!A336,"*"), [1]reposta_chat!$C$2:$C$121, 0)), "")</f>
        <v/>
      </c>
      <c r="J336" s="20">
        <f>IF(H336&lt;&gt;"", IF(AND(C336=H336, D336=I336), "ACERTOU", IF(OR(C336=H336, D336=I336, C336=I336, D336=H336), "PARCIALMENTE", IF(OR(H336="Não há recomendação", I336="Não há recomendação", H336="SEM RECOMENDAÇÃO", I336="SEM RECOMENDAÇÃO"), "NÃO RECOMENDOU", "ERROU"))), "")</f>
        <v/>
      </c>
      <c r="K336" s="21">
        <f>IFERROR(INDEX([1]resposta_rag!$A$2:$A$33, MATCH(_xlfn.CONCAT("*#",[1]analise_resposta!A336,"*"), [1]resposta_rag!$C$2:$C$33, 0)), "")</f>
        <v/>
      </c>
      <c r="L336" s="21" t="n"/>
      <c r="M336" s="21">
        <f>IF(K336&lt;&gt;"",IF(AND(K356,D336=I336),"ACERTOU",IF(OR(C336=K336,D336=L336,C336=L336,D336=K336),"PARCIALMENTE","ERROU")),"")</f>
        <v/>
      </c>
      <c r="N336" s="22">
        <f>IFERROR(INDEX([1]respota_rag_adaptativo!$A$2:$A$853, MATCH(_xlfn.CONCAT("*#",[1]analise_resposta!A336,"*"), [1]respota_rag_adaptativo!$C$2:$C$85, 0)), "")</f>
        <v/>
      </c>
      <c r="O336" s="22" t="n"/>
      <c r="P336" s="22">
        <f>IF(N336&lt;&gt;"", IF(AND(C336=N336, D336=O336), "ACERTOU", IF(OR(C336=N336, D336=O336, C336=O336, D336=N336), "PARCIALMENTE", IF(OR(N336="Não há recomendação", O336="Não há recomendação", N336="SEM RECOMENDAÇÃO", O336="SEM RECOMENDAÇÃO"), "NÃO RECOMENDOU", "ERROU"))), "")</f>
        <v/>
      </c>
      <c r="Q336" s="23">
        <f>IFERROR(INDEX([1]resposta_plan_exec!$A$2:$A$121, MATCH(_xlfn.CONCAT("*",[1]analise_resposta!A336,"*"), [1]resposta_plan_exec!$C$2:$C$121, 0)), "")</f>
        <v/>
      </c>
      <c r="R336" s="23">
        <f>IF([1]analise_resposta!A336="", "",
    _xlfn.LET(_xlpm.resultado, IFERROR(INDEX([1]resposta_plan_exec!$B$2:$B$121,
                           MATCH(_xlfn.CONCAT("*", [1]analise_resposta!A336, "*"),
                                   [1]resposta_plan_exec!$C$2:$C$121, 0)), ""),
        IF(_xlpm.resultado="", "", _xlpm.resultado)))</f>
        <v/>
      </c>
      <c r="S336" s="23" t="n"/>
    </row>
    <row r="337">
      <c r="A337" t="n">
        <v>2960</v>
      </c>
      <c r="B337" s="3" t="inlineStr">
        <is>
          <t>Solicitação de Troca da Canon PIXMA MG3620</t>
        </is>
      </c>
      <c r="C337" s="3" t="inlineStr">
        <is>
          <t>Solicitação de Serviço</t>
        </is>
      </c>
      <c r="D337" s="3" t="inlineStr">
        <is>
          <t>Gerenciamento de Ativos de TI</t>
        </is>
      </c>
      <c r="F337" s="5">
        <f>IFERROR(INDEX([1]resposta_chat_stream!$B$2:$B$34, MATCH(_xlfn.CONCAT("*#",[1]analise_resposta!A337,"*"), [1]resposta_chat_stream!$C$2:$C$34, 0)), "")</f>
        <v/>
      </c>
      <c r="G337" s="6">
        <f>IF(E337&lt;&gt;"", IF(AND(C337=E337, D337=F337), "ACERTOU", IF(OR(C337=E337, D337=F337, C337=F337, D337=E337), "PARCIALMENTE", IF(OR(E337="Não há recomendação", F337="Não há recomendação", E337="SEM RECOMENDAÇÃO", F337="SEM RECOMENDAÇÃO"), "NÃO RECOMENDOU", "ERROU"))), "")</f>
        <v/>
      </c>
      <c r="H337" s="20">
        <f>IFERROR(INDEX([1]reposta_chat!$A$2:$A$121, MATCH(_xlfn.CONCAT("*#",[1]analise_resposta!A337,"*"), [1]reposta_chat!$C$2:$C$121, 0)), "")</f>
        <v/>
      </c>
      <c r="I337" s="20">
        <f>IFERROR(INDEX([1]reposta_chat!$B$2:$B$121, MATCH(_xlfn.CONCAT("*#",[1]analise_resposta!A337,"*"), [1]reposta_chat!$C$2:$C$121, 0)), "")</f>
        <v/>
      </c>
      <c r="J337" s="20">
        <f>IF(H337&lt;&gt;"", IF(AND(C337=H337, D337=I337), "ACERTOU", IF(OR(C337=H337, D337=I337, C337=I337, D337=H337), "PARCIALMENTE", IF(OR(H337="Não há recomendação", I337="Não há recomendação", H337="SEM RECOMENDAÇÃO", I337="SEM RECOMENDAÇÃO"), "NÃO RECOMENDOU", "ERROU"))), "")</f>
        <v/>
      </c>
      <c r="K337" s="21">
        <f>IFERROR(INDEX([1]resposta_rag!$A$2:$A$33, MATCH(_xlfn.CONCAT("*#",[1]analise_resposta!A337,"*"), [1]resposta_rag!$C$2:$C$33, 0)), "")</f>
        <v/>
      </c>
      <c r="L337" s="21" t="n"/>
      <c r="M337" s="21">
        <f>IF(K337&lt;&gt;"",IF(AND(K357,D337=I337),"ACERTOU",IF(OR(C337=K337,D337=L337,C337=L337,D337=K337),"PARCIALMENTE","ERROU")),"")</f>
        <v/>
      </c>
      <c r="N337" s="22">
        <f>IFERROR(INDEX([1]respota_rag_adaptativo!$A$2:$A$853, MATCH(_xlfn.CONCAT("*#",[1]analise_resposta!A337,"*"), [1]respota_rag_adaptativo!$C$2:$C$85, 0)), "")</f>
        <v/>
      </c>
      <c r="O337" s="22" t="n"/>
      <c r="P337" s="22">
        <f>IF(N337&lt;&gt;"", IF(AND(C337=N337, D337=O337), "ACERTOU", IF(OR(C337=N337, D337=O337, C337=O337, D337=N337), "PARCIALMENTE", IF(OR(N337="Não há recomendação", O337="Não há recomendação", N337="SEM RECOMENDAÇÃO", O337="SEM RECOMENDAÇÃO"), "NÃO RECOMENDOU", "ERROU"))), "")</f>
        <v/>
      </c>
      <c r="Q337" s="23">
        <f>IFERROR(INDEX([1]resposta_plan_exec!$A$2:$A$121, MATCH(_xlfn.CONCAT("*",[1]analise_resposta!A337,"*"), [1]resposta_plan_exec!$C$2:$C$121, 0)), "")</f>
        <v/>
      </c>
      <c r="R337" s="23">
        <f>IF([1]analise_resposta!A337="", "",
    _xlfn.LET(_xlpm.resultado, IFERROR(INDEX([1]resposta_plan_exec!$B$2:$B$121,
                           MATCH(_xlfn.CONCAT("*", [1]analise_resposta!A337, "*"),
                                   [1]resposta_plan_exec!$C$2:$C$121, 0)), ""),
        IF(_xlpm.resultado="", "", _xlpm.resultado)))</f>
        <v/>
      </c>
      <c r="S337" s="23" t="n"/>
    </row>
    <row r="338">
      <c r="A338" t="n">
        <v>2964</v>
      </c>
      <c r="B338" s="3" t="inlineStr">
        <is>
          <t>Problema urgente com o teclado do Dell XPS 13</t>
        </is>
      </c>
      <c r="C338" s="3" t="inlineStr">
        <is>
          <t>Gerenciamento de Incidentes</t>
        </is>
      </c>
      <c r="D338" s="3" t="inlineStr">
        <is>
          <t>Gerenciamento de Ativos de TI</t>
        </is>
      </c>
      <c r="F338" s="5">
        <f>IFERROR(INDEX([1]resposta_chat_stream!$B$2:$B$34, MATCH(_xlfn.CONCAT("*#",[1]analise_resposta!A338,"*"), [1]resposta_chat_stream!$C$2:$C$34, 0)), "")</f>
        <v/>
      </c>
      <c r="G338" s="6">
        <f>IF(E338&lt;&gt;"", IF(AND(C338=E338, D338=F338), "ACERTOU", IF(OR(C338=E338, D338=F338, C338=F338, D338=E338), "PARCIALMENTE", IF(OR(E338="Não há recomendação", F338="Não há recomendação", E338="SEM RECOMENDAÇÃO", F338="SEM RECOMENDAÇÃO"), "NÃO RECOMENDOU", "ERROU"))), "")</f>
        <v/>
      </c>
      <c r="H338" s="20">
        <f>IFERROR(INDEX([1]reposta_chat!$A$2:$A$121, MATCH(_xlfn.CONCAT("*#",[1]analise_resposta!A338,"*"), [1]reposta_chat!$C$2:$C$121, 0)), "")</f>
        <v/>
      </c>
      <c r="I338" s="20">
        <f>IFERROR(INDEX([1]reposta_chat!$B$2:$B$121, MATCH(_xlfn.CONCAT("*#",[1]analise_resposta!A338,"*"), [1]reposta_chat!$C$2:$C$121, 0)), "")</f>
        <v/>
      </c>
      <c r="J338" s="20">
        <f>IF(H338&lt;&gt;"", IF(AND(C338=H338, D338=I338), "ACERTOU", IF(OR(C338=H338, D338=I338, C338=I338, D338=H338), "PARCIALMENTE", IF(OR(H338="Não há recomendação", I338="Não há recomendação", H338="SEM RECOMENDAÇÃO", I338="SEM RECOMENDAÇÃO"), "NÃO RECOMENDOU", "ERROU"))), "")</f>
        <v/>
      </c>
      <c r="K338" s="21">
        <f>IFERROR(INDEX([1]resposta_rag!$A$2:$A$33, MATCH(_xlfn.CONCAT("*#",[1]analise_resposta!A338,"*"), [1]resposta_rag!$C$2:$C$33, 0)), "")</f>
        <v/>
      </c>
      <c r="L338" s="21" t="n"/>
      <c r="M338" s="21">
        <f>IF(K338&lt;&gt;"",IF(AND(K358,D338=I338),"ACERTOU",IF(OR(C338=K338,D338=L338,C338=L338,D338=K338),"PARCIALMENTE","ERROU")),"")</f>
        <v/>
      </c>
      <c r="N338" s="22">
        <f>IFERROR(INDEX([1]respota_rag_adaptativo!$A$2:$A$853, MATCH(_xlfn.CONCAT("*#",[1]analise_resposta!A338,"*"), [1]respota_rag_adaptativo!$C$2:$C$85, 0)), "")</f>
        <v/>
      </c>
      <c r="O338" s="22" t="n"/>
      <c r="P338" s="22">
        <f>IF(N338&lt;&gt;"", IF(AND(C338=N338, D338=O338), "ACERTOU", IF(OR(C338=N338, D338=O338, C338=O338, D338=N338), "PARCIALMENTE", IF(OR(N338="Não há recomendação", O338="Não há recomendação", N338="SEM RECOMENDAÇÃO", O338="SEM RECOMENDAÇÃO"), "NÃO RECOMENDOU", "ERROU"))), "")</f>
        <v/>
      </c>
      <c r="Q338" s="23">
        <f>IFERROR(INDEX([1]resposta_plan_exec!$A$2:$A$121, MATCH(_xlfn.CONCAT("*",[1]analise_resposta!A338,"*"), [1]resposta_plan_exec!$C$2:$C$121, 0)), "")</f>
        <v/>
      </c>
      <c r="R338" s="23">
        <f>IF([1]analise_resposta!A338="", "",
    _xlfn.LET(_xlpm.resultado, IFERROR(INDEX([1]resposta_plan_exec!$B$2:$B$121,
                           MATCH(_xlfn.CONCAT("*", [1]analise_resposta!A338, "*"),
                                   [1]resposta_plan_exec!$C$2:$C$121, 0)), ""),
        IF(_xlpm.resultado="", "", _xlpm.resultado)))</f>
        <v/>
      </c>
      <c r="S338" s="23" t="n"/>
    </row>
    <row r="339">
      <c r="A339" t="n">
        <v>2967</v>
      </c>
      <c r="B339" s="3" t="inlineStr">
        <is>
          <t>Problema de alta prioridade com a atualização do Jira</t>
        </is>
      </c>
      <c r="C339" s="3" t="inlineStr">
        <is>
          <t>Gerenciamento de Incidentes</t>
        </is>
      </c>
      <c r="D339" s="3" t="inlineStr">
        <is>
          <t>Gerenciamento de Problemas</t>
        </is>
      </c>
      <c r="F339" s="5">
        <f>IFERROR(INDEX([1]resposta_chat_stream!$B$2:$B$34, MATCH(_xlfn.CONCAT("*#",[1]analise_resposta!A339,"*"), [1]resposta_chat_stream!$C$2:$C$34, 0)), "")</f>
        <v/>
      </c>
      <c r="G339" s="6">
        <f>IF(E339&lt;&gt;"", IF(AND(C339=E339, D339=F339), "ACERTOU", IF(OR(C339=E339, D339=F339, C339=F339, D339=E339), "PARCIALMENTE", IF(OR(E339="Não há recomendação", F339="Não há recomendação", E339="SEM RECOMENDAÇÃO", F339="SEM RECOMENDAÇÃO"), "NÃO RECOMENDOU", "ERROU"))), "")</f>
        <v/>
      </c>
      <c r="H339" s="20">
        <f>IFERROR(INDEX([1]reposta_chat!$A$2:$A$121, MATCH(_xlfn.CONCAT("*#",[1]analise_resposta!A339,"*"), [1]reposta_chat!$C$2:$C$121, 0)), "")</f>
        <v/>
      </c>
      <c r="I339" s="20">
        <f>IFERROR(INDEX([1]reposta_chat!$B$2:$B$121, MATCH(_xlfn.CONCAT("*#",[1]analise_resposta!A339,"*"), [1]reposta_chat!$C$2:$C$121, 0)), "")</f>
        <v/>
      </c>
      <c r="J339" s="20">
        <f>IF(H339&lt;&gt;"", IF(AND(C339=H339, D339=I339), "ACERTOU", IF(OR(C339=H339, D339=I339, C339=I339, D339=H339), "PARCIALMENTE", IF(OR(H339="Não há recomendação", I339="Não há recomendação", H339="SEM RECOMENDAÇÃO", I339="SEM RECOMENDAÇÃO"), "NÃO RECOMENDOU", "ERROU"))), "")</f>
        <v/>
      </c>
      <c r="K339" s="21">
        <f>IFERROR(INDEX([1]resposta_rag!$A$2:$A$33, MATCH(_xlfn.CONCAT("*#",[1]analise_resposta!A339,"*"), [1]resposta_rag!$C$2:$C$33, 0)), "")</f>
        <v/>
      </c>
      <c r="L339" s="21" t="n"/>
      <c r="M339" s="21">
        <f>IF(K339&lt;&gt;"",IF(AND(K359,D339=I339),"ACERTOU",IF(OR(C339=K339,D339=L339,C339=L339,D339=K339),"PARCIALMENTE","ERROU")),"")</f>
        <v/>
      </c>
      <c r="N339" s="22">
        <f>IFERROR(INDEX([1]respota_rag_adaptativo!$A$2:$A$853, MATCH(_xlfn.CONCAT("*#",[1]analise_resposta!A339,"*"), [1]respota_rag_adaptativo!$C$2:$C$85, 0)), "")</f>
        <v/>
      </c>
      <c r="O339" s="22" t="n"/>
      <c r="P339" s="22">
        <f>IF(N339&lt;&gt;"", IF(AND(C339=N339, D339=O339), "ACERTOU", IF(OR(C339=N339, D339=O339, C339=O339, D339=N339), "PARCIALMENTE", IF(OR(N339="Não há recomendação", O339="Não há recomendação", N339="SEM RECOMENDAÇÃO", O339="SEM RECOMENDAÇÃO"), "NÃO RECOMENDOU", "ERROU"))), "")</f>
        <v/>
      </c>
      <c r="Q339" s="23">
        <f>IFERROR(INDEX([1]resposta_plan_exec!$A$2:$A$121, MATCH(_xlfn.CONCAT("*",[1]analise_resposta!A339,"*"), [1]resposta_plan_exec!$C$2:$C$121, 0)), "")</f>
        <v/>
      </c>
      <c r="R339" s="23">
        <f>IF([1]analise_resposta!A339="", "",
    _xlfn.LET(_xlpm.resultado, IFERROR(INDEX([1]resposta_plan_exec!$B$2:$B$121,
                           MATCH(_xlfn.CONCAT("*", [1]analise_resposta!A339, "*"),
                                   [1]resposta_plan_exec!$C$2:$C$121, 0)), ""),
        IF(_xlpm.resultado="", "", _xlpm.resultado)))</f>
        <v/>
      </c>
      <c r="S339" s="23" t="n"/>
    </row>
    <row r="340">
      <c r="A340" t="n">
        <v>2974</v>
      </c>
      <c r="B340" s="3" t="inlineStr">
        <is>
          <t>Cobrado a mais pela assinatura do Microsoft Office 365</t>
        </is>
      </c>
      <c r="C340" s="3" t="inlineStr">
        <is>
          <t>Gerenciamento Financeiro</t>
        </is>
      </c>
      <c r="D340" s="3" t="inlineStr">
        <is>
          <t>Gerenciamento de Incidentes</t>
        </is>
      </c>
      <c r="F340" s="5">
        <f>IFERROR(INDEX([1]resposta_chat_stream!$B$2:$B$34, MATCH(_xlfn.CONCAT("*#",[1]analise_resposta!A340,"*"), [1]resposta_chat_stream!$C$2:$C$34, 0)), "")</f>
        <v/>
      </c>
      <c r="G340" s="6">
        <f>IF(E340&lt;&gt;"", IF(AND(C340=E340, D340=F340), "ACERTOU", IF(OR(C340=E340, D340=F340, C340=F340, D340=E340), "PARCIALMENTE", IF(OR(E340="Não há recomendação", F340="Não há recomendação", E340="SEM RECOMENDAÇÃO", F340="SEM RECOMENDAÇÃO"), "NÃO RECOMENDOU", "ERROU"))), "")</f>
        <v/>
      </c>
      <c r="H340" s="20">
        <f>IFERROR(INDEX([1]reposta_chat!$A$2:$A$121, MATCH(_xlfn.CONCAT("*#",[1]analise_resposta!A340,"*"), [1]reposta_chat!$C$2:$C$121, 0)), "")</f>
        <v/>
      </c>
      <c r="I340" s="20">
        <f>IFERROR(INDEX([1]reposta_chat!$B$2:$B$121, MATCH(_xlfn.CONCAT("*#",[1]analise_resposta!A340,"*"), [1]reposta_chat!$C$2:$C$121, 0)), "")</f>
        <v/>
      </c>
      <c r="J340" s="20">
        <f>IF(H340&lt;&gt;"", IF(AND(C340=H340, D340=I340), "ACERTOU", IF(OR(C340=H340, D340=I340, C340=I340, D340=H340), "PARCIALMENTE", IF(OR(H340="Não há recomendação", I340="Não há recomendação", H340="SEM RECOMENDAÇÃO", I340="SEM RECOMENDAÇÃO"), "NÃO RECOMENDOU", "ERROU"))), "")</f>
        <v/>
      </c>
      <c r="K340" s="21">
        <f>IFERROR(INDEX([1]resposta_rag!$A$2:$A$33, MATCH(_xlfn.CONCAT("*#",[1]analise_resposta!A340,"*"), [1]resposta_rag!$C$2:$C$33, 0)), "")</f>
        <v/>
      </c>
      <c r="L340" s="21" t="n"/>
      <c r="M340" s="21">
        <f>IF(K340&lt;&gt;"",IF(AND(K360,D340=I340),"ACERTOU",IF(OR(C340=K340,D340=L340,C340=L340,D340=K340),"PARCIALMENTE","ERROU")),"")</f>
        <v/>
      </c>
      <c r="N340" s="22">
        <f>IFERROR(INDEX([1]respota_rag_adaptativo!$A$2:$A$853, MATCH(_xlfn.CONCAT("*#",[1]analise_resposta!A340,"*"), [1]respota_rag_adaptativo!$C$2:$C$85, 0)), "")</f>
        <v/>
      </c>
      <c r="O340" s="22" t="n"/>
      <c r="P340" s="22">
        <f>IF(N340&lt;&gt;"", IF(AND(C340=N340, D340=O340), "ACERTOU", IF(OR(C340=N340, D340=O340, C340=O340, D340=N340), "PARCIALMENTE", IF(OR(N340="Não há recomendação", O340="Não há recomendação", N340="SEM RECOMENDAÇÃO", O340="SEM RECOMENDAÇÃO"), "NÃO RECOMENDOU", "ERROU"))), "")</f>
        <v/>
      </c>
      <c r="Q340" s="23">
        <f>IFERROR(INDEX([1]resposta_plan_exec!$A$2:$A$121, MATCH(_xlfn.CONCAT("*",[1]analise_resposta!A340,"*"), [1]resposta_plan_exec!$C$2:$C$121, 0)), "")</f>
        <v/>
      </c>
      <c r="R340" s="23">
        <f>IF([1]analise_resposta!A340="", "",
    _xlfn.LET(_xlpm.resultado, IFERROR(INDEX([1]resposta_plan_exec!$B$2:$B$121,
                           MATCH(_xlfn.CONCAT("*", [1]analise_resposta!A340, "*"),
                                   [1]resposta_plan_exec!$C$2:$C$121, 0)), ""),
        IF(_xlpm.resultado="", "", _xlpm.resultado)))</f>
        <v/>
      </c>
      <c r="S340" s="23" t="n"/>
    </row>
    <row r="341">
      <c r="A341" t="n">
        <v>2995</v>
      </c>
      <c r="B341" s="3" t="inlineStr">
        <is>
          <t>Problema de Cobrança Incorreta Detectado</t>
        </is>
      </c>
      <c r="C341" s="3" t="inlineStr">
        <is>
          <t>Gerenciamento Financeiro</t>
        </is>
      </c>
      <c r="D341" s="3" t="inlineStr">
        <is>
          <t>Gerenciamento de Incidentes</t>
        </is>
      </c>
      <c r="F341" s="5">
        <f>IFERROR(INDEX([1]resposta_chat_stream!$B$2:$B$34, MATCH(_xlfn.CONCAT("*#",[1]analise_resposta!A341,"*"), [1]resposta_chat_stream!$C$2:$C$34, 0)), "")</f>
        <v/>
      </c>
      <c r="G341" s="6">
        <f>IF(E341&lt;&gt;"", IF(AND(C341=E341, D341=F341), "ACERTOU", IF(OR(C341=E341, D341=F341, C341=F341, D341=E341), "PARCIALMENTE", IF(OR(E341="Não há recomendação", F341="Não há recomendação", E341="SEM RECOMENDAÇÃO", F341="SEM RECOMENDAÇÃO"), "NÃO RECOMENDOU", "ERROU"))), "")</f>
        <v/>
      </c>
      <c r="H341" s="20">
        <f>IFERROR(INDEX([1]reposta_chat!$A$2:$A$121, MATCH(_xlfn.CONCAT("*#",[1]analise_resposta!A341,"*"), [1]reposta_chat!$C$2:$C$121, 0)), "")</f>
        <v/>
      </c>
      <c r="I341" s="20">
        <f>IFERROR(INDEX([1]reposta_chat!$B$2:$B$121, MATCH(_xlfn.CONCAT("*#",[1]analise_resposta!A341,"*"), [1]reposta_chat!$C$2:$C$121, 0)), "")</f>
        <v/>
      </c>
      <c r="J341" s="20">
        <f>IF(H341&lt;&gt;"", IF(AND(C341=H341, D341=I341), "ACERTOU", IF(OR(C341=H341, D341=I341, C341=I341, D341=H341), "PARCIALMENTE", IF(OR(H341="Não há recomendação", I341="Não há recomendação", H341="SEM RECOMENDAÇÃO", I341="SEM RECOMENDAÇÃO"), "NÃO RECOMENDOU", "ERROU"))), "")</f>
        <v/>
      </c>
      <c r="K341" s="21">
        <f>IFERROR(INDEX([1]resposta_rag!$A$2:$A$33, MATCH(_xlfn.CONCAT("*#",[1]analise_resposta!A341,"*"), [1]resposta_rag!$C$2:$C$33, 0)), "")</f>
        <v/>
      </c>
      <c r="L341" s="21" t="n"/>
      <c r="M341" s="21">
        <f>IF(K341&lt;&gt;"",IF(AND(K361,D341=I341),"ACERTOU",IF(OR(C341=K341,D341=L341,C341=L341,D341=K341),"PARCIALMENTE","ERROU")),"")</f>
        <v/>
      </c>
      <c r="N341" s="22">
        <f>IFERROR(INDEX([1]respota_rag_adaptativo!$A$2:$A$853, MATCH(_xlfn.CONCAT("*#",[1]analise_resposta!A341,"*"), [1]respota_rag_adaptativo!$C$2:$C$85, 0)), "")</f>
        <v/>
      </c>
      <c r="O341" s="22" t="n"/>
      <c r="P341" s="22">
        <f>IF(N341&lt;&gt;"", IF(AND(C341=N341, D341=O341), "ACERTOU", IF(OR(C341=N341, D341=O341, C341=O341, D341=N341), "PARCIALMENTE", IF(OR(N341="Não há recomendação", O341="Não há recomendação", N341="SEM RECOMENDAÇÃO", O341="SEM RECOMENDAÇÃO"), "NÃO RECOMENDOU", "ERROU"))), "")</f>
        <v/>
      </c>
      <c r="Q341" s="23">
        <f>IFERROR(INDEX([1]resposta_plan_exec!$A$2:$A$121, MATCH(_xlfn.CONCAT("*",[1]analise_resposta!A341,"*"), [1]resposta_plan_exec!$C$2:$C$121, 0)), "")</f>
        <v/>
      </c>
      <c r="R341" s="23">
        <f>IF([1]analise_resposta!A341="", "",
    _xlfn.LET(_xlpm.resultado, IFERROR(INDEX([1]resposta_plan_exec!$B$2:$B$121,
                           MATCH(_xlfn.CONCAT("*", [1]analise_resposta!A341, "*"),
                                   [1]resposta_plan_exec!$C$2:$C$121, 0)), ""),
        IF(_xlpm.resultado="", "", _xlpm.resultado)))</f>
        <v/>
      </c>
      <c r="S341" s="23" t="n"/>
    </row>
    <row r="342">
      <c r="A342" t="n">
        <v>3001</v>
      </c>
      <c r="B342" s="3" t="inlineStr">
        <is>
          <t>Problemas com Atribuições Scrum do Jira</t>
        </is>
      </c>
      <c r="C342" s="3" t="inlineStr">
        <is>
          <t>Gerenciamento de Incidentes</t>
        </is>
      </c>
      <c r="D342" s="3" t="inlineStr">
        <is>
          <t>Gerenciamento de Problemas</t>
        </is>
      </c>
      <c r="F342" s="5">
        <f>IFERROR(INDEX([1]resposta_chat_stream!$B$2:$B$34, MATCH(_xlfn.CONCAT("*#",[1]analise_resposta!A342,"*"), [1]resposta_chat_stream!$C$2:$C$34, 0)), "")</f>
        <v/>
      </c>
      <c r="G342" s="6">
        <f>IF(E342&lt;&gt;"", IF(AND(C342=E342, D342=F342), "ACERTOU", IF(OR(C342=E342, D342=F342, C342=F342, D342=E342), "PARCIALMENTE", IF(OR(E342="Não há recomendação", F342="Não há recomendação", E342="SEM RECOMENDAÇÃO", F342="SEM RECOMENDAÇÃO"), "NÃO RECOMENDOU", "ERROU"))), "")</f>
        <v/>
      </c>
      <c r="H342" s="20">
        <f>IFERROR(INDEX([1]reposta_chat!$A$2:$A$121, MATCH(_xlfn.CONCAT("*#",[1]analise_resposta!A342,"*"), [1]reposta_chat!$C$2:$C$121, 0)), "")</f>
        <v/>
      </c>
      <c r="I342" s="20">
        <f>IFERROR(INDEX([1]reposta_chat!$B$2:$B$121, MATCH(_xlfn.CONCAT("*#",[1]analise_resposta!A342,"*"), [1]reposta_chat!$C$2:$C$121, 0)), "")</f>
        <v/>
      </c>
      <c r="J342" s="20">
        <f>IF(H342&lt;&gt;"", IF(AND(C342=H342, D342=I342), "ACERTOU", IF(OR(C342=H342, D342=I342, C342=I342, D342=H342), "PARCIALMENTE", IF(OR(H342="Não há recomendação", I342="Não há recomendação", H342="SEM RECOMENDAÇÃO", I342="SEM RECOMENDAÇÃO"), "NÃO RECOMENDOU", "ERROU"))), "")</f>
        <v/>
      </c>
      <c r="K342" s="21">
        <f>IFERROR(INDEX([1]resposta_rag!$A$2:$A$33, MATCH(_xlfn.CONCAT("*#",[1]analise_resposta!A342,"*"), [1]resposta_rag!$C$2:$C$33, 0)), "")</f>
        <v/>
      </c>
      <c r="L342" s="21" t="n"/>
      <c r="M342" s="21">
        <f>IF(K342&lt;&gt;"",IF(AND(K362,D342=I342),"ACERTOU",IF(OR(C342=K342,D342=L342,C342=L342,D342=K342),"PARCIALMENTE","ERROU")),"")</f>
        <v/>
      </c>
      <c r="N342" s="22">
        <f>IFERROR(INDEX([1]respota_rag_adaptativo!$A$2:$A$853, MATCH(_xlfn.CONCAT("*#",[1]analise_resposta!A342,"*"), [1]respota_rag_adaptativo!$C$2:$C$85, 0)), "")</f>
        <v/>
      </c>
      <c r="O342" s="22" t="n"/>
      <c r="P342" s="22">
        <f>IF(N342&lt;&gt;"", IF(AND(C342=N342, D342=O342), "ACERTOU", IF(OR(C342=N342, D342=O342, C342=O342, D342=N342), "PARCIALMENTE", IF(OR(N342="Não há recomendação", O342="Não há recomendação", N342="SEM RECOMENDAÇÃO", O342="SEM RECOMENDAÇÃO"), "NÃO RECOMENDOU", "ERROU"))), "")</f>
        <v/>
      </c>
      <c r="Q342" s="23">
        <f>IFERROR(INDEX([1]resposta_plan_exec!$A$2:$A$121, MATCH(_xlfn.CONCAT("*",[1]analise_resposta!A342,"*"), [1]resposta_plan_exec!$C$2:$C$121, 0)), "")</f>
        <v/>
      </c>
      <c r="R342" s="23">
        <f>IF([1]analise_resposta!A342="", "",
    _xlfn.LET(_xlpm.resultado, IFERROR(INDEX([1]resposta_plan_exec!$B$2:$B$121,
                           MATCH(_xlfn.CONCAT("*", [1]analise_resposta!A342, "*"),
                                   [1]resposta_plan_exec!$C$2:$C$121, 0)), ""),
        IF(_xlpm.resultado="", "", _xlpm.resultado)))</f>
        <v/>
      </c>
      <c r="S342" s="23" t="n"/>
    </row>
    <row r="343">
      <c r="A343" t="n">
        <v>3002</v>
      </c>
      <c r="B343" s="3" t="inlineStr">
        <is>
          <t>Resposta imediata necessária: Problema no roteador Cisco ISR4331</t>
        </is>
      </c>
      <c r="C343" s="3" t="inlineStr">
        <is>
          <t>Gerenciamento de Incidentes</t>
        </is>
      </c>
      <c r="D343" s="3" t="inlineStr">
        <is>
          <t>Gerenciamento de Disponibilidade</t>
        </is>
      </c>
      <c r="F343" s="5">
        <f>IFERROR(INDEX([1]resposta_chat_stream!$B$2:$B$34, MATCH(_xlfn.CONCAT("*#",[1]analise_resposta!A343,"*"), [1]resposta_chat_stream!$C$2:$C$34, 0)), "")</f>
        <v/>
      </c>
      <c r="G343" s="6">
        <f>IF(E343&lt;&gt;"", IF(AND(C343=E343, D343=F343), "ACERTOU", IF(OR(C343=E343, D343=F343, C343=F343, D343=E343), "PARCIALMENTE", IF(OR(E343="Não há recomendação", F343="Não há recomendação", E343="SEM RECOMENDAÇÃO", F343="SEM RECOMENDAÇÃO"), "NÃO RECOMENDOU", "ERROU"))), "")</f>
        <v/>
      </c>
      <c r="H343" s="20">
        <f>IFERROR(INDEX([1]reposta_chat!$A$2:$A$121, MATCH(_xlfn.CONCAT("*#",[1]analise_resposta!A343,"*"), [1]reposta_chat!$C$2:$C$121, 0)), "")</f>
        <v/>
      </c>
      <c r="I343" s="20">
        <f>IFERROR(INDEX([1]reposta_chat!$B$2:$B$121, MATCH(_xlfn.CONCAT("*#",[1]analise_resposta!A343,"*"), [1]reposta_chat!$C$2:$C$121, 0)), "")</f>
        <v/>
      </c>
      <c r="J343" s="20">
        <f>IF(H343&lt;&gt;"", IF(AND(C343=H343, D343=I343), "ACERTOU", IF(OR(C343=H343, D343=I343, C343=I343, D343=H343), "PARCIALMENTE", IF(OR(H343="Não há recomendação", I343="Não há recomendação", H343="SEM RECOMENDAÇÃO", I343="SEM RECOMENDAÇÃO"), "NÃO RECOMENDOU", "ERROU"))), "")</f>
        <v/>
      </c>
      <c r="K343" s="21">
        <f>IFERROR(INDEX([1]resposta_rag!$A$2:$A$33, MATCH(_xlfn.CONCAT("*#",[1]analise_resposta!A343,"*"), [1]resposta_rag!$C$2:$C$33, 0)), "")</f>
        <v/>
      </c>
      <c r="L343" s="21" t="n"/>
      <c r="M343" s="21">
        <f>IF(K343&lt;&gt;"",IF(AND(K363,D343=I343),"ACERTOU",IF(OR(C343=K343,D343=L343,C343=L343,D343=K343),"PARCIALMENTE","ERROU")),"")</f>
        <v/>
      </c>
      <c r="N343" s="22">
        <f>IFERROR(INDEX([1]respota_rag_adaptativo!$A$2:$A$853, MATCH(_xlfn.CONCAT("*#",[1]analise_resposta!A343,"*"), [1]respota_rag_adaptativo!$C$2:$C$85, 0)), "")</f>
        <v/>
      </c>
      <c r="O343" s="22" t="n"/>
      <c r="P343" s="22">
        <f>IF(N343&lt;&gt;"", IF(AND(C343=N343, D343=O343), "ACERTOU", IF(OR(C343=N343, D343=O343, C343=O343, D343=N343), "PARCIALMENTE", IF(OR(N343="Não há recomendação", O343="Não há recomendação", N343="SEM RECOMENDAÇÃO", O343="SEM RECOMENDAÇÃO"), "NÃO RECOMENDOU", "ERROU"))), "")</f>
        <v/>
      </c>
      <c r="Q343" s="23">
        <f>IFERROR(INDEX([1]resposta_plan_exec!$A$2:$A$121, MATCH(_xlfn.CONCAT("*",[1]analise_resposta!A343,"*"), [1]resposta_plan_exec!$C$2:$C$121, 0)), "")</f>
        <v/>
      </c>
      <c r="R343" s="23">
        <f>IF([1]analise_resposta!A343="", "",
    _xlfn.LET(_xlpm.resultado, IFERROR(INDEX([1]resposta_plan_exec!$B$2:$B$121,
                           MATCH(_xlfn.CONCAT("*", [1]analise_resposta!A343, "*"),
                                   [1]resposta_plan_exec!$C$2:$C$121, 0)), ""),
        IF(_xlpm.resultado="", "", _xlpm.resultado)))</f>
        <v/>
      </c>
      <c r="S343" s="23" t="n"/>
    </row>
    <row r="344">
      <c r="A344" t="n">
        <v>3006</v>
      </c>
      <c r="B344" s="3" t="inlineStr">
        <is>
          <t>Incidente de alta prioridade: Teclado com mal funcionamento no Surface Pro 7</t>
        </is>
      </c>
      <c r="C344" s="3" t="inlineStr">
        <is>
          <t>Gerenciamento de Incidentes</t>
        </is>
      </c>
      <c r="D344" s="3" t="inlineStr">
        <is>
          <t>Gerenciamento de Ativos de TI</t>
        </is>
      </c>
      <c r="F344" s="5">
        <f>IFERROR(INDEX([1]resposta_chat_stream!$B$2:$B$34, MATCH(_xlfn.CONCAT("*#",[1]analise_resposta!A344,"*"), [1]resposta_chat_stream!$C$2:$C$34, 0)), "")</f>
        <v/>
      </c>
      <c r="G344" s="6">
        <f>IF(E344&lt;&gt;"", IF(AND(C344=E344, D344=F344), "ACERTOU", IF(OR(C344=E344, D344=F344, C344=F344, D344=E344), "PARCIALMENTE", IF(OR(E344="Não há recomendação", F344="Não há recomendação", E344="SEM RECOMENDAÇÃO", F344="SEM RECOMENDAÇÃO"), "NÃO RECOMENDOU", "ERROU"))), "")</f>
        <v/>
      </c>
      <c r="H344" s="20">
        <f>IFERROR(INDEX([1]reposta_chat!$A$2:$A$121, MATCH(_xlfn.CONCAT("*#",[1]analise_resposta!A344,"*"), [1]reposta_chat!$C$2:$C$121, 0)), "")</f>
        <v/>
      </c>
      <c r="I344" s="20">
        <f>IFERROR(INDEX([1]reposta_chat!$B$2:$B$121, MATCH(_xlfn.CONCAT("*#",[1]analise_resposta!A344,"*"), [1]reposta_chat!$C$2:$C$121, 0)), "")</f>
        <v/>
      </c>
      <c r="J344" s="20">
        <f>IF(H344&lt;&gt;"", IF(AND(C344=H344, D344=I344), "ACERTOU", IF(OR(C344=H344, D344=I344, C344=I344, D344=H344), "PARCIALMENTE", IF(OR(H344="Não há recomendação", I344="Não há recomendação", H344="SEM RECOMENDAÇÃO", I344="SEM RECOMENDAÇÃO"), "NÃO RECOMENDOU", "ERROU"))), "")</f>
        <v/>
      </c>
      <c r="K344" s="21">
        <f>IFERROR(INDEX([1]resposta_rag!$A$2:$A$33, MATCH(_xlfn.CONCAT("*#",[1]analise_resposta!A344,"*"), [1]resposta_rag!$C$2:$C$33, 0)), "")</f>
        <v/>
      </c>
      <c r="L344" s="21" t="n"/>
      <c r="M344" s="21">
        <f>IF(K344&lt;&gt;"",IF(AND(K364,D344=I344),"ACERTOU",IF(OR(C344=K344,D344=L344,C344=L344,D344=K344),"PARCIALMENTE","ERROU")),"")</f>
        <v/>
      </c>
      <c r="N344" s="22">
        <f>IFERROR(INDEX([1]respota_rag_adaptativo!$A$2:$A$853, MATCH(_xlfn.CONCAT("*#",[1]analise_resposta!A344,"*"), [1]respota_rag_adaptativo!$C$2:$C$85, 0)), "")</f>
        <v/>
      </c>
      <c r="O344" s="22" t="n"/>
      <c r="P344" s="22">
        <f>IF(N344&lt;&gt;"", IF(AND(C344=N344, D344=O344), "ACERTOU", IF(OR(C344=N344, D344=O344, C344=O344, D344=N344), "PARCIALMENTE", IF(OR(N344="Não há recomendação", O344="Não há recomendação", N344="SEM RECOMENDAÇÃO", O344="SEM RECOMENDAÇÃO"), "NÃO RECOMENDOU", "ERROU"))), "")</f>
        <v/>
      </c>
      <c r="Q344" s="23">
        <f>IFERROR(INDEX([1]resposta_plan_exec!$A$2:$A$121, MATCH(_xlfn.CONCAT("*",[1]analise_resposta!A344,"*"), [1]resposta_plan_exec!$C$2:$C$121, 0)), "")</f>
        <v/>
      </c>
      <c r="R344" s="23">
        <f>IF([1]analise_resposta!A344="", "",
    _xlfn.LET(_xlpm.resultado, IFERROR(INDEX([1]resposta_plan_exec!$B$2:$B$121,
                           MATCH(_xlfn.CONCAT("*", [1]analise_resposta!A344, "*"),
                                   [1]resposta_plan_exec!$C$2:$C$121, 0)), ""),
        IF(_xlpm.resultado="", "", _xlpm.resultado)))</f>
        <v/>
      </c>
      <c r="S344" s="23" t="n"/>
    </row>
    <row r="345">
      <c r="A345" t="n">
        <v>3017</v>
      </c>
      <c r="B345" s="3" t="inlineStr">
        <is>
          <t>Problema com Surface Pro 7 - Piscar de Tela</t>
        </is>
      </c>
      <c r="C345" s="3" t="inlineStr">
        <is>
          <t>Gerenciamento de Incidentes</t>
        </is>
      </c>
      <c r="D345" s="3" t="inlineStr">
        <is>
          <t>Gerenciamento de Ativos de TI</t>
        </is>
      </c>
      <c r="F345" s="5">
        <f>IFERROR(INDEX([1]resposta_chat_stream!$B$2:$B$34, MATCH(_xlfn.CONCAT("*#",[1]analise_resposta!A345,"*"), [1]resposta_chat_stream!$C$2:$C$34, 0)), "")</f>
        <v/>
      </c>
      <c r="G345" s="6">
        <f>IF(E345&lt;&gt;"", IF(AND(C345=E345, D345=F345), "ACERTOU", IF(OR(C345=E345, D345=F345, C345=F345, D345=E345), "PARCIALMENTE", IF(OR(E345="Não há recomendação", F345="Não há recomendação", E345="SEM RECOMENDAÇÃO", F345="SEM RECOMENDAÇÃO"), "NÃO RECOMENDOU", "ERROU"))), "")</f>
        <v/>
      </c>
      <c r="H345" s="20">
        <f>IFERROR(INDEX([1]reposta_chat!$A$2:$A$121, MATCH(_xlfn.CONCAT("*#",[1]analise_resposta!A345,"*"), [1]reposta_chat!$C$2:$C$121, 0)), "")</f>
        <v/>
      </c>
      <c r="I345" s="20">
        <f>IFERROR(INDEX([1]reposta_chat!$B$2:$B$121, MATCH(_xlfn.CONCAT("*#",[1]analise_resposta!A345,"*"), [1]reposta_chat!$C$2:$C$121, 0)), "")</f>
        <v/>
      </c>
      <c r="J345" s="20">
        <f>IF(H345&lt;&gt;"", IF(AND(C345=H345, D345=I345), "ACERTOU", IF(OR(C345=H345, D345=I345, C345=I345, D345=H345), "PARCIALMENTE", IF(OR(H345="Não há recomendação", I345="Não há recomendação", H345="SEM RECOMENDAÇÃO", I345="SEM RECOMENDAÇÃO"), "NÃO RECOMENDOU", "ERROU"))), "")</f>
        <v/>
      </c>
      <c r="K345" s="21">
        <f>IFERROR(INDEX([1]resposta_rag!$A$2:$A$33, MATCH(_xlfn.CONCAT("*#",[1]analise_resposta!A345,"*"), [1]resposta_rag!$C$2:$C$33, 0)), "")</f>
        <v/>
      </c>
      <c r="L345" s="21" t="n"/>
      <c r="M345" s="21">
        <f>IF(K345&lt;&gt;"",IF(AND(K365,D345=I345),"ACERTOU",IF(OR(C345=K345,D345=L345,C345=L345,D345=K345),"PARCIALMENTE","ERROU")),"")</f>
        <v/>
      </c>
      <c r="N345" s="22">
        <f>IFERROR(INDEX([1]respota_rag_adaptativo!$A$2:$A$853, MATCH(_xlfn.CONCAT("*#",[1]analise_resposta!A345,"*"), [1]respota_rag_adaptativo!$C$2:$C$85, 0)), "")</f>
        <v/>
      </c>
      <c r="O345" s="22" t="n"/>
      <c r="P345" s="22">
        <f>IF(N345&lt;&gt;"", IF(AND(C345=N345, D345=O345), "ACERTOU", IF(OR(C345=N345, D345=O345, C345=O345, D345=N345), "PARCIALMENTE", IF(OR(N345="Não há recomendação", O345="Não há recomendação", N345="SEM RECOMENDAÇÃO", O345="SEM RECOMENDAÇÃO"), "NÃO RECOMENDOU", "ERROU"))), "")</f>
        <v/>
      </c>
      <c r="Q345" s="23">
        <f>IFERROR(INDEX([1]resposta_plan_exec!$A$2:$A$121, MATCH(_xlfn.CONCAT("*",[1]analise_resposta!A345,"*"), [1]resposta_plan_exec!$C$2:$C$121, 0)), "")</f>
        <v/>
      </c>
      <c r="R345" s="23">
        <f>IF([1]analise_resposta!A345="", "",
    _xlfn.LET(_xlpm.resultado, IFERROR(INDEX([1]resposta_plan_exec!$B$2:$B$121,
                           MATCH(_xlfn.CONCAT("*", [1]analise_resposta!A345, "*"),
                                   [1]resposta_plan_exec!$C$2:$C$121, 0)), ""),
        IF(_xlpm.resultado="", "", _xlpm.resultado)))</f>
        <v/>
      </c>
      <c r="S345" s="23" t="n"/>
    </row>
    <row r="346">
      <c r="A346" t="n">
        <v>3021</v>
      </c>
      <c r="B346" s="3" t="inlineStr">
        <is>
          <t>Solicitação de Atualização de Software</t>
        </is>
      </c>
      <c r="C346" s="3" t="inlineStr">
        <is>
          <t>Solicitação de Serviço</t>
        </is>
      </c>
      <c r="D346" s="3" t="inlineStr">
        <is>
          <t>Gerenciamento de Mudanças</t>
        </is>
      </c>
      <c r="F346" s="5">
        <f>IFERROR(INDEX([1]resposta_chat_stream!$B$2:$B$34, MATCH(_xlfn.CONCAT("*#",[1]analise_resposta!A346,"*"), [1]resposta_chat_stream!$C$2:$C$34, 0)), "")</f>
        <v/>
      </c>
      <c r="G346" s="6">
        <f>IF(E346&lt;&gt;"", IF(AND(C346=E346, D346=F346), "ACERTOU", IF(OR(C346=E346, D346=F346, C346=F346, D346=E346), "PARCIALMENTE", IF(OR(E346="Não há recomendação", F346="Não há recomendação", E346="SEM RECOMENDAÇÃO", F346="SEM RECOMENDAÇÃO"), "NÃO RECOMENDOU", "ERROU"))), "")</f>
        <v/>
      </c>
      <c r="H346" s="20">
        <f>IFERROR(INDEX([1]reposta_chat!$A$2:$A$121, MATCH(_xlfn.CONCAT("*#",[1]analise_resposta!A346,"*"), [1]reposta_chat!$C$2:$C$121, 0)), "")</f>
        <v/>
      </c>
      <c r="I346" s="20">
        <f>IFERROR(INDEX([1]reposta_chat!$B$2:$B$121, MATCH(_xlfn.CONCAT("*#",[1]analise_resposta!A346,"*"), [1]reposta_chat!$C$2:$C$121, 0)), "")</f>
        <v/>
      </c>
      <c r="J346" s="20">
        <f>IF(H346&lt;&gt;"", IF(AND(C346=H346, D346=I346), "ACERTOU", IF(OR(C346=H346, D346=I346, C346=I346, D346=H346), "PARCIALMENTE", IF(OR(H346="Não há recomendação", I346="Não há recomendação", H346="SEM RECOMENDAÇÃO", I346="SEM RECOMENDAÇÃO"), "NÃO RECOMENDOU", "ERROU"))), "")</f>
        <v/>
      </c>
      <c r="K346" s="21">
        <f>IFERROR(INDEX([1]resposta_rag!$A$2:$A$33, MATCH(_xlfn.CONCAT("*#",[1]analise_resposta!A346,"*"), [1]resposta_rag!$C$2:$C$33, 0)), "")</f>
        <v/>
      </c>
      <c r="L346" s="21" t="n"/>
      <c r="M346" s="21">
        <f>IF(K346&lt;&gt;"",IF(AND(K366,D346=I346),"ACERTOU",IF(OR(C346=K346,D346=L346,C346=L346,D346=K346),"PARCIALMENTE","ERROU")),"")</f>
        <v/>
      </c>
      <c r="N346" s="22">
        <f>IFERROR(INDEX([1]respota_rag_adaptativo!$A$2:$A$853, MATCH(_xlfn.CONCAT("*#",[1]analise_resposta!A346,"*"), [1]respota_rag_adaptativo!$C$2:$C$85, 0)), "")</f>
        <v/>
      </c>
      <c r="O346" s="22" t="n"/>
      <c r="P346" s="22">
        <f>IF(N346&lt;&gt;"", IF(AND(C346=N346, D346=O346), "ACERTOU", IF(OR(C346=N346, D346=O346, C346=O346, D346=N346), "PARCIALMENTE", IF(OR(N346="Não há recomendação", O346="Não há recomendação", N346="SEM RECOMENDAÇÃO", O346="SEM RECOMENDAÇÃO"), "NÃO RECOMENDOU", "ERROU"))), "")</f>
        <v/>
      </c>
      <c r="Q346" s="23">
        <f>IFERROR(INDEX([1]resposta_plan_exec!$A$2:$A$121, MATCH(_xlfn.CONCAT("*",[1]analise_resposta!A346,"*"), [1]resposta_plan_exec!$C$2:$C$121, 0)), "")</f>
        <v/>
      </c>
      <c r="R346" s="23">
        <f>IF([1]analise_resposta!A346="", "",
    _xlfn.LET(_xlpm.resultado, IFERROR(INDEX([1]resposta_plan_exec!$B$2:$B$121,
                           MATCH(_xlfn.CONCAT("*", [1]analise_resposta!A346, "*"),
                                   [1]resposta_plan_exec!$C$2:$C$121, 0)), ""),
        IF(_xlpm.resultado="", "", _xlpm.resultado)))</f>
        <v/>
      </c>
      <c r="S346" s="23" t="n"/>
    </row>
    <row r="347">
      <c r="A347" t="n">
        <v>3023</v>
      </c>
      <c r="B347" s="3" t="inlineStr">
        <is>
          <t>Problema de Erro de Servidor</t>
        </is>
      </c>
      <c r="C347" s="3" t="inlineStr">
        <is>
          <t>Gerenciamento de Incidentes</t>
        </is>
      </c>
      <c r="D347" s="3" t="inlineStr">
        <is>
          <t>Gerenciamento de Problemas</t>
        </is>
      </c>
      <c r="F347" s="5">
        <f>IFERROR(INDEX([1]resposta_chat_stream!$B$2:$B$34, MATCH(_xlfn.CONCAT("*#",[1]analise_resposta!A347,"*"), [1]resposta_chat_stream!$C$2:$C$34, 0)), "")</f>
        <v/>
      </c>
      <c r="G347" s="6">
        <f>IF(E347&lt;&gt;"", IF(AND(C347=E347, D347=F347), "ACERTOU", IF(OR(C347=E347, D347=F347, C347=F347, D347=E347), "PARCIALMENTE", IF(OR(E347="Não há recomendação", F347="Não há recomendação", E347="SEM RECOMENDAÇÃO", F347="SEM RECOMENDAÇÃO"), "NÃO RECOMENDOU", "ERROU"))), "")</f>
        <v/>
      </c>
      <c r="H347" s="20">
        <f>IFERROR(INDEX([1]reposta_chat!$A$2:$A$121, MATCH(_xlfn.CONCAT("*#",[1]analise_resposta!A347,"*"), [1]reposta_chat!$C$2:$C$121, 0)), "")</f>
        <v/>
      </c>
      <c r="I347" s="20">
        <f>IFERROR(INDEX([1]reposta_chat!$B$2:$B$121, MATCH(_xlfn.CONCAT("*#",[1]analise_resposta!A347,"*"), [1]reposta_chat!$C$2:$C$121, 0)), "")</f>
        <v/>
      </c>
      <c r="J347" s="20">
        <f>IF(H347&lt;&gt;"", IF(AND(C347=H347, D347=I347), "ACERTOU", IF(OR(C347=H347, D347=I347, C347=I347, D347=H347), "PARCIALMENTE", IF(OR(H347="Não há recomendação", I347="Não há recomendação", H347="SEM RECOMENDAÇÃO", I347="SEM RECOMENDAÇÃO"), "NÃO RECOMENDOU", "ERROU"))), "")</f>
        <v/>
      </c>
      <c r="K347" s="21">
        <f>IFERROR(INDEX([1]resposta_rag!$A$2:$A$33, MATCH(_xlfn.CONCAT("*#",[1]analise_resposta!A347,"*"), [1]resposta_rag!$C$2:$C$33, 0)), "")</f>
        <v/>
      </c>
      <c r="L347" s="21" t="n"/>
      <c r="M347" s="21">
        <f>IF(K347&lt;&gt;"",IF(AND(K367,D347=I347),"ACERTOU",IF(OR(C347=K347,D347=L347,C347=L347,D347=K347),"PARCIALMENTE","ERROU")),"")</f>
        <v/>
      </c>
      <c r="N347" s="22">
        <f>IFERROR(INDEX([1]respota_rag_adaptativo!$A$2:$A$853, MATCH(_xlfn.CONCAT("*#",[1]analise_resposta!A347,"*"), [1]respota_rag_adaptativo!$C$2:$C$85, 0)), "")</f>
        <v/>
      </c>
      <c r="O347" s="22" t="n"/>
      <c r="P347" s="22">
        <f>IF(N347&lt;&gt;"", IF(AND(C347=N347, D347=O347), "ACERTOU", IF(OR(C347=N347, D347=O347, C347=O347, D347=N347), "PARCIALMENTE", IF(OR(N347="Não há recomendação", O347="Não há recomendação", N347="SEM RECOMENDAÇÃO", O347="SEM RECOMENDAÇÃO"), "NÃO RECOMENDOU", "ERROU"))), "")</f>
        <v/>
      </c>
      <c r="Q347" s="23">
        <f>IFERROR(INDEX([1]resposta_plan_exec!$A$2:$A$121, MATCH(_xlfn.CONCAT("*",[1]analise_resposta!A347,"*"), [1]resposta_plan_exec!$C$2:$C$121, 0)), "")</f>
        <v/>
      </c>
      <c r="R347" s="23">
        <f>IF([1]analise_resposta!A347="", "",
    _xlfn.LET(_xlpm.resultado, IFERROR(INDEX([1]resposta_plan_exec!$B$2:$B$121,
                           MATCH(_xlfn.CONCAT("*", [1]analise_resposta!A347, "*"),
                                   [1]resposta_plan_exec!$C$2:$C$121, 0)), ""),
        IF(_xlpm.resultado="", "", _xlpm.resultado)))</f>
        <v/>
      </c>
      <c r="S347" s="23" t="n"/>
    </row>
    <row r="348">
      <c r="A348" t="n">
        <v>3027</v>
      </c>
      <c r="B348" s="3" t="inlineStr">
        <is>
          <t>Assistência com Atualização de Pagamento</t>
        </is>
      </c>
      <c r="C348" s="3" t="inlineStr">
        <is>
          <t>Solicitação de Serviço</t>
        </is>
      </c>
      <c r="D348" s="3" t="inlineStr">
        <is>
          <t>Gerenciamento Financeiro</t>
        </is>
      </c>
      <c r="F348" s="5">
        <f>IFERROR(INDEX([1]resposta_chat_stream!$B$2:$B$34, MATCH(_xlfn.CONCAT("*#",[1]analise_resposta!A348,"*"), [1]resposta_chat_stream!$C$2:$C$34, 0)), "")</f>
        <v/>
      </c>
      <c r="G348" s="6">
        <f>IF(E348&lt;&gt;"", IF(AND(C348=E348, D348=F348), "ACERTOU", IF(OR(C348=E348, D348=F348, C348=F348, D348=E348), "PARCIALMENTE", IF(OR(E348="Não há recomendação", F348="Não há recomendação", E348="SEM RECOMENDAÇÃO", F348="SEM RECOMENDAÇÃO"), "NÃO RECOMENDOU", "ERROU"))), "")</f>
        <v/>
      </c>
      <c r="H348" s="20">
        <f>IFERROR(INDEX([1]reposta_chat!$A$2:$A$121, MATCH(_xlfn.CONCAT("*#",[1]analise_resposta!A348,"*"), [1]reposta_chat!$C$2:$C$121, 0)), "")</f>
        <v/>
      </c>
      <c r="I348" s="20">
        <f>IFERROR(INDEX([1]reposta_chat!$B$2:$B$121, MATCH(_xlfn.CONCAT("*#",[1]analise_resposta!A348,"*"), [1]reposta_chat!$C$2:$C$121, 0)), "")</f>
        <v/>
      </c>
      <c r="J348" s="20">
        <f>IF(H348&lt;&gt;"", IF(AND(C348=H348, D348=I348), "ACERTOU", IF(OR(C348=H348, D348=I348, C348=I348, D348=H348), "PARCIALMENTE", IF(OR(H348="Não há recomendação", I348="Não há recomendação", H348="SEM RECOMENDAÇÃO", I348="SEM RECOMENDAÇÃO"), "NÃO RECOMENDOU", "ERROU"))), "")</f>
        <v/>
      </c>
      <c r="K348" s="21">
        <f>IFERROR(INDEX([1]resposta_rag!$A$2:$A$33, MATCH(_xlfn.CONCAT("*#",[1]analise_resposta!A348,"*"), [1]resposta_rag!$C$2:$C$33, 0)), "")</f>
        <v/>
      </c>
      <c r="L348" s="21" t="n"/>
      <c r="M348" s="21">
        <f>IF(K348&lt;&gt;"",IF(AND(K368,D348=I348),"ACERTOU",IF(OR(C348=K348,D348=L348,C348=L348,D348=K348),"PARCIALMENTE","ERROU")),"")</f>
        <v/>
      </c>
      <c r="N348" s="22">
        <f>IFERROR(INDEX([1]respota_rag_adaptativo!$A$2:$A$853, MATCH(_xlfn.CONCAT("*#",[1]analise_resposta!A348,"*"), [1]respota_rag_adaptativo!$C$2:$C$85, 0)), "")</f>
        <v/>
      </c>
      <c r="O348" s="22" t="n"/>
      <c r="P348" s="22">
        <f>IF(N348&lt;&gt;"", IF(AND(C348=N348, D348=O348), "ACERTOU", IF(OR(C348=N348, D348=O348, C348=O348, D348=N348), "PARCIALMENTE", IF(OR(N348="Não há recomendação", O348="Não há recomendação", N348="SEM RECOMENDAÇÃO", O348="SEM RECOMENDAÇÃO"), "NÃO RECOMENDOU", "ERROU"))), "")</f>
        <v/>
      </c>
      <c r="Q348" s="23">
        <f>IFERROR(INDEX([1]resposta_plan_exec!$A$2:$A$121, MATCH(_xlfn.CONCAT("*",[1]analise_resposta!A348,"*"), [1]resposta_plan_exec!$C$2:$C$121, 0)), "")</f>
        <v/>
      </c>
      <c r="R348" s="23">
        <f>IF([1]analise_resposta!A348="", "",
    _xlfn.LET(_xlpm.resultado, IFERROR(INDEX([1]resposta_plan_exec!$B$2:$B$121,
                           MATCH(_xlfn.CONCAT("*", [1]analise_resposta!A348, "*"),
                                   [1]resposta_plan_exec!$C$2:$C$121, 0)), ""),
        IF(_xlpm.resultado="", "", _xlpm.resultado)))</f>
        <v/>
      </c>
      <c r="S348" s="23" t="n"/>
    </row>
    <row r="349">
      <c r="A349" t="n">
        <v>3040</v>
      </c>
      <c r="B349" s="3" t="inlineStr">
        <is>
          <t>Problemas de Conexão Durante a Implementação</t>
        </is>
      </c>
      <c r="C349" s="3" t="inlineStr">
        <is>
          <t>Gerenciamento de Incidentes</t>
        </is>
      </c>
      <c r="D349" s="3" t="inlineStr">
        <is>
          <t>Gerenciamento de Mudanças</t>
        </is>
      </c>
      <c r="F349" s="5">
        <f>IFERROR(INDEX([1]resposta_chat_stream!$B$2:$B$34, MATCH(_xlfn.CONCAT("*#",[1]analise_resposta!A349,"*"), [1]resposta_chat_stream!$C$2:$C$34, 0)), "")</f>
        <v/>
      </c>
      <c r="G349" s="6">
        <f>IF(E349&lt;&gt;"", IF(AND(C349=E349, D349=F349), "ACERTOU", IF(OR(C349=E349, D349=F349, C349=F349, D349=E349), "PARCIALMENTE", IF(OR(E349="Não há recomendação", F349="Não há recomendação", E349="SEM RECOMENDAÇÃO", F349="SEM RECOMENDAÇÃO"), "NÃO RECOMENDOU", "ERROU"))), "")</f>
        <v/>
      </c>
      <c r="H349" s="20">
        <f>IFERROR(INDEX([1]reposta_chat!$A$2:$A$121, MATCH(_xlfn.CONCAT("*#",[1]analise_resposta!A349,"*"), [1]reposta_chat!$C$2:$C$121, 0)), "")</f>
        <v/>
      </c>
      <c r="I349" s="20">
        <f>IFERROR(INDEX([1]reposta_chat!$B$2:$B$121, MATCH(_xlfn.CONCAT("*#",[1]analise_resposta!A349,"*"), [1]reposta_chat!$C$2:$C$121, 0)), "")</f>
        <v/>
      </c>
      <c r="J349" s="20">
        <f>IF(H349&lt;&gt;"", IF(AND(C349=H349, D349=I349), "ACERTOU", IF(OR(C349=H349, D349=I349, C349=I349, D349=H349), "PARCIALMENTE", IF(OR(H349="Não há recomendação", I349="Não há recomendação", H349="SEM RECOMENDAÇÃO", I349="SEM RECOMENDAÇÃO"), "NÃO RECOMENDOU", "ERROU"))), "")</f>
        <v/>
      </c>
      <c r="K349" s="21">
        <f>IFERROR(INDEX([1]resposta_rag!$A$2:$A$33, MATCH(_xlfn.CONCAT("*#",[1]analise_resposta!A349,"*"), [1]resposta_rag!$C$2:$C$33, 0)), "")</f>
        <v/>
      </c>
      <c r="L349" s="21" t="n"/>
      <c r="M349" s="21">
        <f>IF(K349&lt;&gt;"",IF(AND(K369,D349=I349),"ACERTOU",IF(OR(C349=K349,D349=L349,C349=L349,D349=K349),"PARCIALMENTE","ERROU")),"")</f>
        <v/>
      </c>
      <c r="N349" s="22">
        <f>IFERROR(INDEX([1]respota_rag_adaptativo!$A$2:$A$853, MATCH(_xlfn.CONCAT("*#",[1]analise_resposta!A349,"*"), [1]respota_rag_adaptativo!$C$2:$C$85, 0)), "")</f>
        <v/>
      </c>
      <c r="O349" s="22" t="n"/>
      <c r="P349" s="22">
        <f>IF(N349&lt;&gt;"", IF(AND(C349=N349, D349=O349), "ACERTOU", IF(OR(C349=N349, D349=O349, C349=O349, D349=N349), "PARCIALMENTE", IF(OR(N349="Não há recomendação", O349="Não há recomendação", N349="SEM RECOMENDAÇÃO", O349="SEM RECOMENDAÇÃO"), "NÃO RECOMENDOU", "ERROU"))), "")</f>
        <v/>
      </c>
      <c r="Q349" s="23">
        <f>IFERROR(INDEX([1]resposta_plan_exec!$A$2:$A$121, MATCH(_xlfn.CONCAT("*",[1]analise_resposta!A349,"*"), [1]resposta_plan_exec!$C$2:$C$121, 0)), "")</f>
        <v/>
      </c>
      <c r="R349" s="23">
        <f>IF([1]analise_resposta!A349="", "",
    _xlfn.LET(_xlpm.resultado, IFERROR(INDEX([1]resposta_plan_exec!$B$2:$B$121,
                           MATCH(_xlfn.CONCAT("*", [1]analise_resposta!A349, "*"),
                                   [1]resposta_plan_exec!$C$2:$C$121, 0)), ""),
        IF(_xlpm.resultado="", "", _xlpm.resultado)))</f>
        <v/>
      </c>
      <c r="S349" s="23" t="n"/>
    </row>
    <row r="350">
      <c r="A350" t="n">
        <v>3048</v>
      </c>
      <c r="B350" s="3" t="inlineStr">
        <is>
          <t>Problema de Flickering na Tela do Dell XPS</t>
        </is>
      </c>
      <c r="C350" s="3" t="inlineStr">
        <is>
          <t>Gerenciamento de Incidentes</t>
        </is>
      </c>
      <c r="D350" s="3" t="inlineStr">
        <is>
          <t>Gerenciamento de Problemas</t>
        </is>
      </c>
      <c r="F350" s="5">
        <f>IFERROR(INDEX([1]resposta_chat_stream!$B$2:$B$34, MATCH(_xlfn.CONCAT("*#",[1]analise_resposta!A350,"*"), [1]resposta_chat_stream!$C$2:$C$34, 0)), "")</f>
        <v/>
      </c>
      <c r="G350" s="6">
        <f>IF(E350&lt;&gt;"", IF(AND(C350=E350, D350=F350), "ACERTOU", IF(OR(C350=E350, D350=F350, C350=F350, D350=E350), "PARCIALMENTE", IF(OR(E350="Não há recomendação", F350="Não há recomendação", E350="SEM RECOMENDAÇÃO", F350="SEM RECOMENDAÇÃO"), "NÃO RECOMENDOU", "ERROU"))), "")</f>
        <v/>
      </c>
      <c r="H350" s="20">
        <f>IFERROR(INDEX([1]reposta_chat!$A$2:$A$121, MATCH(_xlfn.CONCAT("*#",[1]analise_resposta!A350,"*"), [1]reposta_chat!$C$2:$C$121, 0)), "")</f>
        <v/>
      </c>
      <c r="I350" s="20">
        <f>IFERROR(INDEX([1]reposta_chat!$B$2:$B$121, MATCH(_xlfn.CONCAT("*#",[1]analise_resposta!A350,"*"), [1]reposta_chat!$C$2:$C$121, 0)), "")</f>
        <v/>
      </c>
      <c r="J350" s="20">
        <f>IF(H350&lt;&gt;"", IF(AND(C350=H350, D350=I350), "ACERTOU", IF(OR(C350=H350, D350=I350, C350=I350, D350=H350), "PARCIALMENTE", IF(OR(H350="Não há recomendação", I350="Não há recomendação", H350="SEM RECOMENDAÇÃO", I350="SEM RECOMENDAÇÃO"), "NÃO RECOMENDOU", "ERROU"))), "")</f>
        <v/>
      </c>
      <c r="K350" s="21">
        <f>IFERROR(INDEX([1]resposta_rag!$A$2:$A$33, MATCH(_xlfn.CONCAT("*#",[1]analise_resposta!A350,"*"), [1]resposta_rag!$C$2:$C$33, 0)), "")</f>
        <v/>
      </c>
      <c r="L350" s="21" t="n"/>
      <c r="M350" s="21">
        <f>IF(K350&lt;&gt;"",IF(AND(K370,D350=I350),"ACERTOU",IF(OR(C350=K350,D350=L350,C350=L350,D350=K350),"PARCIALMENTE","ERROU")),"")</f>
        <v/>
      </c>
      <c r="N350" s="22">
        <f>IFERROR(INDEX([1]respota_rag_adaptativo!$A$2:$A$853, MATCH(_xlfn.CONCAT("*#",[1]analise_resposta!A350,"*"), [1]respota_rag_adaptativo!$C$2:$C$85, 0)), "")</f>
        <v/>
      </c>
      <c r="O350" s="22" t="n"/>
      <c r="P350" s="22">
        <f>IF(N350&lt;&gt;"", IF(AND(C350=N350, D350=O350), "ACERTOU", IF(OR(C350=N350, D350=O350, C350=O350, D350=N350), "PARCIALMENTE", IF(OR(N350="Não há recomendação", O350="Não há recomendação", N350="SEM RECOMENDAÇÃO", O350="SEM RECOMENDAÇÃO"), "NÃO RECOMENDOU", "ERROU"))), "")</f>
        <v/>
      </c>
      <c r="Q350" s="23">
        <f>IFERROR(INDEX([1]resposta_plan_exec!$A$2:$A$121, MATCH(_xlfn.CONCAT("*",[1]analise_resposta!A350,"*"), [1]resposta_plan_exec!$C$2:$C$121, 0)), "")</f>
        <v/>
      </c>
      <c r="R350" s="23">
        <f>IF([1]analise_resposta!A350="", "",
    _xlfn.LET(_xlpm.resultado, IFERROR(INDEX([1]resposta_plan_exec!$B$2:$B$121,
                           MATCH(_xlfn.CONCAT("*", [1]analise_resposta!A350, "*"),
                                   [1]resposta_plan_exec!$C$2:$C$121, 0)), ""),
        IF(_xlpm.resultado="", "", _xlpm.resultado)))</f>
        <v/>
      </c>
      <c r="S350" s="23" t="n"/>
    </row>
    <row r="351">
      <c r="A351" t="n">
        <v>3056</v>
      </c>
      <c r="B351" s="3" t="inlineStr">
        <is>
          <t>Problemas de Instalação com o Adobe Photoshop 2024</t>
        </is>
      </c>
      <c r="C351" s="3" t="inlineStr">
        <is>
          <t>Gerenciamento de Incidentes</t>
        </is>
      </c>
      <c r="D351" s="3" t="inlineStr">
        <is>
          <t>Gerenciamento de Problemas</t>
        </is>
      </c>
      <c r="F351" s="5">
        <f>IFERROR(INDEX([1]resposta_chat_stream!$B$2:$B$34, MATCH(_xlfn.CONCAT("*#",[1]analise_resposta!A351,"*"), [1]resposta_chat_stream!$C$2:$C$34, 0)), "")</f>
        <v/>
      </c>
      <c r="G351" s="6">
        <f>IF(E351&lt;&gt;"", IF(AND(C351=E351, D351=F351), "ACERTOU", IF(OR(C351=E351, D351=F351, C351=F351, D351=E351), "PARCIALMENTE", IF(OR(E351="Não há recomendação", F351="Não há recomendação", E351="SEM RECOMENDAÇÃO", F351="SEM RECOMENDAÇÃO"), "NÃO RECOMENDOU", "ERROU"))), "")</f>
        <v/>
      </c>
      <c r="H351" s="20">
        <f>IFERROR(INDEX([1]reposta_chat!$A$2:$A$121, MATCH(_xlfn.CONCAT("*#",[1]analise_resposta!A351,"*"), [1]reposta_chat!$C$2:$C$121, 0)), "")</f>
        <v/>
      </c>
      <c r="I351" s="20">
        <f>IFERROR(INDEX([1]reposta_chat!$B$2:$B$121, MATCH(_xlfn.CONCAT("*#",[1]analise_resposta!A351,"*"), [1]reposta_chat!$C$2:$C$121, 0)), "")</f>
        <v/>
      </c>
      <c r="J351" s="20">
        <f>IF(H351&lt;&gt;"", IF(AND(C351=H351, D351=I351), "ACERTOU", IF(OR(C351=H351, D351=I351, C351=I351, D351=H351), "PARCIALMENTE", IF(OR(H351="Não há recomendação", I351="Não há recomendação", H351="SEM RECOMENDAÇÃO", I351="SEM RECOMENDAÇÃO"), "NÃO RECOMENDOU", "ERROU"))), "")</f>
        <v/>
      </c>
      <c r="K351" s="21">
        <f>IFERROR(INDEX([1]resposta_rag!$A$2:$A$33, MATCH(_xlfn.CONCAT("*#",[1]analise_resposta!A351,"*"), [1]resposta_rag!$C$2:$C$33, 0)), "")</f>
        <v/>
      </c>
      <c r="L351" s="21" t="n"/>
      <c r="M351" s="21">
        <f>IF(K351&lt;&gt;"",IF(AND(K371,D351=I351),"ACERTOU",IF(OR(C351=K351,D351=L351,C351=L351,D351=K351),"PARCIALMENTE","ERROU")),"")</f>
        <v/>
      </c>
      <c r="N351" s="22">
        <f>IFERROR(INDEX([1]respota_rag_adaptativo!$A$2:$A$853, MATCH(_xlfn.CONCAT("*#",[1]analise_resposta!A351,"*"), [1]respota_rag_adaptativo!$C$2:$C$85, 0)), "")</f>
        <v/>
      </c>
      <c r="O351" s="22" t="n"/>
      <c r="P351" s="22">
        <f>IF(N351&lt;&gt;"", IF(AND(C351=N351, D351=O351), "ACERTOU", IF(OR(C351=N351, D351=O351, C351=O351, D351=N351), "PARCIALMENTE", IF(OR(N351="Não há recomendação", O351="Não há recomendação", N351="SEM RECOMENDAÇÃO", O351="SEM RECOMENDAÇÃO"), "NÃO RECOMENDOU", "ERROU"))), "")</f>
        <v/>
      </c>
      <c r="Q351" s="23">
        <f>IFERROR(INDEX([1]resposta_plan_exec!$A$2:$A$121, MATCH(_xlfn.CONCAT("*",[1]analise_resposta!A351,"*"), [1]resposta_plan_exec!$C$2:$C$121, 0)), "")</f>
        <v/>
      </c>
      <c r="R351" s="23">
        <f>IF([1]analise_resposta!A351="", "",
    _xlfn.LET(_xlpm.resultado, IFERROR(INDEX([1]resposta_plan_exec!$B$2:$B$121,
                           MATCH(_xlfn.CONCAT("*", [1]analise_resposta!A351, "*"),
                                   [1]resposta_plan_exec!$C$2:$C$121, 0)), ""),
        IF(_xlpm.resultado="", "", _xlpm.resultado)))</f>
        <v/>
      </c>
      <c r="S351" s="23" t="n"/>
    </row>
    <row r="352">
      <c r="A352" t="n">
        <v>3062</v>
      </c>
      <c r="B352" s="3" t="inlineStr">
        <is>
          <t>Assistência Necessária: Problemas com HP DeskJet 3755 sem Fio</t>
        </is>
      </c>
      <c r="C352" s="3" t="inlineStr">
        <is>
          <t>Solicitação de Serviço</t>
        </is>
      </c>
      <c r="D352" s="3" t="inlineStr">
        <is>
          <t>Gerenciamento de Incidentes</t>
        </is>
      </c>
      <c r="F352" s="5">
        <f>IFERROR(INDEX([1]resposta_chat_stream!$B$2:$B$34, MATCH(_xlfn.CONCAT("*#",[1]analise_resposta!A352,"*"), [1]resposta_chat_stream!$C$2:$C$34, 0)), "")</f>
        <v/>
      </c>
      <c r="G352" s="6">
        <f>IF(E352&lt;&gt;"", IF(AND(C352=E352, D352=F352), "ACERTOU", IF(OR(C352=E352, D352=F352, C352=F352, D352=E352), "PARCIALMENTE", IF(OR(E352="Não há recomendação", F352="Não há recomendação", E352="SEM RECOMENDAÇÃO", F352="SEM RECOMENDAÇÃO"), "NÃO RECOMENDOU", "ERROU"))), "")</f>
        <v/>
      </c>
      <c r="H352" s="20">
        <f>IFERROR(INDEX([1]reposta_chat!$A$2:$A$121, MATCH(_xlfn.CONCAT("*#",[1]analise_resposta!A352,"*"), [1]reposta_chat!$C$2:$C$121, 0)), "")</f>
        <v/>
      </c>
      <c r="I352" s="20">
        <f>IFERROR(INDEX([1]reposta_chat!$B$2:$B$121, MATCH(_xlfn.CONCAT("*#",[1]analise_resposta!A352,"*"), [1]reposta_chat!$C$2:$C$121, 0)), "")</f>
        <v/>
      </c>
      <c r="J352" s="20">
        <f>IF(H352&lt;&gt;"", IF(AND(C352=H352, D352=I352), "ACERTOU", IF(OR(C352=H352, D352=I352, C352=I352, D352=H352), "PARCIALMENTE", IF(OR(H352="Não há recomendação", I352="Não há recomendação", H352="SEM RECOMENDAÇÃO", I352="SEM RECOMENDAÇÃO"), "NÃO RECOMENDOU", "ERROU"))), "")</f>
        <v/>
      </c>
      <c r="K352" s="21">
        <f>IFERROR(INDEX([1]resposta_rag!$A$2:$A$33, MATCH(_xlfn.CONCAT("*#",[1]analise_resposta!A352,"*"), [1]resposta_rag!$C$2:$C$33, 0)), "")</f>
        <v/>
      </c>
      <c r="L352" s="21" t="n"/>
      <c r="M352" s="21">
        <f>IF(K352&lt;&gt;"",IF(AND(K372,D352=I352),"ACERTOU",IF(OR(C352=K352,D352=L352,C352=L352,D352=K352),"PARCIALMENTE","ERROU")),"")</f>
        <v/>
      </c>
      <c r="N352" s="22">
        <f>IFERROR(INDEX([1]respota_rag_adaptativo!$A$2:$A$853, MATCH(_xlfn.CONCAT("*#",[1]analise_resposta!A352,"*"), [1]respota_rag_adaptativo!$C$2:$C$85, 0)), "")</f>
        <v/>
      </c>
      <c r="O352" s="22" t="n"/>
      <c r="P352" s="22">
        <f>IF(N352&lt;&gt;"", IF(AND(C352=N352, D352=O352), "ACERTOU", IF(OR(C352=N352, D352=O352, C352=O352, D352=N352), "PARCIALMENTE", IF(OR(N352="Não há recomendação", O352="Não há recomendação", N352="SEM RECOMENDAÇÃO", O352="SEM RECOMENDAÇÃO"), "NÃO RECOMENDOU", "ERROU"))), "")</f>
        <v/>
      </c>
      <c r="Q352" s="23">
        <f>IFERROR(INDEX([1]resposta_plan_exec!$A$2:$A$121, MATCH(_xlfn.CONCAT("*",[1]analise_resposta!A352,"*"), [1]resposta_plan_exec!$C$2:$C$121, 0)), "")</f>
        <v/>
      </c>
      <c r="R352" s="23">
        <f>IF([1]analise_resposta!A352="", "",
    _xlfn.LET(_xlpm.resultado, IFERROR(INDEX([1]resposta_plan_exec!$B$2:$B$121,
                           MATCH(_xlfn.CONCAT("*", [1]analise_resposta!A352, "*"),
                                   [1]resposta_plan_exec!$C$2:$C$121, 0)), ""),
        IF(_xlpm.resultado="", "", _xlpm.resultado)))</f>
        <v/>
      </c>
      <c r="S352" s="23" t="n"/>
    </row>
    <row r="353">
      <c r="A353" t="n">
        <v>3068</v>
      </c>
      <c r="B353" s="3" t="inlineStr">
        <is>
          <t>Urgente: Problemas de Login Durante a Apresentação de Pré-vendas</t>
        </is>
      </c>
      <c r="C353" s="3" t="inlineStr">
        <is>
          <t>Gerenciamento de Incidentes</t>
        </is>
      </c>
      <c r="D353" s="3" t="inlineStr">
        <is>
          <t>Gerenciamento de Acesso</t>
        </is>
      </c>
      <c r="F353" s="5">
        <f>IFERROR(INDEX([1]resposta_chat_stream!$B$2:$B$34, MATCH(_xlfn.CONCAT("*#",[1]analise_resposta!A353,"*"), [1]resposta_chat_stream!$C$2:$C$34, 0)), "")</f>
        <v/>
      </c>
      <c r="G353" s="6">
        <f>IF(E353&lt;&gt;"", IF(AND(C353=E353, D353=F353), "ACERTOU", IF(OR(C353=E353, D353=F353, C353=F353, D353=E353), "PARCIALMENTE", IF(OR(E353="Não há recomendação", F353="Não há recomendação", E353="SEM RECOMENDAÇÃO", F353="SEM RECOMENDAÇÃO"), "NÃO RECOMENDOU", "ERROU"))), "")</f>
        <v/>
      </c>
      <c r="H353" s="20">
        <f>IFERROR(INDEX([1]reposta_chat!$A$2:$A$121, MATCH(_xlfn.CONCAT("*#",[1]analise_resposta!A353,"*"), [1]reposta_chat!$C$2:$C$121, 0)), "")</f>
        <v/>
      </c>
      <c r="I353" s="20">
        <f>IFERROR(INDEX([1]reposta_chat!$B$2:$B$121, MATCH(_xlfn.CONCAT("*#",[1]analise_resposta!A353,"*"), [1]reposta_chat!$C$2:$C$121, 0)), "")</f>
        <v/>
      </c>
      <c r="J353" s="20">
        <f>IF(H353&lt;&gt;"", IF(AND(C353=H353, D353=I353), "ACERTOU", IF(OR(C353=H353, D353=I353, C353=I353, D353=H353), "PARCIALMENTE", IF(OR(H353="Não há recomendação", I353="Não há recomendação", H353="SEM RECOMENDAÇÃO", I353="SEM RECOMENDAÇÃO"), "NÃO RECOMENDOU", "ERROU"))), "")</f>
        <v/>
      </c>
      <c r="K353" s="21">
        <f>IFERROR(INDEX([1]resposta_rag!$A$2:$A$33, MATCH(_xlfn.CONCAT("*#",[1]analise_resposta!A353,"*"), [1]resposta_rag!$C$2:$C$33, 0)), "")</f>
        <v/>
      </c>
      <c r="L353" s="21" t="n"/>
      <c r="M353" s="21">
        <f>IF(K353&lt;&gt;"",IF(AND(K373,D353=I353),"ACERTOU",IF(OR(C353=K353,D353=L353,C353=L353,D353=K353),"PARCIALMENTE","ERROU")),"")</f>
        <v/>
      </c>
      <c r="N353" s="22">
        <f>IFERROR(INDEX([1]respota_rag_adaptativo!$A$2:$A$853, MATCH(_xlfn.CONCAT("*#",[1]analise_resposta!A353,"*"), [1]respota_rag_adaptativo!$C$2:$C$85, 0)), "")</f>
        <v/>
      </c>
      <c r="O353" s="22" t="n"/>
      <c r="P353" s="22">
        <f>IF(N353&lt;&gt;"", IF(AND(C353=N353, D353=O353), "ACERTOU", IF(OR(C353=N353, D353=O353, C353=O353, D353=N353), "PARCIALMENTE", IF(OR(N353="Não há recomendação", O353="Não há recomendação", N353="SEM RECOMENDAÇÃO", O353="SEM RECOMENDAÇÃO"), "NÃO RECOMENDOU", "ERROU"))), "")</f>
        <v/>
      </c>
      <c r="Q353" s="23">
        <f>IFERROR(INDEX([1]resposta_plan_exec!$A$2:$A$121, MATCH(_xlfn.CONCAT("*",[1]analise_resposta!A353,"*"), [1]resposta_plan_exec!$C$2:$C$121, 0)), "")</f>
        <v/>
      </c>
      <c r="R353" s="23">
        <f>IF([1]analise_resposta!A353="", "",
    _xlfn.LET(_xlpm.resultado, IFERROR(INDEX([1]resposta_plan_exec!$B$2:$B$121,
                           MATCH(_xlfn.CONCAT("*", [1]analise_resposta!A353, "*"),
                                   [1]resposta_plan_exec!$C$2:$C$121, 0)), ""),
        IF(_xlpm.resultado="", "", _xlpm.resultado)))</f>
        <v/>
      </c>
      <c r="S353" s="23" t="n"/>
    </row>
    <row r="354">
      <c r="A354" t="n">
        <v>3071</v>
      </c>
      <c r="B354" s="3" t="inlineStr">
        <is>
          <t>Solicitação de Troca para Canon PIXMA MG3620 Devido a Problemas de Qualidade de Impressão</t>
        </is>
      </c>
      <c r="C354" s="3" t="inlineStr">
        <is>
          <t>Solicitação de Serviço</t>
        </is>
      </c>
      <c r="D354" s="3" t="inlineStr">
        <is>
          <t>Gerenciamento de Ativos de TI</t>
        </is>
      </c>
      <c r="F354" s="5">
        <f>IFERROR(INDEX([1]resposta_chat_stream!$B$2:$B$34, MATCH(_xlfn.CONCAT("*#",[1]analise_resposta!A354,"*"), [1]resposta_chat_stream!$C$2:$C$34, 0)), "")</f>
        <v/>
      </c>
      <c r="G354" s="6">
        <f>IF(E354&lt;&gt;"", IF(AND(C354=E354, D354=F354), "ACERTOU", IF(OR(C354=E354, D354=F354, C354=F354, D354=E354), "PARCIALMENTE", IF(OR(E354="Não há recomendação", F354="Não há recomendação", E354="SEM RECOMENDAÇÃO", F354="SEM RECOMENDAÇÃO"), "NÃO RECOMENDOU", "ERROU"))), "")</f>
        <v/>
      </c>
      <c r="H354" s="20">
        <f>IFERROR(INDEX([1]reposta_chat!$A$2:$A$121, MATCH(_xlfn.CONCAT("*#",[1]analise_resposta!A354,"*"), [1]reposta_chat!$C$2:$C$121, 0)), "")</f>
        <v/>
      </c>
      <c r="I354" s="20">
        <f>IFERROR(INDEX([1]reposta_chat!$B$2:$B$121, MATCH(_xlfn.CONCAT("*#",[1]analise_resposta!A354,"*"), [1]reposta_chat!$C$2:$C$121, 0)), "")</f>
        <v/>
      </c>
      <c r="J354" s="20">
        <f>IF(H354&lt;&gt;"", IF(AND(C354=H354, D354=I354), "ACERTOU", IF(OR(C354=H354, D354=I354, C354=I354, D354=H354), "PARCIALMENTE", IF(OR(H354="Não há recomendação", I354="Não há recomendação", H354="SEM RECOMENDAÇÃO", I354="SEM RECOMENDAÇÃO"), "NÃO RECOMENDOU", "ERROU"))), "")</f>
        <v/>
      </c>
      <c r="K354" s="21">
        <f>IFERROR(INDEX([1]resposta_rag!$A$2:$A$33, MATCH(_xlfn.CONCAT("*#",[1]analise_resposta!A354,"*"), [1]resposta_rag!$C$2:$C$33, 0)), "")</f>
        <v/>
      </c>
      <c r="L354" s="21" t="n"/>
      <c r="M354" s="21">
        <f>IF(K354&lt;&gt;"",IF(AND(K374,D354=I354),"ACERTOU",IF(OR(C354=K354,D354=L354,C354=L354,D354=K354),"PARCIALMENTE","ERROU")),"")</f>
        <v/>
      </c>
      <c r="N354" s="22">
        <f>IFERROR(INDEX([1]respota_rag_adaptativo!$A$2:$A$853, MATCH(_xlfn.CONCAT("*#",[1]analise_resposta!A354,"*"), [1]respota_rag_adaptativo!$C$2:$C$85, 0)), "")</f>
        <v/>
      </c>
      <c r="O354" s="22" t="n"/>
      <c r="P354" s="22">
        <f>IF(N354&lt;&gt;"", IF(AND(C354=N354, D354=O354), "ACERTOU", IF(OR(C354=N354, D354=O354, C354=O354, D354=N354), "PARCIALMENTE", IF(OR(N354="Não há recomendação", O354="Não há recomendação", N354="SEM RECOMENDAÇÃO", O354="SEM RECOMENDAÇÃO"), "NÃO RECOMENDOU", "ERROU"))), "")</f>
        <v/>
      </c>
      <c r="Q354" s="23">
        <f>IFERROR(INDEX([1]resposta_plan_exec!$A$2:$A$121, MATCH(_xlfn.CONCAT("*",[1]analise_resposta!A354,"*"), [1]resposta_plan_exec!$C$2:$C$121, 0)), "")</f>
        <v/>
      </c>
      <c r="R354" s="23">
        <f>IF([1]analise_resposta!A354="", "",
    _xlfn.LET(_xlpm.resultado, IFERROR(INDEX([1]resposta_plan_exec!$B$2:$B$121,
                           MATCH(_xlfn.CONCAT("*", [1]analise_resposta!A354, "*"),
                                   [1]resposta_plan_exec!$C$2:$C$121, 0)), ""),
        IF(_xlpm.resultado="", "", _xlpm.resultado)))</f>
        <v/>
      </c>
      <c r="S354" s="23" t="n"/>
    </row>
    <row r="355">
      <c r="A355" t="n">
        <v>3073</v>
      </c>
      <c r="B355" s="3" t="inlineStr">
        <is>
          <t>Assistência para Desempenho do Servidor</t>
        </is>
      </c>
      <c r="C355" s="3" t="inlineStr">
        <is>
          <t>Solicitação de Serviço</t>
        </is>
      </c>
      <c r="D355" s="3" t="inlineStr">
        <is>
          <t>Gerenciamento de Capacidade</t>
        </is>
      </c>
      <c r="F355" s="5">
        <f>IFERROR(INDEX([1]resposta_chat_stream!$B$2:$B$34, MATCH(_xlfn.CONCAT("*#",[1]analise_resposta!A355,"*"), [1]resposta_chat_stream!$C$2:$C$34, 0)), "")</f>
        <v/>
      </c>
      <c r="G355" s="6">
        <f>IF(E355&lt;&gt;"", IF(AND(C355=E355, D355=F355), "ACERTOU", IF(OR(C355=E355, D355=F355, C355=F355, D355=E355), "PARCIALMENTE", IF(OR(E355="Não há recomendação", F355="Não há recomendação", E355="SEM RECOMENDAÇÃO", F355="SEM RECOMENDAÇÃO"), "NÃO RECOMENDOU", "ERROU"))), "")</f>
        <v/>
      </c>
      <c r="H355" s="20">
        <f>IFERROR(INDEX([1]reposta_chat!$A$2:$A$121, MATCH(_xlfn.CONCAT("*#",[1]analise_resposta!A355,"*"), [1]reposta_chat!$C$2:$C$121, 0)), "")</f>
        <v/>
      </c>
      <c r="I355" s="20">
        <f>IFERROR(INDEX([1]reposta_chat!$B$2:$B$121, MATCH(_xlfn.CONCAT("*#",[1]analise_resposta!A355,"*"), [1]reposta_chat!$C$2:$C$121, 0)), "")</f>
        <v/>
      </c>
      <c r="J355" s="20">
        <f>IF(H355&lt;&gt;"", IF(AND(C355=H355, D355=I355), "ACERTOU", IF(OR(C355=H355, D355=I355, C355=I355, D355=H355), "PARCIALMENTE", IF(OR(H355="Não há recomendação", I355="Não há recomendação", H355="SEM RECOMENDAÇÃO", I355="SEM RECOMENDAÇÃO"), "NÃO RECOMENDOU", "ERROU"))), "")</f>
        <v/>
      </c>
      <c r="K355" s="21">
        <f>IFERROR(INDEX([1]resposta_rag!$A$2:$A$33, MATCH(_xlfn.CONCAT("*#",[1]analise_resposta!A355,"*"), [1]resposta_rag!$C$2:$C$33, 0)), "")</f>
        <v/>
      </c>
      <c r="L355" s="21" t="n"/>
      <c r="M355" s="21">
        <f>IF(K355&lt;&gt;"",IF(AND(K375,D355=I355),"ACERTOU",IF(OR(C355=K355,D355=L355,C355=L355,D355=K355),"PARCIALMENTE","ERROU")),"")</f>
        <v/>
      </c>
      <c r="N355" s="22">
        <f>IFERROR(INDEX([1]respota_rag_adaptativo!$A$2:$A$853, MATCH(_xlfn.CONCAT("*#",[1]analise_resposta!A355,"*"), [1]respota_rag_adaptativo!$C$2:$C$85, 0)), "")</f>
        <v/>
      </c>
      <c r="O355" s="22" t="n"/>
      <c r="P355" s="22">
        <f>IF(N355&lt;&gt;"", IF(AND(C355=N355, D355=O355), "ACERTOU", IF(OR(C355=N355, D355=O355, C355=O355, D355=N355), "PARCIALMENTE", IF(OR(N355="Não há recomendação", O355="Não há recomendação", N355="SEM RECOMENDAÇÃO", O355="SEM RECOMENDAÇÃO"), "NÃO RECOMENDOU", "ERROU"))), "")</f>
        <v/>
      </c>
      <c r="Q355" s="23">
        <f>IFERROR(INDEX([1]resposta_plan_exec!$A$2:$A$121, MATCH(_xlfn.CONCAT("*",[1]analise_resposta!A355,"*"), [1]resposta_plan_exec!$C$2:$C$121, 0)), "")</f>
        <v/>
      </c>
      <c r="R355" s="23">
        <f>IF([1]analise_resposta!A355="", "",
    _xlfn.LET(_xlpm.resultado, IFERROR(INDEX([1]resposta_plan_exec!$B$2:$B$121,
                           MATCH(_xlfn.CONCAT("*", [1]analise_resposta!A355, "*"),
                                   [1]resposta_plan_exec!$C$2:$C$121, 0)), ""),
        IF(_xlpm.resultado="", "", _xlpm.resultado)))</f>
        <v/>
      </c>
      <c r="S355" s="23" t="n"/>
    </row>
    <row r="356">
      <c r="A356" t="n">
        <v>3081</v>
      </c>
      <c r="B356" s="3" t="inlineStr">
        <is>
          <t>Dificuldade com a impressora Canon PIXMA MG3620 adquirida na loja online</t>
        </is>
      </c>
      <c r="C356" s="3" t="inlineStr">
        <is>
          <t>Gerenciamento de Incidentes</t>
        </is>
      </c>
      <c r="D356" s="3" t="inlineStr">
        <is>
          <t>Gerenciamento de Problemas</t>
        </is>
      </c>
      <c r="F356" s="5">
        <f>IFERROR(INDEX([1]resposta_chat_stream!$B$2:$B$34, MATCH(_xlfn.CONCAT("*#",[1]analise_resposta!A356,"*"), [1]resposta_chat_stream!$C$2:$C$34, 0)), "")</f>
        <v/>
      </c>
      <c r="G356" s="6">
        <f>IF(E356&lt;&gt;"", IF(AND(C356=E356, D356=F356), "ACERTOU", IF(OR(C356=E356, D356=F356, C356=F356, D356=E356), "PARCIALMENTE", IF(OR(E356="Não há recomendação", F356="Não há recomendação", E356="SEM RECOMENDAÇÃO", F356="SEM RECOMENDAÇÃO"), "NÃO RECOMENDOU", "ERROU"))), "")</f>
        <v/>
      </c>
      <c r="H356" s="20">
        <f>IFERROR(INDEX([1]reposta_chat!$A$2:$A$121, MATCH(_xlfn.CONCAT("*#",[1]analise_resposta!A356,"*"), [1]reposta_chat!$C$2:$C$121, 0)), "")</f>
        <v/>
      </c>
      <c r="I356" s="20">
        <f>IFERROR(INDEX([1]reposta_chat!$B$2:$B$121, MATCH(_xlfn.CONCAT("*#",[1]analise_resposta!A356,"*"), [1]reposta_chat!$C$2:$C$121, 0)), "")</f>
        <v/>
      </c>
      <c r="J356" s="20">
        <f>IF(H356&lt;&gt;"", IF(AND(C356=H356, D356=I356), "ACERTOU", IF(OR(C356=H356, D356=I356, C356=I356, D356=H356), "PARCIALMENTE", IF(OR(H356="Não há recomendação", I356="Não há recomendação", H356="SEM RECOMENDAÇÃO", I356="SEM RECOMENDAÇÃO"), "NÃO RECOMENDOU", "ERROU"))), "")</f>
        <v/>
      </c>
      <c r="K356" s="21">
        <f>IFERROR(INDEX([1]resposta_rag!$A$2:$A$33, MATCH(_xlfn.CONCAT("*#",[1]analise_resposta!A356,"*"), [1]resposta_rag!$C$2:$C$33, 0)), "")</f>
        <v/>
      </c>
      <c r="L356" s="21" t="n"/>
      <c r="M356" s="21">
        <f>IF(K356&lt;&gt;"",IF(AND(K376,D356=I356),"ACERTOU",IF(OR(C356=K356,D356=L356,C356=L356,D356=K356),"PARCIALMENTE","ERROU")),"")</f>
        <v/>
      </c>
      <c r="N356" s="22">
        <f>IFERROR(INDEX([1]respota_rag_adaptativo!$A$2:$A$853, MATCH(_xlfn.CONCAT("*#",[1]analise_resposta!A356,"*"), [1]respota_rag_adaptativo!$C$2:$C$85, 0)), "")</f>
        <v/>
      </c>
      <c r="O356" s="22" t="n"/>
      <c r="P356" s="22">
        <f>IF(N356&lt;&gt;"", IF(AND(C356=N356, D356=O356), "ACERTOU", IF(OR(C356=N356, D356=O356, C356=O356, D356=N356), "PARCIALMENTE", IF(OR(N356="Não há recomendação", O356="Não há recomendação", N356="SEM RECOMENDAÇÃO", O356="SEM RECOMENDAÇÃO"), "NÃO RECOMENDOU", "ERROU"))), "")</f>
        <v/>
      </c>
      <c r="Q356" s="23">
        <f>IFERROR(INDEX([1]resposta_plan_exec!$A$2:$A$121, MATCH(_xlfn.CONCAT("*",[1]analise_resposta!A356,"*"), [1]resposta_plan_exec!$C$2:$C$121, 0)), "")</f>
        <v/>
      </c>
      <c r="R356" s="23">
        <f>IF([1]analise_resposta!A356="", "",
    _xlfn.LET(_xlpm.resultado, IFERROR(INDEX([1]resposta_plan_exec!$B$2:$B$121,
                           MATCH(_xlfn.CONCAT("*", [1]analise_resposta!A356, "*"),
                                   [1]resposta_plan_exec!$C$2:$C$121, 0)), ""),
        IF(_xlpm.resultado="", "", _xlpm.resultado)))</f>
        <v/>
      </c>
      <c r="S356" s="23" t="n"/>
    </row>
    <row r="357">
      <c r="A357" t="n">
        <v>3105</v>
      </c>
      <c r="B357" s="3" t="inlineStr">
        <is>
          <t>Consulta sobre a Configuração do Sistema de Tickets</t>
        </is>
      </c>
      <c r="C357" s="3" t="inlineStr">
        <is>
          <t>Solicitação de Serviço</t>
        </is>
      </c>
      <c r="D357" s="3" t="inlineStr">
        <is>
          <t>Gerenciamento de Nível de Serviço</t>
        </is>
      </c>
      <c r="F357" s="5">
        <f>IFERROR(INDEX([1]resposta_chat_stream!$B$2:$B$34, MATCH(_xlfn.CONCAT("*#",[1]analise_resposta!A357,"*"), [1]resposta_chat_stream!$C$2:$C$34, 0)), "")</f>
        <v/>
      </c>
      <c r="G357" s="6">
        <f>IF(E357&lt;&gt;"", IF(AND(C357=E357, D357=F357), "ACERTOU", IF(OR(C357=E357, D357=F357, C357=F357, D357=E357), "PARCIALMENTE", IF(OR(E357="Não há recomendação", F357="Não há recomendação", E357="SEM RECOMENDAÇÃO", F357="SEM RECOMENDAÇÃO"), "NÃO RECOMENDOU", "ERROU"))), "")</f>
        <v/>
      </c>
      <c r="H357" s="20">
        <f>IFERROR(INDEX([1]reposta_chat!$A$2:$A$121, MATCH(_xlfn.CONCAT("*#",[1]analise_resposta!A357,"*"), [1]reposta_chat!$C$2:$C$121, 0)), "")</f>
        <v/>
      </c>
      <c r="I357" s="20">
        <f>IFERROR(INDEX([1]reposta_chat!$B$2:$B$121, MATCH(_xlfn.CONCAT("*#",[1]analise_resposta!A357,"*"), [1]reposta_chat!$C$2:$C$121, 0)), "")</f>
        <v/>
      </c>
      <c r="J357" s="20">
        <f>IF(H357&lt;&gt;"", IF(AND(C357=H357, D357=I357), "ACERTOU", IF(OR(C357=H357, D357=I357, C357=I357, D357=H357), "PARCIALMENTE", IF(OR(H357="Não há recomendação", I357="Não há recomendação", H357="SEM RECOMENDAÇÃO", I357="SEM RECOMENDAÇÃO"), "NÃO RECOMENDOU", "ERROU"))), "")</f>
        <v/>
      </c>
      <c r="K357" s="21">
        <f>IFERROR(INDEX([1]resposta_rag!$A$2:$A$33, MATCH(_xlfn.CONCAT("*#",[1]analise_resposta!A357,"*"), [1]resposta_rag!$C$2:$C$33, 0)), "")</f>
        <v/>
      </c>
      <c r="L357" s="21" t="n"/>
      <c r="M357" s="21">
        <f>IF(K357&lt;&gt;"",IF(AND(K377,D357=I357),"ACERTOU",IF(OR(C357=K357,D357=L357,C357=L357,D357=K357),"PARCIALMENTE","ERROU")),"")</f>
        <v/>
      </c>
      <c r="N357" s="22">
        <f>IFERROR(INDEX([1]respota_rag_adaptativo!$A$2:$A$853, MATCH(_xlfn.CONCAT("*#",[1]analise_resposta!A357,"*"), [1]respota_rag_adaptativo!$C$2:$C$85, 0)), "")</f>
        <v/>
      </c>
      <c r="O357" s="22" t="n"/>
      <c r="P357" s="22">
        <f>IF(N357&lt;&gt;"", IF(AND(C357=N357, D357=O357), "ACERTOU", IF(OR(C357=N357, D357=O357, C357=O357, D357=N357), "PARCIALMENTE", IF(OR(N357="Não há recomendação", O357="Não há recomendação", N357="SEM RECOMENDAÇÃO", O357="SEM RECOMENDAÇÃO"), "NÃO RECOMENDOU", "ERROU"))), "")</f>
        <v/>
      </c>
      <c r="Q357" s="23">
        <f>IFERROR(INDEX([1]resposta_plan_exec!$A$2:$A$121, MATCH(_xlfn.CONCAT("*",[1]analise_resposta!A357,"*"), [1]resposta_plan_exec!$C$2:$C$121, 0)), "")</f>
        <v/>
      </c>
      <c r="R357" s="23">
        <f>IF([1]analise_resposta!A357="", "",
    _xlfn.LET(_xlpm.resultado, IFERROR(INDEX([1]resposta_plan_exec!$B$2:$B$121,
                           MATCH(_xlfn.CONCAT("*", [1]analise_resposta!A357, "*"),
                                   [1]resposta_plan_exec!$C$2:$C$121, 0)), ""),
        IF(_xlpm.resultado="", "", _xlpm.resultado)))</f>
        <v/>
      </c>
      <c r="S357" s="23" t="n"/>
    </row>
    <row r="358">
      <c r="A358" t="n">
        <v>3120</v>
      </c>
      <c r="B358" s="3" t="inlineStr">
        <is>
          <t>Pedido de Esclarecimento sobre as Taxas de Renovação Anual</t>
        </is>
      </c>
      <c r="C358" s="3" t="inlineStr">
        <is>
          <t>Gerenciamento Financeiro</t>
        </is>
      </c>
      <c r="D358" s="3" t="inlineStr">
        <is>
          <t>Gerenciamento de Nível de Serviço</t>
        </is>
      </c>
      <c r="F358" s="5">
        <f>IFERROR(INDEX([1]resposta_chat_stream!$B$2:$B$34, MATCH(_xlfn.CONCAT("*#",[1]analise_resposta!A358,"*"), [1]resposta_chat_stream!$C$2:$C$34, 0)), "")</f>
        <v/>
      </c>
      <c r="G358" s="6">
        <f>IF(E358&lt;&gt;"", IF(AND(C358=E358, D358=F358), "ACERTOU", IF(OR(C358=E358, D358=F358, C358=F358, D358=E358), "PARCIALMENTE", IF(OR(E358="Não há recomendação", F358="Não há recomendação", E358="SEM RECOMENDAÇÃO", F358="SEM RECOMENDAÇÃO"), "NÃO RECOMENDOU", "ERROU"))), "")</f>
        <v/>
      </c>
      <c r="H358" s="20">
        <f>IFERROR(INDEX([1]reposta_chat!$A$2:$A$121, MATCH(_xlfn.CONCAT("*#",[1]analise_resposta!A358,"*"), [1]reposta_chat!$C$2:$C$121, 0)), "")</f>
        <v/>
      </c>
      <c r="I358" s="20">
        <f>IFERROR(INDEX([1]reposta_chat!$B$2:$B$121, MATCH(_xlfn.CONCAT("*#",[1]analise_resposta!A358,"*"), [1]reposta_chat!$C$2:$C$121, 0)), "")</f>
        <v/>
      </c>
      <c r="J358" s="20">
        <f>IF(H358&lt;&gt;"", IF(AND(C358=H358, D358=I358), "ACERTOU", IF(OR(C358=H358, D358=I358, C358=I358, D358=H358), "PARCIALMENTE", IF(OR(H358="Não há recomendação", I358="Não há recomendação", H358="SEM RECOMENDAÇÃO", I358="SEM RECOMENDAÇÃO"), "NÃO RECOMENDOU", "ERROU"))), "")</f>
        <v/>
      </c>
      <c r="K358" s="21">
        <f>IFERROR(INDEX([1]resposta_rag!$A$2:$A$33, MATCH(_xlfn.CONCAT("*#",[1]analise_resposta!A358,"*"), [1]resposta_rag!$C$2:$C$33, 0)), "")</f>
        <v/>
      </c>
      <c r="L358" s="21" t="n"/>
      <c r="M358" s="21">
        <f>IF(K358&lt;&gt;"",IF(AND(K378,D358=I358),"ACERTOU",IF(OR(C358=K358,D358=L358,C358=L358,D358=K358),"PARCIALMENTE","ERROU")),"")</f>
        <v/>
      </c>
      <c r="N358" s="22">
        <f>IFERROR(INDEX([1]respota_rag_adaptativo!$A$2:$A$853, MATCH(_xlfn.CONCAT("*#",[1]analise_resposta!A358,"*"), [1]respota_rag_adaptativo!$C$2:$C$85, 0)), "")</f>
        <v/>
      </c>
      <c r="O358" s="22" t="n"/>
      <c r="P358" s="22">
        <f>IF(N358&lt;&gt;"", IF(AND(C358=N358, D358=O358), "ACERTOU", IF(OR(C358=N358, D358=O358, C358=O358, D358=N358), "PARCIALMENTE", IF(OR(N358="Não há recomendação", O358="Não há recomendação", N358="SEM RECOMENDAÇÃO", O358="SEM RECOMENDAÇÃO"), "NÃO RECOMENDOU", "ERROU"))), "")</f>
        <v/>
      </c>
      <c r="Q358" s="23">
        <f>IFERROR(INDEX([1]resposta_plan_exec!$A$2:$A$121, MATCH(_xlfn.CONCAT("*",[1]analise_resposta!A358,"*"), [1]resposta_plan_exec!$C$2:$C$121, 0)), "")</f>
        <v/>
      </c>
      <c r="R358" s="23">
        <f>IF([1]analise_resposta!A358="", "",
    _xlfn.LET(_xlpm.resultado, IFERROR(INDEX([1]resposta_plan_exec!$B$2:$B$121,
                           MATCH(_xlfn.CONCAT("*", [1]analise_resposta!A358, "*"),
                                   [1]resposta_plan_exec!$C$2:$C$121, 0)), ""),
        IF(_xlpm.resultado="", "", _xlpm.resultado)))</f>
        <v/>
      </c>
      <c r="S358" s="23" t="n"/>
    </row>
    <row r="359">
      <c r="A359" t="n">
        <v>3123</v>
      </c>
      <c r="B359" s="3" t="inlineStr">
        <is>
          <t>Problema Urgente no Servidor</t>
        </is>
      </c>
      <c r="C359" s="3" t="inlineStr">
        <is>
          <t>Gerenciamento de Incidentes</t>
        </is>
      </c>
      <c r="D359" s="3" t="inlineStr">
        <is>
          <t>Gerenciamento de Disponibilidade</t>
        </is>
      </c>
      <c r="F359" s="5">
        <f>IFERROR(INDEX([1]resposta_chat_stream!$B$2:$B$34, MATCH(_xlfn.CONCAT("*#",[1]analise_resposta!A359,"*"), [1]resposta_chat_stream!$C$2:$C$34, 0)), "")</f>
        <v/>
      </c>
      <c r="G359" s="6">
        <f>IF(E359&lt;&gt;"", IF(AND(C359=E359, D359=F359), "ACERTOU", IF(OR(C359=E359, D359=F359, C359=F359, D359=E359), "PARCIALMENTE", IF(OR(E359="Não há recomendação", F359="Não há recomendação", E359="SEM RECOMENDAÇÃO", F359="SEM RECOMENDAÇÃO"), "NÃO RECOMENDOU", "ERROU"))), "")</f>
        <v/>
      </c>
      <c r="H359" s="20">
        <f>IFERROR(INDEX([1]reposta_chat!$A$2:$A$121, MATCH(_xlfn.CONCAT("*#",[1]analise_resposta!A359,"*"), [1]reposta_chat!$C$2:$C$121, 0)), "")</f>
        <v/>
      </c>
      <c r="I359" s="20">
        <f>IFERROR(INDEX([1]reposta_chat!$B$2:$B$121, MATCH(_xlfn.CONCAT("*#",[1]analise_resposta!A359,"*"), [1]reposta_chat!$C$2:$C$121, 0)), "")</f>
        <v/>
      </c>
      <c r="J359" s="20">
        <f>IF(H359&lt;&gt;"", IF(AND(C359=H359, D359=I359), "ACERTOU", IF(OR(C359=H359, D359=I359, C359=I359, D359=H359), "PARCIALMENTE", IF(OR(H359="Não há recomendação", I359="Não há recomendação", H359="SEM RECOMENDAÇÃO", I359="SEM RECOMENDAÇÃO"), "NÃO RECOMENDOU", "ERROU"))), "")</f>
        <v/>
      </c>
      <c r="K359" s="21">
        <f>IFERROR(INDEX([1]resposta_rag!$A$2:$A$33, MATCH(_xlfn.CONCAT("*#",[1]analise_resposta!A359,"*"), [1]resposta_rag!$C$2:$C$33, 0)), "")</f>
        <v/>
      </c>
      <c r="L359" s="21" t="n"/>
      <c r="M359" s="21">
        <f>IF(K359&lt;&gt;"",IF(AND(K379,D359=I359),"ACERTOU",IF(OR(C359=K359,D359=L359,C359=L359,D359=K359),"PARCIALMENTE","ERROU")),"")</f>
        <v/>
      </c>
      <c r="N359" s="22">
        <f>IFERROR(INDEX([1]respota_rag_adaptativo!$A$2:$A$853, MATCH(_xlfn.CONCAT("*#",[1]analise_resposta!A359,"*"), [1]respota_rag_adaptativo!$C$2:$C$85, 0)), "")</f>
        <v/>
      </c>
      <c r="O359" s="22" t="n"/>
      <c r="P359" s="22">
        <f>IF(N359&lt;&gt;"", IF(AND(C359=N359, D359=O359), "ACERTOU", IF(OR(C359=N359, D359=O359, C359=O359, D359=N359), "PARCIALMENTE", IF(OR(N359="Não há recomendação", O359="Não há recomendação", N359="SEM RECOMENDAÇÃO", O359="SEM RECOMENDAÇÃO"), "NÃO RECOMENDOU", "ERROU"))), "")</f>
        <v/>
      </c>
      <c r="Q359" s="23">
        <f>IFERROR(INDEX([1]resposta_plan_exec!$A$2:$A$121, MATCH(_xlfn.CONCAT("*",[1]analise_resposta!A359,"*"), [1]resposta_plan_exec!$C$2:$C$121, 0)), "")</f>
        <v/>
      </c>
      <c r="R359" s="23">
        <f>IF([1]analise_resposta!A359="", "",
    _xlfn.LET(_xlpm.resultado, IFERROR(INDEX([1]resposta_plan_exec!$B$2:$B$121,
                           MATCH(_xlfn.CONCAT("*", [1]analise_resposta!A359, "*"),
                                   [1]resposta_plan_exec!$C$2:$C$121, 0)), ""),
        IF(_xlpm.resultado="", "", _xlpm.resultado)))</f>
        <v/>
      </c>
      <c r="S359" s="23" t="n"/>
    </row>
    <row r="360">
      <c r="A360" t="n">
        <v>3126</v>
      </c>
      <c r="B360" s="3" t="inlineStr">
        <is>
          <t>Solicitação de Modificação de Configuração do AWS</t>
        </is>
      </c>
      <c r="C360" s="3" t="inlineStr">
        <is>
          <t>Solicitação de Serviço</t>
        </is>
      </c>
      <c r="D360" s="3" t="inlineStr">
        <is>
          <t>Gerenciamento Financeiro</t>
        </is>
      </c>
      <c r="F360" s="5">
        <f>IFERROR(INDEX([1]resposta_chat_stream!$B$2:$B$34, MATCH(_xlfn.CONCAT("*#",[1]analise_resposta!A360,"*"), [1]resposta_chat_stream!$C$2:$C$34, 0)), "")</f>
        <v/>
      </c>
      <c r="G360" s="6">
        <f>IF(E360&lt;&gt;"", IF(AND(C360=E360, D360=F360), "ACERTOU", IF(OR(C360=E360, D360=F360, C360=F360, D360=E360), "PARCIALMENTE", IF(OR(E360="Não há recomendação", F360="Não há recomendação", E360="SEM RECOMENDAÇÃO", F360="SEM RECOMENDAÇÃO"), "NÃO RECOMENDOU", "ERROU"))), "")</f>
        <v/>
      </c>
      <c r="H360" s="20">
        <f>IFERROR(INDEX([1]reposta_chat!$A$2:$A$121, MATCH(_xlfn.CONCAT("*#",[1]analise_resposta!A360,"*"), [1]reposta_chat!$C$2:$C$121, 0)), "")</f>
        <v/>
      </c>
      <c r="I360" s="20">
        <f>IFERROR(INDEX([1]reposta_chat!$B$2:$B$121, MATCH(_xlfn.CONCAT("*#",[1]analise_resposta!A360,"*"), [1]reposta_chat!$C$2:$C$121, 0)), "")</f>
        <v/>
      </c>
      <c r="J360" s="20">
        <f>IF(H360&lt;&gt;"", IF(AND(C360=H360, D360=I360), "ACERTOU", IF(OR(C360=H360, D360=I360, C360=I360, D360=H360), "PARCIALMENTE", IF(OR(H360="Não há recomendação", I360="Não há recomendação", H360="SEM RECOMENDAÇÃO", I360="SEM RECOMENDAÇÃO"), "NÃO RECOMENDOU", "ERROU"))), "")</f>
        <v/>
      </c>
      <c r="K360" s="21">
        <f>IFERROR(INDEX([1]resposta_rag!$A$2:$A$33, MATCH(_xlfn.CONCAT("*#",[1]analise_resposta!A360,"*"), [1]resposta_rag!$C$2:$C$33, 0)), "")</f>
        <v/>
      </c>
      <c r="L360" s="21" t="n"/>
      <c r="M360" s="21">
        <f>IF(K360&lt;&gt;"",IF(AND(K380,D360=I360),"ACERTOU",IF(OR(C360=K360,D360=L360,C360=L360,D360=K360),"PARCIALMENTE","ERROU")),"")</f>
        <v/>
      </c>
      <c r="N360" s="22">
        <f>IFERROR(INDEX([1]respota_rag_adaptativo!$A$2:$A$853, MATCH(_xlfn.CONCAT("*#",[1]analise_resposta!A360,"*"), [1]respota_rag_adaptativo!$C$2:$C$85, 0)), "")</f>
        <v/>
      </c>
      <c r="O360" s="22" t="n"/>
      <c r="P360" s="22">
        <f>IF(N360&lt;&gt;"", IF(AND(C360=N360, D360=O360), "ACERTOU", IF(OR(C360=N360, D360=O360, C360=O360, D360=N360), "PARCIALMENTE", IF(OR(N360="Não há recomendação", O360="Não há recomendação", N360="SEM RECOMENDAÇÃO", O360="SEM RECOMENDAÇÃO"), "NÃO RECOMENDOU", "ERROU"))), "")</f>
        <v/>
      </c>
      <c r="Q360" s="23">
        <f>IFERROR(INDEX([1]resposta_plan_exec!$A$2:$A$121, MATCH(_xlfn.CONCAT("*",[1]analise_resposta!A360,"*"), [1]resposta_plan_exec!$C$2:$C$121, 0)), "")</f>
        <v/>
      </c>
      <c r="R360" s="23">
        <f>IF([1]analise_resposta!A360="", "",
    _xlfn.LET(_xlpm.resultado, IFERROR(INDEX([1]resposta_plan_exec!$B$2:$B$121,
                           MATCH(_xlfn.CONCAT("*", [1]analise_resposta!A360, "*"),
                                   [1]resposta_plan_exec!$C$2:$C$121, 0)), ""),
        IF(_xlpm.resultado="", "", _xlpm.resultado)))</f>
        <v/>
      </c>
      <c r="S360" s="23" t="n"/>
    </row>
    <row r="361">
      <c r="A361" t="n">
        <v>3127</v>
      </c>
      <c r="B361" s="3" t="inlineStr">
        <is>
          <t>Problema no Sistema de Bilhetagem: Tempos de Resposta Atrasados no Jira</t>
        </is>
      </c>
      <c r="C361" s="3" t="inlineStr">
        <is>
          <t>Gerenciamento de Incidentes</t>
        </is>
      </c>
      <c r="D361" s="3" t="inlineStr">
        <is>
          <t>Gerenciamento de Capacidade</t>
        </is>
      </c>
      <c r="F361" s="5">
        <f>IFERROR(INDEX([1]resposta_chat_stream!$B$2:$B$34, MATCH(_xlfn.CONCAT("*#",[1]analise_resposta!A361,"*"), [1]resposta_chat_stream!$C$2:$C$34, 0)), "")</f>
        <v/>
      </c>
      <c r="G361" s="6">
        <f>IF(E361&lt;&gt;"", IF(AND(C361=E361, D361=F361), "ACERTOU", IF(OR(C361=E361, D361=F361, C361=F361, D361=E361), "PARCIALMENTE", IF(OR(E361="Não há recomendação", F361="Não há recomendação", E361="SEM RECOMENDAÇÃO", F361="SEM RECOMENDAÇÃO"), "NÃO RECOMENDOU", "ERROU"))), "")</f>
        <v/>
      </c>
      <c r="H361" s="20">
        <f>IFERROR(INDEX([1]reposta_chat!$A$2:$A$121, MATCH(_xlfn.CONCAT("*#",[1]analise_resposta!A361,"*"), [1]reposta_chat!$C$2:$C$121, 0)), "")</f>
        <v/>
      </c>
      <c r="I361" s="20">
        <f>IFERROR(INDEX([1]reposta_chat!$B$2:$B$121, MATCH(_xlfn.CONCAT("*#",[1]analise_resposta!A361,"*"), [1]reposta_chat!$C$2:$C$121, 0)), "")</f>
        <v/>
      </c>
      <c r="J361" s="20">
        <f>IF(H361&lt;&gt;"", IF(AND(C361=H361, D361=I361), "ACERTOU", IF(OR(C361=H361, D361=I361, C361=I361, D361=H361), "PARCIALMENTE", IF(OR(H361="Não há recomendação", I361="Não há recomendação", H361="SEM RECOMENDAÇÃO", I361="SEM RECOMENDAÇÃO"), "NÃO RECOMENDOU", "ERROU"))), "")</f>
        <v/>
      </c>
      <c r="K361" s="21">
        <f>IFERROR(INDEX([1]resposta_rag!$A$2:$A$33, MATCH(_xlfn.CONCAT("*#",[1]analise_resposta!A361,"*"), [1]resposta_rag!$C$2:$C$33, 0)), "")</f>
        <v/>
      </c>
      <c r="L361" s="21" t="n"/>
      <c r="M361" s="21">
        <f>IF(K361&lt;&gt;"",IF(AND(K381,D361=I361),"ACERTOU",IF(OR(C361=K361,D361=L361,C361=L361,D361=K361),"PARCIALMENTE","ERROU")),"")</f>
        <v/>
      </c>
      <c r="N361" s="22">
        <f>IFERROR(INDEX([1]respota_rag_adaptativo!$A$2:$A$853, MATCH(_xlfn.CONCAT("*#",[1]analise_resposta!A361,"*"), [1]respota_rag_adaptativo!$C$2:$C$85, 0)), "")</f>
        <v/>
      </c>
      <c r="O361" s="22" t="n"/>
      <c r="P361" s="22">
        <f>IF(N361&lt;&gt;"", IF(AND(C361=N361, D361=O361), "ACERTOU", IF(OR(C361=N361, D361=O361, C361=O361, D361=N361), "PARCIALMENTE", IF(OR(N361="Não há recomendação", O361="Não há recomendação", N361="SEM RECOMENDAÇÃO", O361="SEM RECOMENDAÇÃO"), "NÃO RECOMENDOU", "ERROU"))), "")</f>
        <v/>
      </c>
      <c r="Q361" s="23">
        <f>IFERROR(INDEX([1]resposta_plan_exec!$A$2:$A$121, MATCH(_xlfn.CONCAT("*",[1]analise_resposta!A361,"*"), [1]resposta_plan_exec!$C$2:$C$121, 0)), "")</f>
        <v/>
      </c>
      <c r="R361" s="23">
        <f>IF([1]analise_resposta!A361="", "",
    _xlfn.LET(_xlpm.resultado, IFERROR(INDEX([1]resposta_plan_exec!$B$2:$B$121,
                           MATCH(_xlfn.CONCAT("*", [1]analise_resposta!A361, "*"),
                                   [1]resposta_plan_exec!$C$2:$C$121, 0)), ""),
        IF(_xlpm.resultado="", "", _xlpm.resultado)))</f>
        <v/>
      </c>
      <c r="S361" s="23" t="n"/>
    </row>
    <row r="362">
      <c r="A362" t="n">
        <v>3138</v>
      </c>
      <c r="B362" s="3" t="inlineStr">
        <is>
          <t>Consulta sobre Serviço de Consultoria em TI</t>
        </is>
      </c>
      <c r="C362" s="3" t="inlineStr">
        <is>
          <t>Solicitação de Serviço</t>
        </is>
      </c>
      <c r="D362" s="3" t="inlineStr">
        <is>
          <t>Gerenciamento de Nível de Serviço</t>
        </is>
      </c>
      <c r="F362" s="5">
        <f>IFERROR(INDEX([1]resposta_chat_stream!$B$2:$B$34, MATCH(_xlfn.CONCAT("*#",[1]analise_resposta!A362,"*"), [1]resposta_chat_stream!$C$2:$C$34, 0)), "")</f>
        <v/>
      </c>
      <c r="G362" s="6">
        <f>IF(E362&lt;&gt;"", IF(AND(C362=E362, D362=F362), "ACERTOU", IF(OR(C362=E362, D362=F362, C362=F362, D362=E362), "PARCIALMENTE", IF(OR(E362="Não há recomendação", F362="Não há recomendação", E362="SEM RECOMENDAÇÃO", F362="SEM RECOMENDAÇÃO"), "NÃO RECOMENDOU", "ERROU"))), "")</f>
        <v/>
      </c>
      <c r="H362" s="20">
        <f>IFERROR(INDEX([1]reposta_chat!$A$2:$A$121, MATCH(_xlfn.CONCAT("*#",[1]analise_resposta!A362,"*"), [1]reposta_chat!$C$2:$C$121, 0)), "")</f>
        <v/>
      </c>
      <c r="I362" s="20">
        <f>IFERROR(INDEX([1]reposta_chat!$B$2:$B$121, MATCH(_xlfn.CONCAT("*#",[1]analise_resposta!A362,"*"), [1]reposta_chat!$C$2:$C$121, 0)), "")</f>
        <v/>
      </c>
      <c r="J362" s="20">
        <f>IF(H362&lt;&gt;"", IF(AND(C362=H362, D362=I362), "ACERTOU", IF(OR(C362=H362, D362=I362, C362=I362, D362=H362), "PARCIALMENTE", IF(OR(H362="Não há recomendação", I362="Não há recomendação", H362="SEM RECOMENDAÇÃO", I362="SEM RECOMENDAÇÃO"), "NÃO RECOMENDOU", "ERROU"))), "")</f>
        <v/>
      </c>
      <c r="K362" s="21">
        <f>IFERROR(INDEX([1]resposta_rag!$A$2:$A$33, MATCH(_xlfn.CONCAT("*#",[1]analise_resposta!A362,"*"), [1]resposta_rag!$C$2:$C$33, 0)), "")</f>
        <v/>
      </c>
      <c r="L362" s="21" t="n"/>
      <c r="M362" s="21">
        <f>IF(K362&lt;&gt;"",IF(AND(K382,D362=I362),"ACERTOU",IF(OR(C362=K362,D362=L362,C362=L362,D362=K362),"PARCIALMENTE","ERROU")),"")</f>
        <v/>
      </c>
      <c r="N362" s="22">
        <f>IFERROR(INDEX([1]respota_rag_adaptativo!$A$2:$A$853, MATCH(_xlfn.CONCAT("*#",[1]analise_resposta!A362,"*"), [1]respota_rag_adaptativo!$C$2:$C$85, 0)), "")</f>
        <v/>
      </c>
      <c r="O362" s="22" t="n"/>
      <c r="P362" s="22">
        <f>IF(N362&lt;&gt;"", IF(AND(C362=N362, D362=O362), "ACERTOU", IF(OR(C362=N362, D362=O362, C362=O362, D362=N362), "PARCIALMENTE", IF(OR(N362="Não há recomendação", O362="Não há recomendação", N362="SEM RECOMENDAÇÃO", O362="SEM RECOMENDAÇÃO"), "NÃO RECOMENDOU", "ERROU"))), "")</f>
        <v/>
      </c>
      <c r="Q362" s="23">
        <f>IFERROR(INDEX([1]resposta_plan_exec!$A$2:$A$121, MATCH(_xlfn.CONCAT("*",[1]analise_resposta!A362,"*"), [1]resposta_plan_exec!$C$2:$C$121, 0)), "")</f>
        <v/>
      </c>
      <c r="R362" s="23">
        <f>IF([1]analise_resposta!A362="", "",
    _xlfn.LET(_xlpm.resultado, IFERROR(INDEX([1]resposta_plan_exec!$B$2:$B$121,
                           MATCH(_xlfn.CONCAT("*", [1]analise_resposta!A362, "*"),
                                   [1]resposta_plan_exec!$C$2:$C$121, 0)), ""),
        IF(_xlpm.resultado="", "", _xlpm.resultado)))</f>
        <v/>
      </c>
      <c r="S362" s="23" t="n"/>
    </row>
    <row r="363">
      <c r="A363" t="n">
        <v>3145</v>
      </c>
      <c r="B363" s="3" t="inlineStr">
        <is>
          <t>Urgente: Problemas de Conexão com PostgreSQL</t>
        </is>
      </c>
      <c r="C363" s="3" t="inlineStr">
        <is>
          <t>Gerenciamento de Incidentes</t>
        </is>
      </c>
      <c r="D363" s="3" t="inlineStr">
        <is>
          <t>Gerenciamento de Disponibilidade</t>
        </is>
      </c>
      <c r="F363" s="5">
        <f>IFERROR(INDEX([1]resposta_chat_stream!$B$2:$B$34, MATCH(_xlfn.CONCAT("*#",[1]analise_resposta!A363,"*"), [1]resposta_chat_stream!$C$2:$C$34, 0)), "")</f>
        <v/>
      </c>
      <c r="G363" s="6">
        <f>IF(E363&lt;&gt;"", IF(AND(C363=E363, D363=F363), "ACERTOU", IF(OR(C363=E363, D363=F363, C363=F363, D363=E363), "PARCIALMENTE", IF(OR(E363="Não há recomendação", F363="Não há recomendação", E363="SEM RECOMENDAÇÃO", F363="SEM RECOMENDAÇÃO"), "NÃO RECOMENDOU", "ERROU"))), "")</f>
        <v/>
      </c>
      <c r="H363" s="20">
        <f>IFERROR(INDEX([1]reposta_chat!$A$2:$A$121, MATCH(_xlfn.CONCAT("*#",[1]analise_resposta!A363,"*"), [1]reposta_chat!$C$2:$C$121, 0)), "")</f>
        <v/>
      </c>
      <c r="I363" s="20">
        <f>IFERROR(INDEX([1]reposta_chat!$B$2:$B$121, MATCH(_xlfn.CONCAT("*#",[1]analise_resposta!A363,"*"), [1]reposta_chat!$C$2:$C$121, 0)), "")</f>
        <v/>
      </c>
      <c r="J363" s="20">
        <f>IF(H363&lt;&gt;"", IF(AND(C363=H363, D363=I363), "ACERTOU", IF(OR(C363=H363, D363=I363, C363=I363, D363=H363), "PARCIALMENTE", IF(OR(H363="Não há recomendação", I363="Não há recomendação", H363="SEM RECOMENDAÇÃO", I363="SEM RECOMENDAÇÃO"), "NÃO RECOMENDOU", "ERROU"))), "")</f>
        <v/>
      </c>
      <c r="K363" s="21">
        <f>IFERROR(INDEX([1]resposta_rag!$A$2:$A$33, MATCH(_xlfn.CONCAT("*#",[1]analise_resposta!A363,"*"), [1]resposta_rag!$C$2:$C$33, 0)), "")</f>
        <v/>
      </c>
      <c r="L363" s="21" t="n"/>
      <c r="M363" s="21">
        <f>IF(K363&lt;&gt;"",IF(AND(K383,D363=I363),"ACERTOU",IF(OR(C363=K363,D363=L363,C363=L363,D363=K363),"PARCIALMENTE","ERROU")),"")</f>
        <v/>
      </c>
      <c r="N363" s="22">
        <f>IFERROR(INDEX([1]respota_rag_adaptativo!$A$2:$A$853, MATCH(_xlfn.CONCAT("*#",[1]analise_resposta!A363,"*"), [1]respota_rag_adaptativo!$C$2:$C$85, 0)), "")</f>
        <v/>
      </c>
      <c r="O363" s="22" t="n"/>
      <c r="P363" s="22">
        <f>IF(N363&lt;&gt;"", IF(AND(C363=N363, D363=O363), "ACERTOU", IF(OR(C363=N363, D363=O363, C363=O363, D363=N363), "PARCIALMENTE", IF(OR(N363="Não há recomendação", O363="Não há recomendação", N363="SEM RECOMENDAÇÃO", O363="SEM RECOMENDAÇÃO"), "NÃO RECOMENDOU", "ERROU"))), "")</f>
        <v/>
      </c>
      <c r="Q363" s="23">
        <f>IFERROR(INDEX([1]resposta_plan_exec!$A$2:$A$121, MATCH(_xlfn.CONCAT("*",[1]analise_resposta!A363,"*"), [1]resposta_plan_exec!$C$2:$C$121, 0)), "")</f>
        <v/>
      </c>
      <c r="R363" s="23">
        <f>IF([1]analise_resposta!A363="", "",
    _xlfn.LET(_xlpm.resultado, IFERROR(INDEX([1]resposta_plan_exec!$B$2:$B$121,
                           MATCH(_xlfn.CONCAT("*", [1]analise_resposta!A363, "*"),
                                   [1]resposta_plan_exec!$C$2:$C$121, 0)), ""),
        IF(_xlpm.resultado="", "", _xlpm.resultado)))</f>
        <v/>
      </c>
      <c r="S363" s="23" t="n"/>
    </row>
    <row r="364">
      <c r="A364" t="n">
        <v>3151</v>
      </c>
      <c r="B364" s="3" t="inlineStr">
        <is>
          <t>Problema de bateria com o Dell XPS 13</t>
        </is>
      </c>
      <c r="C364" s="3" t="inlineStr">
        <is>
          <t>Gerenciamento de Incidentes</t>
        </is>
      </c>
      <c r="D364" s="3" t="inlineStr">
        <is>
          <t>Gerenciamento de Ativos de TI</t>
        </is>
      </c>
      <c r="F364" s="5">
        <f>IFERROR(INDEX([1]resposta_chat_stream!$B$2:$B$34, MATCH(_xlfn.CONCAT("*#",[1]analise_resposta!A364,"*"), [1]resposta_chat_stream!$C$2:$C$34, 0)), "")</f>
        <v/>
      </c>
      <c r="G364" s="6">
        <f>IF(E364&lt;&gt;"", IF(AND(C364=E364, D364=F364), "ACERTOU", IF(OR(C364=E364, D364=F364, C364=F364, D364=E364), "PARCIALMENTE", IF(OR(E364="Não há recomendação", F364="Não há recomendação", E364="SEM RECOMENDAÇÃO", F364="SEM RECOMENDAÇÃO"), "NÃO RECOMENDOU", "ERROU"))), "")</f>
        <v/>
      </c>
      <c r="H364" s="20">
        <f>IFERROR(INDEX([1]reposta_chat!$A$2:$A$121, MATCH(_xlfn.CONCAT("*#",[1]analise_resposta!A364,"*"), [1]reposta_chat!$C$2:$C$121, 0)), "")</f>
        <v/>
      </c>
      <c r="I364" s="20">
        <f>IFERROR(INDEX([1]reposta_chat!$B$2:$B$121, MATCH(_xlfn.CONCAT("*#",[1]analise_resposta!A364,"*"), [1]reposta_chat!$C$2:$C$121, 0)), "")</f>
        <v/>
      </c>
      <c r="J364" s="20">
        <f>IF(H364&lt;&gt;"", IF(AND(C364=H364, D364=I364), "ACERTOU", IF(OR(C364=H364, D364=I364, C364=I364, D364=H364), "PARCIALMENTE", IF(OR(H364="Não há recomendação", I364="Não há recomendação", H364="SEM RECOMENDAÇÃO", I364="SEM RECOMENDAÇÃO"), "NÃO RECOMENDOU", "ERROU"))), "")</f>
        <v/>
      </c>
      <c r="K364" s="21">
        <f>IFERROR(INDEX([1]resposta_rag!$A$2:$A$33, MATCH(_xlfn.CONCAT("*#",[1]analise_resposta!A364,"*"), [1]resposta_rag!$C$2:$C$33, 0)), "")</f>
        <v/>
      </c>
      <c r="L364" s="21" t="n"/>
      <c r="M364" s="21">
        <f>IF(K364&lt;&gt;"",IF(AND(K384,D364=I364),"ACERTOU",IF(OR(C364=K364,D364=L364,C364=L364,D364=K364),"PARCIALMENTE","ERROU")),"")</f>
        <v/>
      </c>
      <c r="N364" s="22">
        <f>IFERROR(INDEX([1]respota_rag_adaptativo!$A$2:$A$853, MATCH(_xlfn.CONCAT("*#",[1]analise_resposta!A364,"*"), [1]respota_rag_adaptativo!$C$2:$C$85, 0)), "")</f>
        <v/>
      </c>
      <c r="O364" s="22" t="n"/>
      <c r="P364" s="22">
        <f>IF(N364&lt;&gt;"", IF(AND(C364=N364, D364=O364), "ACERTOU", IF(OR(C364=N364, D364=O364, C364=O364, D364=N364), "PARCIALMENTE", IF(OR(N364="Não há recomendação", O364="Não há recomendação", N364="SEM RECOMENDAÇÃO", O364="SEM RECOMENDAÇÃO"), "NÃO RECOMENDOU", "ERROU"))), "")</f>
        <v/>
      </c>
      <c r="Q364" s="23">
        <f>IFERROR(INDEX([1]resposta_plan_exec!$A$2:$A$121, MATCH(_xlfn.CONCAT("*",[1]analise_resposta!A364,"*"), [1]resposta_plan_exec!$C$2:$C$121, 0)), "")</f>
        <v/>
      </c>
      <c r="R364" s="23">
        <f>IF([1]analise_resposta!A364="", "",
    _xlfn.LET(_xlpm.resultado, IFERROR(INDEX([1]resposta_plan_exec!$B$2:$B$121,
                           MATCH(_xlfn.CONCAT("*", [1]analise_resposta!A364, "*"),
                                   [1]resposta_plan_exec!$C$2:$C$121, 0)), ""),
        IF(_xlpm.resultado="", "", _xlpm.resultado)))</f>
        <v/>
      </c>
      <c r="S364" s="23" t="n"/>
    </row>
    <row r="365">
      <c r="A365" t="n">
        <v>3157</v>
      </c>
      <c r="B365" s="3" t="inlineStr">
        <is>
          <t>Inatividade do Servidor Requer Atenção Imediata</t>
        </is>
      </c>
      <c r="C365" s="3" t="inlineStr">
        <is>
          <t>Gerenciamento de Incidentes</t>
        </is>
      </c>
      <c r="D365" s="3" t="inlineStr">
        <is>
          <t>Gerenciamento de Disponibilidade</t>
        </is>
      </c>
      <c r="F365" s="5">
        <f>IFERROR(INDEX([1]resposta_chat_stream!$B$2:$B$34, MATCH(_xlfn.CONCAT("*#",[1]analise_resposta!A365,"*"), [1]resposta_chat_stream!$C$2:$C$34, 0)), "")</f>
        <v/>
      </c>
      <c r="G365" s="6">
        <f>IF(E365&lt;&gt;"", IF(AND(C365=E365, D365=F365), "ACERTOU", IF(OR(C365=E365, D365=F365, C365=F365, D365=E365), "PARCIALMENTE", IF(OR(E365="Não há recomendação", F365="Não há recomendação", E365="SEM RECOMENDAÇÃO", F365="SEM RECOMENDAÇÃO"), "NÃO RECOMENDOU", "ERROU"))), "")</f>
        <v/>
      </c>
      <c r="H365" s="20">
        <f>IFERROR(INDEX([1]reposta_chat!$A$2:$A$121, MATCH(_xlfn.CONCAT("*#",[1]analise_resposta!A365,"*"), [1]reposta_chat!$C$2:$C$121, 0)), "")</f>
        <v/>
      </c>
      <c r="I365" s="20">
        <f>IFERROR(INDEX([1]reposta_chat!$B$2:$B$121, MATCH(_xlfn.CONCAT("*#",[1]analise_resposta!A365,"*"), [1]reposta_chat!$C$2:$C$121, 0)), "")</f>
        <v/>
      </c>
      <c r="J365" s="20">
        <f>IF(H365&lt;&gt;"", IF(AND(C365=H365, D365=I365), "ACERTOU", IF(OR(C365=H365, D365=I365, C365=I365, D365=H365), "PARCIALMENTE", IF(OR(H365="Não há recomendação", I365="Não há recomendação", H365="SEM RECOMENDAÇÃO", I365="SEM RECOMENDAÇÃO"), "NÃO RECOMENDOU", "ERROU"))), "")</f>
        <v/>
      </c>
      <c r="K365" s="21">
        <f>IFERROR(INDEX([1]resposta_rag!$A$2:$A$33, MATCH(_xlfn.CONCAT("*#",[1]analise_resposta!A365,"*"), [1]resposta_rag!$C$2:$C$33, 0)), "")</f>
        <v/>
      </c>
      <c r="L365" s="21" t="n"/>
      <c r="M365" s="21">
        <f>IF(K365&lt;&gt;"",IF(AND(K385,D365=I365),"ACERTOU",IF(OR(C365=K365,D365=L365,C365=L365,D365=K365),"PARCIALMENTE","ERROU")),"")</f>
        <v/>
      </c>
      <c r="N365" s="22">
        <f>IFERROR(INDEX([1]respota_rag_adaptativo!$A$2:$A$853, MATCH(_xlfn.CONCAT("*#",[1]analise_resposta!A365,"*"), [1]respota_rag_adaptativo!$C$2:$C$85, 0)), "")</f>
        <v/>
      </c>
      <c r="O365" s="22" t="n"/>
      <c r="P365" s="22">
        <f>IF(N365&lt;&gt;"", IF(AND(C365=N365, D365=O365), "ACERTOU", IF(OR(C365=N365, D365=O365, C365=O365, D365=N365), "PARCIALMENTE", IF(OR(N365="Não há recomendação", O365="Não há recomendação", N365="SEM RECOMENDAÇÃO", O365="SEM RECOMENDAÇÃO"), "NÃO RECOMENDOU", "ERROU"))), "")</f>
        <v/>
      </c>
      <c r="Q365" s="23">
        <f>IFERROR(INDEX([1]resposta_plan_exec!$A$2:$A$121, MATCH(_xlfn.CONCAT("*",[1]analise_resposta!A365,"*"), [1]resposta_plan_exec!$C$2:$C$121, 0)), "")</f>
        <v/>
      </c>
      <c r="R365" s="23">
        <f>IF([1]analise_resposta!A365="", "",
    _xlfn.LET(_xlpm.resultado, IFERROR(INDEX([1]resposta_plan_exec!$B$2:$B$121,
                           MATCH(_xlfn.CONCAT("*", [1]analise_resposta!A365, "*"),
                                   [1]resposta_plan_exec!$C$2:$C$121, 0)), ""),
        IF(_xlpm.resultado="", "", _xlpm.resultado)))</f>
        <v/>
      </c>
      <c r="S365" s="23" t="n"/>
    </row>
    <row r="366">
      <c r="A366" t="n">
        <v>3167</v>
      </c>
      <c r="B366" s="3" t="inlineStr">
        <is>
          <t>Consulta sobre Upgrade do Dell XPS 13 9310</t>
        </is>
      </c>
      <c r="C366" s="3" t="inlineStr">
        <is>
          <t>Solicitação de Serviço</t>
        </is>
      </c>
      <c r="D366" s="3" t="inlineStr">
        <is>
          <t>Gerenciamento de Ativos de TI</t>
        </is>
      </c>
      <c r="F366" s="5">
        <f>IFERROR(INDEX([1]resposta_chat_stream!$B$2:$B$34, MATCH(_xlfn.CONCAT("*#",[1]analise_resposta!A366,"*"), [1]resposta_chat_stream!$C$2:$C$34, 0)), "")</f>
        <v/>
      </c>
      <c r="G366" s="6">
        <f>IF(E366&lt;&gt;"", IF(AND(C366=E366, D366=F366), "ACERTOU", IF(OR(C366=E366, D366=F366, C366=F366, D366=E366), "PARCIALMENTE", IF(OR(E366="Não há recomendação", F366="Não há recomendação", E366="SEM RECOMENDAÇÃO", F366="SEM RECOMENDAÇÃO"), "NÃO RECOMENDOU", "ERROU"))), "")</f>
        <v/>
      </c>
      <c r="H366" s="20">
        <f>IFERROR(INDEX([1]reposta_chat!$A$2:$A$121, MATCH(_xlfn.CONCAT("*#",[1]analise_resposta!A366,"*"), [1]reposta_chat!$C$2:$C$121, 0)), "")</f>
        <v/>
      </c>
      <c r="I366" s="20">
        <f>IFERROR(INDEX([1]reposta_chat!$B$2:$B$121, MATCH(_xlfn.CONCAT("*#",[1]analise_resposta!A366,"*"), [1]reposta_chat!$C$2:$C$121, 0)), "")</f>
        <v/>
      </c>
      <c r="J366" s="20">
        <f>IF(H366&lt;&gt;"", IF(AND(C366=H366, D366=I366), "ACERTOU", IF(OR(C366=H366, D366=I366, C366=I366, D366=H366), "PARCIALMENTE", IF(OR(H366="Não há recomendação", I366="Não há recomendação", H366="SEM RECOMENDAÇÃO", I366="SEM RECOMENDAÇÃO"), "NÃO RECOMENDOU", "ERROU"))), "")</f>
        <v/>
      </c>
      <c r="K366" s="21">
        <f>IFERROR(INDEX([1]resposta_rag!$A$2:$A$33, MATCH(_xlfn.CONCAT("*#",[1]analise_resposta!A366,"*"), [1]resposta_rag!$C$2:$C$33, 0)), "")</f>
        <v/>
      </c>
      <c r="L366" s="21" t="n"/>
      <c r="M366" s="21">
        <f>IF(K366&lt;&gt;"",IF(AND(K386,D366=I366),"ACERTOU",IF(OR(C366=K366,D366=L366,C366=L366,D366=K366),"PARCIALMENTE","ERROU")),"")</f>
        <v/>
      </c>
      <c r="N366" s="22">
        <f>IFERROR(INDEX([1]respota_rag_adaptativo!$A$2:$A$853, MATCH(_xlfn.CONCAT("*#",[1]analise_resposta!A366,"*"), [1]respota_rag_adaptativo!$C$2:$C$85, 0)), "")</f>
        <v/>
      </c>
      <c r="O366" s="22" t="n"/>
      <c r="P366" s="22">
        <f>IF(N366&lt;&gt;"", IF(AND(C366=N366, D366=O366), "ACERTOU", IF(OR(C366=N366, D366=O366, C366=O366, D366=N366), "PARCIALMENTE", IF(OR(N366="Não há recomendação", O366="Não há recomendação", N366="SEM RECOMENDAÇÃO", O366="SEM RECOMENDAÇÃO"), "NÃO RECOMENDOU", "ERROU"))), "")</f>
        <v/>
      </c>
      <c r="Q366" s="23">
        <f>IFERROR(INDEX([1]resposta_plan_exec!$A$2:$A$121, MATCH(_xlfn.CONCAT("*",[1]analise_resposta!A366,"*"), [1]resposta_plan_exec!$C$2:$C$121, 0)), "")</f>
        <v/>
      </c>
      <c r="R366" s="23">
        <f>IF([1]analise_resposta!A366="", "",
    _xlfn.LET(_xlpm.resultado, IFERROR(INDEX([1]resposta_plan_exec!$B$2:$B$121,
                           MATCH(_xlfn.CONCAT("*", [1]analise_resposta!A366, "*"),
                                   [1]resposta_plan_exec!$C$2:$C$121, 0)), ""),
        IF(_xlpm.resultado="", "", _xlpm.resultado)))</f>
        <v/>
      </c>
      <c r="S366" s="23" t="n"/>
    </row>
    <row r="367">
      <c r="A367" t="n">
        <v>3171</v>
      </c>
      <c r="B367" s="3" t="inlineStr">
        <is>
          <t>Urgente: Suporte para Roteador com Mau Funcionamento</t>
        </is>
      </c>
      <c r="C367" s="3" t="inlineStr">
        <is>
          <t>Gerenciamento de Incidentes</t>
        </is>
      </c>
      <c r="D367" s="3" t="inlineStr">
        <is>
          <t>Gerenciamento de Mudanças</t>
        </is>
      </c>
      <c r="F367" s="5">
        <f>IFERROR(INDEX([1]resposta_chat_stream!$B$2:$B$34, MATCH(_xlfn.CONCAT("*#",[1]analise_resposta!A367,"*"), [1]resposta_chat_stream!$C$2:$C$34, 0)), "")</f>
        <v/>
      </c>
      <c r="G367" s="6">
        <f>IF(E367&lt;&gt;"", IF(AND(C367=E367, D367=F367), "ACERTOU", IF(OR(C367=E367, D367=F367, C367=F367, D367=E367), "PARCIALMENTE", IF(OR(E367="Não há recomendação", F367="Não há recomendação", E367="SEM RECOMENDAÇÃO", F367="SEM RECOMENDAÇÃO"), "NÃO RECOMENDOU", "ERROU"))), "")</f>
        <v/>
      </c>
      <c r="H367" s="20">
        <f>IFERROR(INDEX([1]reposta_chat!$A$2:$A$121, MATCH(_xlfn.CONCAT("*#",[1]analise_resposta!A367,"*"), [1]reposta_chat!$C$2:$C$121, 0)), "")</f>
        <v/>
      </c>
      <c r="I367" s="20">
        <f>IFERROR(INDEX([1]reposta_chat!$B$2:$B$121, MATCH(_xlfn.CONCAT("*#",[1]analise_resposta!A367,"*"), [1]reposta_chat!$C$2:$C$121, 0)), "")</f>
        <v/>
      </c>
      <c r="J367" s="20">
        <f>IF(H367&lt;&gt;"", IF(AND(C367=H367, D367=I367), "ACERTOU", IF(OR(C367=H367, D367=I367, C367=I367, D367=H367), "PARCIALMENTE", IF(OR(H367="Não há recomendação", I367="Não há recomendação", H367="SEM RECOMENDAÇÃO", I367="SEM RECOMENDAÇÃO"), "NÃO RECOMENDOU", "ERROU"))), "")</f>
        <v/>
      </c>
      <c r="K367" s="21">
        <f>IFERROR(INDEX([1]resposta_rag!$A$2:$A$33, MATCH(_xlfn.CONCAT("*#",[1]analise_resposta!A367,"*"), [1]resposta_rag!$C$2:$C$33, 0)), "")</f>
        <v/>
      </c>
      <c r="L367" s="21" t="n"/>
      <c r="M367" s="21">
        <f>IF(K367&lt;&gt;"",IF(AND(K387,D367=I367),"ACERTOU",IF(OR(C367=K367,D367=L367,C367=L367,D367=K367),"PARCIALMENTE","ERROU")),"")</f>
        <v/>
      </c>
      <c r="N367" s="22">
        <f>IFERROR(INDEX([1]respota_rag_adaptativo!$A$2:$A$853, MATCH(_xlfn.CONCAT("*#",[1]analise_resposta!A367,"*"), [1]respota_rag_adaptativo!$C$2:$C$85, 0)), "")</f>
        <v/>
      </c>
      <c r="O367" s="22" t="n"/>
      <c r="P367" s="22">
        <f>IF(N367&lt;&gt;"", IF(AND(C367=N367, D367=O367), "ACERTOU", IF(OR(C367=N367, D367=O367, C367=O367, D367=N367), "PARCIALMENTE", IF(OR(N367="Não há recomendação", O367="Não há recomendação", N367="SEM RECOMENDAÇÃO", O367="SEM RECOMENDAÇÃO"), "NÃO RECOMENDOU", "ERROU"))), "")</f>
        <v/>
      </c>
      <c r="Q367" s="23">
        <f>IFERROR(INDEX([1]resposta_plan_exec!$A$2:$A$121, MATCH(_xlfn.CONCAT("*",[1]analise_resposta!A367,"*"), [1]resposta_plan_exec!$C$2:$C$121, 0)), "")</f>
        <v/>
      </c>
      <c r="R367" s="23">
        <f>IF([1]analise_resposta!A367="", "",
    _xlfn.LET(_xlpm.resultado, IFERROR(INDEX([1]resposta_plan_exec!$B$2:$B$121,
                           MATCH(_xlfn.CONCAT("*", [1]analise_resposta!A367, "*"),
                                   [1]resposta_plan_exec!$C$2:$C$121, 0)), ""),
        IF(_xlpm.resultado="", "", _xlpm.resultado)))</f>
        <v/>
      </c>
      <c r="S367" s="23" t="n"/>
    </row>
    <row r="368">
      <c r="A368" t="n">
        <v>3174</v>
      </c>
      <c r="B368" s="3" t="inlineStr">
        <is>
          <t>Solicitação para Habilitar o Quadro Scrum no Jira Software</t>
        </is>
      </c>
      <c r="C368" s="3" t="inlineStr">
        <is>
          <t>Solicitação de Serviço</t>
        </is>
      </c>
      <c r="D368" s="3" t="inlineStr">
        <is>
          <t>Gerenciamento de Mudanças</t>
        </is>
      </c>
      <c r="F368" s="5">
        <f>IFERROR(INDEX([1]resposta_chat_stream!$B$2:$B$34, MATCH(_xlfn.CONCAT("*#",[1]analise_resposta!A368,"*"), [1]resposta_chat_stream!$C$2:$C$34, 0)), "")</f>
        <v/>
      </c>
      <c r="G368" s="6">
        <f>IF(E368&lt;&gt;"", IF(AND(C368=E368, D368=F368), "ACERTOU", IF(OR(C368=E368, D368=F368, C368=F368, D368=E368), "PARCIALMENTE", IF(OR(E368="Não há recomendação", F368="Não há recomendação", E368="SEM RECOMENDAÇÃO", F368="SEM RECOMENDAÇÃO"), "NÃO RECOMENDOU", "ERROU"))), "")</f>
        <v/>
      </c>
      <c r="H368" s="20">
        <f>IFERROR(INDEX([1]reposta_chat!$A$2:$A$121, MATCH(_xlfn.CONCAT("*#",[1]analise_resposta!A368,"*"), [1]reposta_chat!$C$2:$C$121, 0)), "")</f>
        <v/>
      </c>
      <c r="I368" s="20">
        <f>IFERROR(INDEX([1]reposta_chat!$B$2:$B$121, MATCH(_xlfn.CONCAT("*#",[1]analise_resposta!A368,"*"), [1]reposta_chat!$C$2:$C$121, 0)), "")</f>
        <v/>
      </c>
      <c r="J368" s="20">
        <f>IF(H368&lt;&gt;"", IF(AND(C368=H368, D368=I368), "ACERTOU", IF(OR(C368=H368, D368=I368, C368=I368, D368=H368), "PARCIALMENTE", IF(OR(H368="Não há recomendação", I368="Não há recomendação", H368="SEM RECOMENDAÇÃO", I368="SEM RECOMENDAÇÃO"), "NÃO RECOMENDOU", "ERROU"))), "")</f>
        <v/>
      </c>
      <c r="K368" s="21">
        <f>IFERROR(INDEX([1]resposta_rag!$A$2:$A$33, MATCH(_xlfn.CONCAT("*#",[1]analise_resposta!A368,"*"), [1]resposta_rag!$C$2:$C$33, 0)), "")</f>
        <v/>
      </c>
      <c r="L368" s="21" t="n"/>
      <c r="M368" s="21">
        <f>IF(K368&lt;&gt;"",IF(AND(K388,D368=I368),"ACERTOU",IF(OR(C368=K368,D368=L368,C368=L368,D368=K368),"PARCIALMENTE","ERROU")),"")</f>
        <v/>
      </c>
      <c r="N368" s="22">
        <f>IFERROR(INDEX([1]respota_rag_adaptativo!$A$2:$A$853, MATCH(_xlfn.CONCAT("*#",[1]analise_resposta!A368,"*"), [1]respota_rag_adaptativo!$C$2:$C$85, 0)), "")</f>
        <v/>
      </c>
      <c r="O368" s="22" t="n"/>
      <c r="P368" s="22">
        <f>IF(N368&lt;&gt;"", IF(AND(C368=N368, D368=O368), "ACERTOU", IF(OR(C368=N368, D368=O368, C368=O368, D368=N368), "PARCIALMENTE", IF(OR(N368="Não há recomendação", O368="Não há recomendação", N368="SEM RECOMENDAÇÃO", O368="SEM RECOMENDAÇÃO"), "NÃO RECOMENDOU", "ERROU"))), "")</f>
        <v/>
      </c>
      <c r="Q368" s="23">
        <f>IFERROR(INDEX([1]resposta_plan_exec!$A$2:$A$121, MATCH(_xlfn.CONCAT("*",[1]analise_resposta!A368,"*"), [1]resposta_plan_exec!$C$2:$C$121, 0)), "")</f>
        <v/>
      </c>
      <c r="R368" s="23">
        <f>IF([1]analise_resposta!A368="", "",
    _xlfn.LET(_xlpm.resultado, IFERROR(INDEX([1]resposta_plan_exec!$B$2:$B$121,
                           MATCH(_xlfn.CONCAT("*", [1]analise_resposta!A368, "*"),
                                   [1]resposta_plan_exec!$C$2:$C$121, 0)), ""),
        IF(_xlpm.resultado="", "", _xlpm.resultado)))</f>
        <v/>
      </c>
      <c r="S368" s="23" t="n"/>
    </row>
    <row r="369">
      <c r="A369" t="n">
        <v>3175</v>
      </c>
      <c r="B369" s="3" t="inlineStr">
        <is>
          <t>Assistência com Configuração do AWS EC2</t>
        </is>
      </c>
      <c r="C369" s="3" t="inlineStr">
        <is>
          <t>Gerenciamento de Incidentes</t>
        </is>
      </c>
      <c r="D369" s="3" t="inlineStr">
        <is>
          <t>Gerenciamento de Problemas</t>
        </is>
      </c>
      <c r="F369" s="5">
        <f>IFERROR(INDEX([1]resposta_chat_stream!$B$2:$B$34, MATCH(_xlfn.CONCAT("*#",[1]analise_resposta!A369,"*"), [1]resposta_chat_stream!$C$2:$C$34, 0)), "")</f>
        <v/>
      </c>
      <c r="G369" s="6">
        <f>IF(E369&lt;&gt;"", IF(AND(C369=E369, D369=F369), "ACERTOU", IF(OR(C369=E369, D369=F369, C369=F369, D369=E369), "PARCIALMENTE", IF(OR(E369="Não há recomendação", F369="Não há recomendação", E369="SEM RECOMENDAÇÃO", F369="SEM RECOMENDAÇÃO"), "NÃO RECOMENDOU", "ERROU"))), "")</f>
        <v/>
      </c>
      <c r="H369" s="20">
        <f>IFERROR(INDEX([1]reposta_chat!$A$2:$A$121, MATCH(_xlfn.CONCAT("*#",[1]analise_resposta!A369,"*"), [1]reposta_chat!$C$2:$C$121, 0)), "")</f>
        <v/>
      </c>
      <c r="I369" s="20">
        <f>IFERROR(INDEX([1]reposta_chat!$B$2:$B$121, MATCH(_xlfn.CONCAT("*#",[1]analise_resposta!A369,"*"), [1]reposta_chat!$C$2:$C$121, 0)), "")</f>
        <v/>
      </c>
      <c r="J369" s="20">
        <f>IF(H369&lt;&gt;"", IF(AND(C369=H369, D369=I369), "ACERTOU", IF(OR(C369=H369, D369=I369, C369=I369, D369=H369), "PARCIALMENTE", IF(OR(H369="Não há recomendação", I369="Não há recomendação", H369="SEM RECOMENDAÇÃO", I369="SEM RECOMENDAÇÃO"), "NÃO RECOMENDOU", "ERROU"))), "")</f>
        <v/>
      </c>
      <c r="K369" s="21">
        <f>IFERROR(INDEX([1]resposta_rag!$A$2:$A$33, MATCH(_xlfn.CONCAT("*#",[1]analise_resposta!A369,"*"), [1]resposta_rag!$C$2:$C$33, 0)), "")</f>
        <v/>
      </c>
      <c r="L369" s="21" t="n"/>
      <c r="M369" s="21">
        <f>IF(K369&lt;&gt;"",IF(AND(K389,D369=I369),"ACERTOU",IF(OR(C369=K369,D369=L369,C369=L369,D369=K369),"PARCIALMENTE","ERROU")),"")</f>
        <v/>
      </c>
      <c r="N369" s="22">
        <f>IFERROR(INDEX([1]respota_rag_adaptativo!$A$2:$A$853, MATCH(_xlfn.CONCAT("*#",[1]analise_resposta!A369,"*"), [1]respota_rag_adaptativo!$C$2:$C$85, 0)), "")</f>
        <v/>
      </c>
      <c r="O369" s="22" t="n"/>
      <c r="P369" s="22">
        <f>IF(N369&lt;&gt;"", IF(AND(C369=N369, D369=O369), "ACERTOU", IF(OR(C369=N369, D369=O369, C369=O369, D369=N369), "PARCIALMENTE", IF(OR(N369="Não há recomendação", O369="Não há recomendação", N369="SEM RECOMENDAÇÃO", O369="SEM RECOMENDAÇÃO"), "NÃO RECOMENDOU", "ERROU"))), "")</f>
        <v/>
      </c>
      <c r="Q369" s="23">
        <f>IFERROR(INDEX([1]resposta_plan_exec!$A$2:$A$121, MATCH(_xlfn.CONCAT("*",[1]analise_resposta!A369,"*"), [1]resposta_plan_exec!$C$2:$C$121, 0)), "")</f>
        <v/>
      </c>
      <c r="R369" s="23">
        <f>IF([1]analise_resposta!A369="", "",
    _xlfn.LET(_xlpm.resultado, IFERROR(INDEX([1]resposta_plan_exec!$B$2:$B$121,
                           MATCH(_xlfn.CONCAT("*", [1]analise_resposta!A369, "*"),
                                   [1]resposta_plan_exec!$C$2:$C$121, 0)), ""),
        IF(_xlpm.resultado="", "", _xlpm.resultado)))</f>
        <v/>
      </c>
      <c r="S369" s="23" t="n"/>
    </row>
    <row r="370">
      <c r="A370" t="n">
        <v>3188</v>
      </c>
      <c r="B370" s="3" t="inlineStr">
        <is>
          <t>Solicitação de Mudança na Estratégia de TI</t>
        </is>
      </c>
      <c r="C370" s="3" t="inlineStr">
        <is>
          <t>Solicitação de Serviço</t>
        </is>
      </c>
      <c r="D370" s="3" t="inlineStr">
        <is>
          <t>Gerenciamento de Mudanças</t>
        </is>
      </c>
      <c r="F370" s="5">
        <f>IFERROR(INDEX([1]resposta_chat_stream!$B$2:$B$34, MATCH(_xlfn.CONCAT("*#",[1]analise_resposta!A370,"*"), [1]resposta_chat_stream!$C$2:$C$34, 0)), "")</f>
        <v/>
      </c>
      <c r="G370" s="6">
        <f>IF(E370&lt;&gt;"", IF(AND(C370=E370, D370=F370), "ACERTOU", IF(OR(C370=E370, D370=F370, C370=F370, D370=E370), "PARCIALMENTE", IF(OR(E370="Não há recomendação", F370="Não há recomendação", E370="SEM RECOMENDAÇÃO", F370="SEM RECOMENDAÇÃO"), "NÃO RECOMENDOU", "ERROU"))), "")</f>
        <v/>
      </c>
      <c r="H370" s="20">
        <f>IFERROR(INDEX([1]reposta_chat!$A$2:$A$121, MATCH(_xlfn.CONCAT("*#",[1]analise_resposta!A370,"*"), [1]reposta_chat!$C$2:$C$121, 0)), "")</f>
        <v/>
      </c>
      <c r="I370" s="20">
        <f>IFERROR(INDEX([1]reposta_chat!$B$2:$B$121, MATCH(_xlfn.CONCAT("*#",[1]analise_resposta!A370,"*"), [1]reposta_chat!$C$2:$C$121, 0)), "")</f>
        <v/>
      </c>
      <c r="J370" s="20">
        <f>IF(H370&lt;&gt;"", IF(AND(C370=H370, D370=I370), "ACERTOU", IF(OR(C370=H370, D370=I370, C370=I370, D370=H370), "PARCIALMENTE", IF(OR(H370="Não há recomendação", I370="Não há recomendação", H370="SEM RECOMENDAÇÃO", I370="SEM RECOMENDAÇÃO"), "NÃO RECOMENDOU", "ERROU"))), "")</f>
        <v/>
      </c>
      <c r="K370" s="21">
        <f>IFERROR(INDEX([1]resposta_rag!$A$2:$A$33, MATCH(_xlfn.CONCAT("*#",[1]analise_resposta!A370,"*"), [1]resposta_rag!$C$2:$C$33, 0)), "")</f>
        <v/>
      </c>
      <c r="L370" s="21" t="n"/>
      <c r="M370" s="21">
        <f>IF(K370&lt;&gt;"",IF(AND(K390,D370=I370),"ACERTOU",IF(OR(C370=K370,D370=L370,C370=L370,D370=K370),"PARCIALMENTE","ERROU")),"")</f>
        <v/>
      </c>
      <c r="N370" s="22">
        <f>IFERROR(INDEX([1]respota_rag_adaptativo!$A$2:$A$853, MATCH(_xlfn.CONCAT("*#",[1]analise_resposta!A370,"*"), [1]respota_rag_adaptativo!$C$2:$C$85, 0)), "")</f>
        <v/>
      </c>
      <c r="O370" s="22" t="n"/>
      <c r="P370" s="22">
        <f>IF(N370&lt;&gt;"", IF(AND(C370=N370, D370=O370), "ACERTOU", IF(OR(C370=N370, D370=O370, C370=O370, D370=N370), "PARCIALMENTE", IF(OR(N370="Não há recomendação", O370="Não há recomendação", N370="SEM RECOMENDAÇÃO", O370="SEM RECOMENDAÇÃO"), "NÃO RECOMENDOU", "ERROU"))), "")</f>
        <v/>
      </c>
      <c r="Q370" s="23">
        <f>IFERROR(INDEX([1]resposta_plan_exec!$A$2:$A$121, MATCH(_xlfn.CONCAT("*",[1]analise_resposta!A370,"*"), [1]resposta_plan_exec!$C$2:$C$121, 0)), "")</f>
        <v/>
      </c>
      <c r="R370" s="23">
        <f>IF([1]analise_resposta!A370="", "",
    _xlfn.LET(_xlpm.resultado, IFERROR(INDEX([1]resposta_plan_exec!$B$2:$B$121,
                           MATCH(_xlfn.CONCAT("*", [1]analise_resposta!A370, "*"),
                                   [1]resposta_plan_exec!$C$2:$C$121, 0)), ""),
        IF(_xlpm.resultado="", "", _xlpm.resultado)))</f>
        <v/>
      </c>
      <c r="S370" s="23" t="n"/>
    </row>
    <row r="371">
      <c r="A371" t="n">
        <v>3198</v>
      </c>
      <c r="B371" s="3" t="inlineStr">
        <is>
          <t>Problemas com Chamadas no Zoom</t>
        </is>
      </c>
      <c r="C371" s="3" t="inlineStr">
        <is>
          <t>Gerenciamento de Incidentes</t>
        </is>
      </c>
      <c r="D371" s="3" t="inlineStr">
        <is>
          <t>Gerenciamento de Problemas</t>
        </is>
      </c>
      <c r="F371" s="5">
        <f>IFERROR(INDEX([1]resposta_chat_stream!$B$2:$B$34, MATCH(_xlfn.CONCAT("*#",[1]analise_resposta!A371,"*"), [1]resposta_chat_stream!$C$2:$C$34, 0)), "")</f>
        <v/>
      </c>
      <c r="G371" s="6">
        <f>IF(E371&lt;&gt;"", IF(AND(C371=E371, D371=F371), "ACERTOU", IF(OR(C371=E371, D371=F371, C371=F371, D371=E371), "PARCIALMENTE", IF(OR(E371="Não há recomendação", F371="Não há recomendação", E371="SEM RECOMENDAÇÃO", F371="SEM RECOMENDAÇÃO"), "NÃO RECOMENDOU", "ERROU"))), "")</f>
        <v/>
      </c>
      <c r="H371" s="20">
        <f>IFERROR(INDEX([1]reposta_chat!$A$2:$A$121, MATCH(_xlfn.CONCAT("*#",[1]analise_resposta!A371,"*"), [1]reposta_chat!$C$2:$C$121, 0)), "")</f>
        <v/>
      </c>
      <c r="I371" s="20">
        <f>IFERROR(INDEX([1]reposta_chat!$B$2:$B$121, MATCH(_xlfn.CONCAT("*#",[1]analise_resposta!A371,"*"), [1]reposta_chat!$C$2:$C$121, 0)), "")</f>
        <v/>
      </c>
      <c r="J371" s="20">
        <f>IF(H371&lt;&gt;"", IF(AND(C371=H371, D371=I371), "ACERTOU", IF(OR(C371=H371, D371=I371, C371=I371, D371=H371), "PARCIALMENTE", IF(OR(H371="Não há recomendação", I371="Não há recomendação", H371="SEM RECOMENDAÇÃO", I371="SEM RECOMENDAÇÃO"), "NÃO RECOMENDOU", "ERROU"))), "")</f>
        <v/>
      </c>
      <c r="K371" s="21">
        <f>IFERROR(INDEX([1]resposta_rag!$A$2:$A$33, MATCH(_xlfn.CONCAT("*#",[1]analise_resposta!A371,"*"), [1]resposta_rag!$C$2:$C$33, 0)), "")</f>
        <v/>
      </c>
      <c r="L371" s="21" t="n"/>
      <c r="M371" s="21">
        <f>IF(K371&lt;&gt;"",IF(AND(K391,D371=I371),"ACERTOU",IF(OR(C371=K371,D371=L371,C371=L371,D371=K371),"PARCIALMENTE","ERROU")),"")</f>
        <v/>
      </c>
      <c r="N371" s="22">
        <f>IFERROR(INDEX([1]respota_rag_adaptativo!$A$2:$A$853, MATCH(_xlfn.CONCAT("*#",[1]analise_resposta!A371,"*"), [1]respota_rag_adaptativo!$C$2:$C$85, 0)), "")</f>
        <v/>
      </c>
      <c r="O371" s="22" t="n"/>
      <c r="P371" s="22">
        <f>IF(N371&lt;&gt;"", IF(AND(C371=N371, D371=O371), "ACERTOU", IF(OR(C371=N371, D371=O371, C371=O371, D371=N371), "PARCIALMENTE", IF(OR(N371="Não há recomendação", O371="Não há recomendação", N371="SEM RECOMENDAÇÃO", O371="SEM RECOMENDAÇÃO"), "NÃO RECOMENDOU", "ERROU"))), "")</f>
        <v/>
      </c>
      <c r="Q371" s="23">
        <f>IFERROR(INDEX([1]resposta_plan_exec!$A$2:$A$121, MATCH(_xlfn.CONCAT("*",[1]analise_resposta!A371,"*"), [1]resposta_plan_exec!$C$2:$C$121, 0)), "")</f>
        <v/>
      </c>
      <c r="R371" s="23">
        <f>IF([1]analise_resposta!A371="", "",
    _xlfn.LET(_xlpm.resultado, IFERROR(INDEX([1]resposta_plan_exec!$B$2:$B$121,
                           MATCH(_xlfn.CONCAT("*", [1]analise_resposta!A371, "*"),
                                   [1]resposta_plan_exec!$C$2:$C$121, 0)), ""),
        IF(_xlpm.resultado="", "", _xlpm.resultado)))</f>
        <v/>
      </c>
      <c r="S371" s="23" t="n"/>
    </row>
    <row r="372">
      <c r="A372" t="n">
        <v>3214</v>
      </c>
      <c r="B372" s="3" t="inlineStr">
        <is>
          <t>Problema Urgente: Jira Software 8.20 Falhando ao Inicializar</t>
        </is>
      </c>
      <c r="C372" s="3" t="inlineStr">
        <is>
          <t>Gerenciamento de Incidentes</t>
        </is>
      </c>
      <c r="D372" s="3" t="inlineStr">
        <is>
          <t>Gerenciamento de Disponibilidade</t>
        </is>
      </c>
      <c r="F372" s="5">
        <f>IFERROR(INDEX([1]resposta_chat_stream!$B$2:$B$34, MATCH(_xlfn.CONCAT("*#",[1]analise_resposta!A372,"*"), [1]resposta_chat_stream!$C$2:$C$34, 0)), "")</f>
        <v/>
      </c>
      <c r="G372" s="6">
        <f>IF(E372&lt;&gt;"", IF(AND(C372=E372, D372=F372), "ACERTOU", IF(OR(C372=E372, D372=F372, C372=F372, D372=E372), "PARCIALMENTE", IF(OR(E372="Não há recomendação", F372="Não há recomendação", E372="SEM RECOMENDAÇÃO", F372="SEM RECOMENDAÇÃO"), "NÃO RECOMENDOU", "ERROU"))), "")</f>
        <v/>
      </c>
      <c r="H372" s="20">
        <f>IFERROR(INDEX([1]reposta_chat!$A$2:$A$121, MATCH(_xlfn.CONCAT("*#",[1]analise_resposta!A372,"*"), [1]reposta_chat!$C$2:$C$121, 0)), "")</f>
        <v/>
      </c>
      <c r="I372" s="20">
        <f>IFERROR(INDEX([1]reposta_chat!$B$2:$B$121, MATCH(_xlfn.CONCAT("*#",[1]analise_resposta!A372,"*"), [1]reposta_chat!$C$2:$C$121, 0)), "")</f>
        <v/>
      </c>
      <c r="J372" s="20">
        <f>IF(H372&lt;&gt;"", IF(AND(C372=H372, D372=I372), "ACERTOU", IF(OR(C372=H372, D372=I372, C372=I372, D372=H372), "PARCIALMENTE", IF(OR(H372="Não há recomendação", I372="Não há recomendação", H372="SEM RECOMENDAÇÃO", I372="SEM RECOMENDAÇÃO"), "NÃO RECOMENDOU", "ERROU"))), "")</f>
        <v/>
      </c>
      <c r="K372" s="21">
        <f>IFERROR(INDEX([1]resposta_rag!$A$2:$A$33, MATCH(_xlfn.CONCAT("*#",[1]analise_resposta!A372,"*"), [1]resposta_rag!$C$2:$C$33, 0)), "")</f>
        <v/>
      </c>
      <c r="L372" s="21" t="n"/>
      <c r="M372" s="21">
        <f>IF(K372&lt;&gt;"",IF(AND(K392,D372=I372),"ACERTOU",IF(OR(C372=K372,D372=L372,C372=L372,D372=K372),"PARCIALMENTE","ERROU")),"")</f>
        <v/>
      </c>
      <c r="N372" s="22">
        <f>IFERROR(INDEX([1]respota_rag_adaptativo!$A$2:$A$853, MATCH(_xlfn.CONCAT("*#",[1]analise_resposta!A372,"*"), [1]respota_rag_adaptativo!$C$2:$C$85, 0)), "")</f>
        <v/>
      </c>
      <c r="O372" s="22" t="n"/>
      <c r="P372" s="22">
        <f>IF(N372&lt;&gt;"", IF(AND(C372=N372, D372=O372), "ACERTOU", IF(OR(C372=N372, D372=O372, C372=O372, D372=N372), "PARCIALMENTE", IF(OR(N372="Não há recomendação", O372="Não há recomendação", N372="SEM RECOMENDAÇÃO", O372="SEM RECOMENDAÇÃO"), "NÃO RECOMENDOU", "ERROU"))), "")</f>
        <v/>
      </c>
      <c r="Q372" s="23">
        <f>IFERROR(INDEX([1]resposta_plan_exec!$A$2:$A$121, MATCH(_xlfn.CONCAT("*",[1]analise_resposta!A372,"*"), [1]resposta_plan_exec!$C$2:$C$121, 0)), "")</f>
        <v/>
      </c>
      <c r="R372" s="23">
        <f>IF([1]analise_resposta!A372="", "",
    _xlfn.LET(_xlpm.resultado, IFERROR(INDEX([1]resposta_plan_exec!$B$2:$B$121,
                           MATCH(_xlfn.CONCAT("*", [1]analise_resposta!A372, "*"),
                                   [1]resposta_plan_exec!$C$2:$C$121, 0)), ""),
        IF(_xlpm.resultado="", "", _xlpm.resultado)))</f>
        <v/>
      </c>
      <c r="S372" s="23" t="n"/>
    </row>
    <row r="373">
      <c r="A373" t="n">
        <v>3216</v>
      </c>
      <c r="B373" s="3" t="inlineStr">
        <is>
          <t>Experienciando Problemas Frequentes de Conexão no Zoom</t>
        </is>
      </c>
      <c r="C373" s="3" t="inlineStr">
        <is>
          <t>Gerenciamento de Incidentes</t>
        </is>
      </c>
      <c r="D373" s="3" t="inlineStr">
        <is>
          <t>Gerenciamento de Problemas</t>
        </is>
      </c>
      <c r="F373" s="5">
        <f>IFERROR(INDEX([1]resposta_chat_stream!$B$2:$B$34, MATCH(_xlfn.CONCAT("*#",[1]analise_resposta!A373,"*"), [1]resposta_chat_stream!$C$2:$C$34, 0)), "")</f>
        <v/>
      </c>
      <c r="G373" s="6">
        <f>IF(E373&lt;&gt;"", IF(AND(C373=E373, D373=F373), "ACERTOU", IF(OR(C373=E373, D373=F373, C373=F373, D373=E373), "PARCIALMENTE", IF(OR(E373="Não há recomendação", F373="Não há recomendação", E373="SEM RECOMENDAÇÃO", F373="SEM RECOMENDAÇÃO"), "NÃO RECOMENDOU", "ERROU"))), "")</f>
        <v/>
      </c>
      <c r="H373" s="20">
        <f>IFERROR(INDEX([1]reposta_chat!$A$2:$A$121, MATCH(_xlfn.CONCAT("*#",[1]analise_resposta!A373,"*"), [1]reposta_chat!$C$2:$C$121, 0)), "")</f>
        <v/>
      </c>
      <c r="I373" s="20">
        <f>IFERROR(INDEX([1]reposta_chat!$B$2:$B$121, MATCH(_xlfn.CONCAT("*#",[1]analise_resposta!A373,"*"), [1]reposta_chat!$C$2:$C$121, 0)), "")</f>
        <v/>
      </c>
      <c r="J373" s="20">
        <f>IF(H373&lt;&gt;"", IF(AND(C373=H373, D373=I373), "ACERTOU", IF(OR(C373=H373, D373=I373, C373=I373, D373=H373), "PARCIALMENTE", IF(OR(H373="Não há recomendação", I373="Não há recomendação", H373="SEM RECOMENDAÇÃO", I373="SEM RECOMENDAÇÃO"), "NÃO RECOMENDOU", "ERROU"))), "")</f>
        <v/>
      </c>
      <c r="K373" s="21">
        <f>IFERROR(INDEX([1]resposta_rag!$A$2:$A$33, MATCH(_xlfn.CONCAT("*#",[1]analise_resposta!A373,"*"), [1]resposta_rag!$C$2:$C$33, 0)), "")</f>
        <v/>
      </c>
      <c r="L373" s="21" t="n"/>
      <c r="M373" s="21">
        <f>IF(K373&lt;&gt;"",IF(AND(K393,D373=I373),"ACERTOU",IF(OR(C373=K373,D373=L373,C373=L373,D373=K373),"PARCIALMENTE","ERROU")),"")</f>
        <v/>
      </c>
      <c r="N373" s="22">
        <f>IFERROR(INDEX([1]respota_rag_adaptativo!$A$2:$A$853, MATCH(_xlfn.CONCAT("*#",[1]analise_resposta!A373,"*"), [1]respota_rag_adaptativo!$C$2:$C$85, 0)), "")</f>
        <v/>
      </c>
      <c r="O373" s="22" t="n"/>
      <c r="P373" s="22">
        <f>IF(N373&lt;&gt;"", IF(AND(C373=N373, D373=O373), "ACERTOU", IF(OR(C373=N373, D373=O373, C373=O373, D373=N373), "PARCIALMENTE", IF(OR(N373="Não há recomendação", O373="Não há recomendação", N373="SEM RECOMENDAÇÃO", O373="SEM RECOMENDAÇÃO"), "NÃO RECOMENDOU", "ERROU"))), "")</f>
        <v/>
      </c>
      <c r="Q373" s="23">
        <f>IFERROR(INDEX([1]resposta_plan_exec!$A$2:$A$121, MATCH(_xlfn.CONCAT("*",[1]analise_resposta!A373,"*"), [1]resposta_plan_exec!$C$2:$C$121, 0)), "")</f>
        <v/>
      </c>
      <c r="R373" s="23">
        <f>IF([1]analise_resposta!A373="", "",
    _xlfn.LET(_xlpm.resultado, IFERROR(INDEX([1]resposta_plan_exec!$B$2:$B$121,
                           MATCH(_xlfn.CONCAT("*", [1]analise_resposta!A373, "*"),
                                   [1]resposta_plan_exec!$C$2:$C$121, 0)), ""),
        IF(_xlpm.resultado="", "", _xlpm.resultado)))</f>
        <v/>
      </c>
      <c r="S373" s="23" t="n"/>
    </row>
    <row r="374">
      <c r="A374" t="n">
        <v>3247</v>
      </c>
      <c r="B374" s="3" t="inlineStr">
        <is>
          <t>Urgente: Problema de Acesso ao Google Workspace Após a Migração</t>
        </is>
      </c>
      <c r="C374" s="3" t="inlineStr">
        <is>
          <t>Gerenciamento de Incidentes</t>
        </is>
      </c>
      <c r="D374" s="3" t="inlineStr">
        <is>
          <t>Gerenciamento de Acesso</t>
        </is>
      </c>
      <c r="F374" s="5">
        <f>IFERROR(INDEX([1]resposta_chat_stream!$B$2:$B$34, MATCH(_xlfn.CONCAT("*#",[1]analise_resposta!A374,"*"), [1]resposta_chat_stream!$C$2:$C$34, 0)), "")</f>
        <v/>
      </c>
      <c r="G374" s="6">
        <f>IF(E374&lt;&gt;"", IF(AND(C374=E374, D374=F374), "ACERTOU", IF(OR(C374=E374, D374=F374, C374=F374, D374=E374), "PARCIALMENTE", IF(OR(E374="Não há recomendação", F374="Não há recomendação", E374="SEM RECOMENDAÇÃO", F374="SEM RECOMENDAÇÃO"), "NÃO RECOMENDOU", "ERROU"))), "")</f>
        <v/>
      </c>
      <c r="H374" s="20">
        <f>IFERROR(INDEX([1]reposta_chat!$A$2:$A$121, MATCH(_xlfn.CONCAT("*#",[1]analise_resposta!A374,"*"), [1]reposta_chat!$C$2:$C$121, 0)), "")</f>
        <v/>
      </c>
      <c r="I374" s="20">
        <f>IFERROR(INDEX([1]reposta_chat!$B$2:$B$121, MATCH(_xlfn.CONCAT("*#",[1]analise_resposta!A374,"*"), [1]reposta_chat!$C$2:$C$121, 0)), "")</f>
        <v/>
      </c>
      <c r="J374" s="20">
        <f>IF(H374&lt;&gt;"", IF(AND(C374=H374, D374=I374), "ACERTOU", IF(OR(C374=H374, D374=I374, C374=I374, D374=H374), "PARCIALMENTE", IF(OR(H374="Não há recomendação", I374="Não há recomendação", H374="SEM RECOMENDAÇÃO", I374="SEM RECOMENDAÇÃO"), "NÃO RECOMENDOU", "ERROU"))), "")</f>
        <v/>
      </c>
      <c r="K374" s="21">
        <f>IFERROR(INDEX([1]resposta_rag!$A$2:$A$33, MATCH(_xlfn.CONCAT("*#",[1]analise_resposta!A374,"*"), [1]resposta_rag!$C$2:$C$33, 0)), "")</f>
        <v/>
      </c>
      <c r="L374" s="21" t="n"/>
      <c r="M374" s="21">
        <f>IF(K374&lt;&gt;"",IF(AND(K394,D374=I374),"ACERTOU",IF(OR(C374=K374,D374=L374,C374=L374,D374=K374),"PARCIALMENTE","ERROU")),"")</f>
        <v/>
      </c>
      <c r="N374" s="22">
        <f>IFERROR(INDEX([1]respota_rag_adaptativo!$A$2:$A$853, MATCH(_xlfn.CONCAT("*#",[1]analise_resposta!A374,"*"), [1]respota_rag_adaptativo!$C$2:$C$85, 0)), "")</f>
        <v/>
      </c>
      <c r="O374" s="22" t="n"/>
      <c r="P374" s="22">
        <f>IF(N374&lt;&gt;"", IF(AND(C374=N374, D374=O374), "ACERTOU", IF(OR(C374=N374, D374=O374, C374=O374, D374=N374), "PARCIALMENTE", IF(OR(N374="Não há recomendação", O374="Não há recomendação", N374="SEM RECOMENDAÇÃO", O374="SEM RECOMENDAÇÃO"), "NÃO RECOMENDOU", "ERROU"))), "")</f>
        <v/>
      </c>
      <c r="Q374" s="23">
        <f>IFERROR(INDEX([1]resposta_plan_exec!$A$2:$A$121, MATCH(_xlfn.CONCAT("*",[1]analise_resposta!A374,"*"), [1]resposta_plan_exec!$C$2:$C$121, 0)), "")</f>
        <v/>
      </c>
      <c r="R374" s="23">
        <f>IF([1]analise_resposta!A374="", "",
    _xlfn.LET(_xlpm.resultado, IFERROR(INDEX([1]resposta_plan_exec!$B$2:$B$121,
                           MATCH(_xlfn.CONCAT("*", [1]analise_resposta!A374, "*"),
                                   [1]resposta_plan_exec!$C$2:$C$121, 0)), ""),
        IF(_xlpm.resultado="", "", _xlpm.resultado)))</f>
        <v/>
      </c>
      <c r="S374" s="23" t="n"/>
    </row>
    <row r="375">
      <c r="A375" t="n">
        <v>3248</v>
      </c>
      <c r="B375" s="3" t="inlineStr">
        <is>
          <t>Suporte Urgente Necessário: Problemas com a Bateria do MacBook Air M1</t>
        </is>
      </c>
      <c r="C375" s="3" t="inlineStr">
        <is>
          <t>Gerenciamento de Incidentes</t>
        </is>
      </c>
      <c r="D375" s="3" t="inlineStr">
        <is>
          <t>Gerenciamento de Ativos de TI</t>
        </is>
      </c>
      <c r="F375" s="5">
        <f>IFERROR(INDEX([1]resposta_chat_stream!$B$2:$B$34, MATCH(_xlfn.CONCAT("*#",[1]analise_resposta!A375,"*"), [1]resposta_chat_stream!$C$2:$C$34, 0)), "")</f>
        <v/>
      </c>
      <c r="G375" s="6">
        <f>IF(E375&lt;&gt;"", IF(AND(C375=E375, D375=F375), "ACERTOU", IF(OR(C375=E375, D375=F375, C375=F375, D375=E375), "PARCIALMENTE", IF(OR(E375="Não há recomendação", F375="Não há recomendação", E375="SEM RECOMENDAÇÃO", F375="SEM RECOMENDAÇÃO"), "NÃO RECOMENDOU", "ERROU"))), "")</f>
        <v/>
      </c>
      <c r="H375" s="20">
        <f>IFERROR(INDEX([1]reposta_chat!$A$2:$A$121, MATCH(_xlfn.CONCAT("*#",[1]analise_resposta!A375,"*"), [1]reposta_chat!$C$2:$C$121, 0)), "")</f>
        <v/>
      </c>
      <c r="I375" s="20">
        <f>IFERROR(INDEX([1]reposta_chat!$B$2:$B$121, MATCH(_xlfn.CONCAT("*#",[1]analise_resposta!A375,"*"), [1]reposta_chat!$C$2:$C$121, 0)), "")</f>
        <v/>
      </c>
      <c r="J375" s="20">
        <f>IF(H375&lt;&gt;"", IF(AND(C375=H375, D375=I375), "ACERTOU", IF(OR(C375=H375, D375=I375, C375=I375, D375=H375), "PARCIALMENTE", IF(OR(H375="Não há recomendação", I375="Não há recomendação", H375="SEM RECOMENDAÇÃO", I375="SEM RECOMENDAÇÃO"), "NÃO RECOMENDOU", "ERROU"))), "")</f>
        <v/>
      </c>
      <c r="K375" s="21">
        <f>IFERROR(INDEX([1]resposta_rag!$A$2:$A$33, MATCH(_xlfn.CONCAT("*#",[1]analise_resposta!A375,"*"), [1]resposta_rag!$C$2:$C$33, 0)), "")</f>
        <v/>
      </c>
      <c r="L375" s="21" t="n"/>
      <c r="M375" s="21">
        <f>IF(K375&lt;&gt;"",IF(AND(K395,D375=I375),"ACERTOU",IF(OR(C375=K375,D375=L375,C375=L375,D375=K375),"PARCIALMENTE","ERROU")),"")</f>
        <v/>
      </c>
      <c r="N375" s="22">
        <f>IFERROR(INDEX([1]respota_rag_adaptativo!$A$2:$A$853, MATCH(_xlfn.CONCAT("*#",[1]analise_resposta!A375,"*"), [1]respota_rag_adaptativo!$C$2:$C$85, 0)), "")</f>
        <v/>
      </c>
      <c r="O375" s="22" t="n"/>
      <c r="P375" s="22">
        <f>IF(N375&lt;&gt;"", IF(AND(C375=N375, D375=O375), "ACERTOU", IF(OR(C375=N375, D375=O375, C375=O375, D375=N375), "PARCIALMENTE", IF(OR(N375="Não há recomendação", O375="Não há recomendação", N375="SEM RECOMENDAÇÃO", O375="SEM RECOMENDAÇÃO"), "NÃO RECOMENDOU", "ERROU"))), "")</f>
        <v/>
      </c>
      <c r="Q375" s="23">
        <f>IFERROR(INDEX([1]resposta_plan_exec!$A$2:$A$121, MATCH(_xlfn.CONCAT("*",[1]analise_resposta!A375,"*"), [1]resposta_plan_exec!$C$2:$C$121, 0)), "")</f>
        <v/>
      </c>
      <c r="R375" s="23">
        <f>IF([1]analise_resposta!A375="", "",
    _xlfn.LET(_xlpm.resultado, IFERROR(INDEX([1]resposta_plan_exec!$B$2:$B$121,
                           MATCH(_xlfn.CONCAT("*", [1]analise_resposta!A375, "*"),
                                   [1]resposta_plan_exec!$C$2:$C$121, 0)), ""),
        IF(_xlpm.resultado="", "", _xlpm.resultado)))</f>
        <v/>
      </c>
      <c r="S375" s="23" t="n"/>
    </row>
    <row r="376">
      <c r="A376" t="n">
        <v>3253</v>
      </c>
      <c r="B376" s="3" t="inlineStr">
        <is>
          <t>Ajuda Urgente Necessária Relativamente à Compra Recente</t>
        </is>
      </c>
      <c r="C376" s="3" t="inlineStr">
        <is>
          <t>Solicitação de Serviço</t>
        </is>
      </c>
      <c r="D376" s="3" t="inlineStr">
        <is>
          <t>Gerenciamento de Ativos de TI</t>
        </is>
      </c>
      <c r="F376" s="5">
        <f>IFERROR(INDEX([1]resposta_chat_stream!$B$2:$B$34, MATCH(_xlfn.CONCAT("*#",[1]analise_resposta!A376,"*"), [1]resposta_chat_stream!$C$2:$C$34, 0)), "")</f>
        <v/>
      </c>
      <c r="G376" s="6">
        <f>IF(E376&lt;&gt;"", IF(AND(C376=E376, D376=F376), "ACERTOU", IF(OR(C376=E376, D376=F376, C376=F376, D376=E376), "PARCIALMENTE", IF(OR(E376="Não há recomendação", F376="Não há recomendação", E376="SEM RECOMENDAÇÃO", F376="SEM RECOMENDAÇÃO"), "NÃO RECOMENDOU", "ERROU"))), "")</f>
        <v/>
      </c>
      <c r="H376" s="20">
        <f>IFERROR(INDEX([1]reposta_chat!$A$2:$A$121, MATCH(_xlfn.CONCAT("*#",[1]analise_resposta!A376,"*"), [1]reposta_chat!$C$2:$C$121, 0)), "")</f>
        <v/>
      </c>
      <c r="I376" s="20">
        <f>IFERROR(INDEX([1]reposta_chat!$B$2:$B$121, MATCH(_xlfn.CONCAT("*#",[1]analise_resposta!A376,"*"), [1]reposta_chat!$C$2:$C$121, 0)), "")</f>
        <v/>
      </c>
      <c r="J376" s="20">
        <f>IF(H376&lt;&gt;"", IF(AND(C376=H376, D376=I376), "ACERTOU", IF(OR(C376=H376, D376=I376, C376=I376, D376=H376), "PARCIALMENTE", IF(OR(H376="Não há recomendação", I376="Não há recomendação", H376="SEM RECOMENDAÇÃO", I376="SEM RECOMENDAÇÃO"), "NÃO RECOMENDOU", "ERROU"))), "")</f>
        <v/>
      </c>
      <c r="K376" s="21">
        <f>IFERROR(INDEX([1]resposta_rag!$A$2:$A$33, MATCH(_xlfn.CONCAT("*#",[1]analise_resposta!A376,"*"), [1]resposta_rag!$C$2:$C$33, 0)), "")</f>
        <v/>
      </c>
      <c r="L376" s="21" t="n"/>
      <c r="M376" s="21">
        <f>IF(K376&lt;&gt;"",IF(AND(K396,D376=I376),"ACERTOU",IF(OR(C376=K376,D376=L376,C376=L376,D376=K376),"PARCIALMENTE","ERROU")),"")</f>
        <v/>
      </c>
      <c r="N376" s="22">
        <f>IFERROR(INDEX([1]respota_rag_adaptativo!$A$2:$A$853, MATCH(_xlfn.CONCAT("*#",[1]analise_resposta!A376,"*"), [1]respota_rag_adaptativo!$C$2:$C$85, 0)), "")</f>
        <v/>
      </c>
      <c r="O376" s="22" t="n"/>
      <c r="P376" s="22">
        <f>IF(N376&lt;&gt;"", IF(AND(C376=N376, D376=O376), "ACERTOU", IF(OR(C376=N376, D376=O376, C376=O376, D376=N376), "PARCIALMENTE", IF(OR(N376="Não há recomendação", O376="Não há recomendação", N376="SEM RECOMENDAÇÃO", O376="SEM RECOMENDAÇÃO"), "NÃO RECOMENDOU", "ERROU"))), "")</f>
        <v/>
      </c>
      <c r="Q376" s="23">
        <f>IFERROR(INDEX([1]resposta_plan_exec!$A$2:$A$121, MATCH(_xlfn.CONCAT("*",[1]analise_resposta!A376,"*"), [1]resposta_plan_exec!$C$2:$C$121, 0)), "")</f>
        <v/>
      </c>
      <c r="R376" s="23">
        <f>IF([1]analise_resposta!A376="", "",
    _xlfn.LET(_xlpm.resultado, IFERROR(INDEX([1]resposta_plan_exec!$B$2:$B$121,
                           MATCH(_xlfn.CONCAT("*", [1]analise_resposta!A376, "*"),
                                   [1]resposta_plan_exec!$C$2:$C$121, 0)), ""),
        IF(_xlpm.resultado="", "", _xlpm.resultado)))</f>
        <v/>
      </c>
      <c r="S376" s="23" t="n"/>
    </row>
    <row r="377">
      <c r="A377" t="n">
        <v>3255</v>
      </c>
      <c r="B377" s="3" t="inlineStr">
        <is>
          <t>Problema com Cobrança em Duplicidade</t>
        </is>
      </c>
      <c r="C377" s="3" t="inlineStr">
        <is>
          <t>Gerenciamento Financeiro</t>
        </is>
      </c>
      <c r="D377" s="3" t="inlineStr">
        <is>
          <t>Gerenciamento de Incidentes</t>
        </is>
      </c>
      <c r="F377" s="5">
        <f>IFERROR(INDEX([1]resposta_chat_stream!$B$2:$B$34, MATCH(_xlfn.CONCAT("*#",[1]analise_resposta!A377,"*"), [1]resposta_chat_stream!$C$2:$C$34, 0)), "")</f>
        <v/>
      </c>
      <c r="G377" s="6">
        <f>IF(E377&lt;&gt;"", IF(AND(C377=E377, D377=F377), "ACERTOU", IF(OR(C377=E377, D377=F377, C377=F377, D377=E377), "PARCIALMENTE", IF(OR(E377="Não há recomendação", F377="Não há recomendação", E377="SEM RECOMENDAÇÃO", F377="SEM RECOMENDAÇÃO"), "NÃO RECOMENDOU", "ERROU"))), "")</f>
        <v/>
      </c>
      <c r="H377" s="20">
        <f>IFERROR(INDEX([1]reposta_chat!$A$2:$A$121, MATCH(_xlfn.CONCAT("*#",[1]analise_resposta!A377,"*"), [1]reposta_chat!$C$2:$C$121, 0)), "")</f>
        <v/>
      </c>
      <c r="I377" s="20">
        <f>IFERROR(INDEX([1]reposta_chat!$B$2:$B$121, MATCH(_xlfn.CONCAT("*#",[1]analise_resposta!A377,"*"), [1]reposta_chat!$C$2:$C$121, 0)), "")</f>
        <v/>
      </c>
      <c r="J377" s="20">
        <f>IF(H377&lt;&gt;"", IF(AND(C377=H377, D377=I377), "ACERTOU", IF(OR(C377=H377, D377=I377, C377=I377, D377=H377), "PARCIALMENTE", IF(OR(H377="Não há recomendação", I377="Não há recomendação", H377="SEM RECOMENDAÇÃO", I377="SEM RECOMENDAÇÃO"), "NÃO RECOMENDOU", "ERROU"))), "")</f>
        <v/>
      </c>
      <c r="K377" s="21">
        <f>IFERROR(INDEX([1]resposta_rag!$A$2:$A$33, MATCH(_xlfn.CONCAT("*#",[1]analise_resposta!A377,"*"), [1]resposta_rag!$C$2:$C$33, 0)), "")</f>
        <v/>
      </c>
      <c r="L377" s="21" t="n"/>
      <c r="M377" s="21">
        <f>IF(K377&lt;&gt;"",IF(AND(K397,D377=I377),"ACERTOU",IF(OR(C377=K377,D377=L377,C377=L377,D377=K377),"PARCIALMENTE","ERROU")),"")</f>
        <v/>
      </c>
      <c r="N377" s="22">
        <f>IFERROR(INDEX([1]respota_rag_adaptativo!$A$2:$A$853, MATCH(_xlfn.CONCAT("*#",[1]analise_resposta!A377,"*"), [1]respota_rag_adaptativo!$C$2:$C$85, 0)), "")</f>
        <v/>
      </c>
      <c r="O377" s="22" t="n"/>
      <c r="P377" s="22">
        <f>IF(N377&lt;&gt;"", IF(AND(C377=N377, D377=O377), "ACERTOU", IF(OR(C377=N377, D377=O377, C377=O377, D377=N377), "PARCIALMENTE", IF(OR(N377="Não há recomendação", O377="Não há recomendação", N377="SEM RECOMENDAÇÃO", O377="SEM RECOMENDAÇÃO"), "NÃO RECOMENDOU", "ERROU"))), "")</f>
        <v/>
      </c>
      <c r="Q377" s="23">
        <f>IFERROR(INDEX([1]resposta_plan_exec!$A$2:$A$121, MATCH(_xlfn.CONCAT("*",[1]analise_resposta!A377,"*"), [1]resposta_plan_exec!$C$2:$C$121, 0)), "")</f>
        <v/>
      </c>
      <c r="R377" s="23">
        <f>IF([1]analise_resposta!A377="", "",
    _xlfn.LET(_xlpm.resultado, IFERROR(INDEX([1]resposta_plan_exec!$B$2:$B$121,
                           MATCH(_xlfn.CONCAT("*", [1]analise_resposta!A377, "*"),
                                   [1]resposta_plan_exec!$C$2:$C$121, 0)), ""),
        IF(_xlpm.resultado="", "", _xlpm.resultado)))</f>
        <v/>
      </c>
      <c r="S377" s="23" t="n"/>
    </row>
    <row r="378">
      <c r="A378" t="n">
        <v>3258</v>
      </c>
      <c r="B378" s="3" t="inlineStr">
        <is>
          <t>Solicitação de Assistência Imediata com Laptop Dell</t>
        </is>
      </c>
      <c r="C378" s="3" t="inlineStr">
        <is>
          <t>Gerenciamento de Incidentes</t>
        </is>
      </c>
      <c r="D378" s="3" t="inlineStr">
        <is>
          <t>Gerenciamento de Ativos de TI</t>
        </is>
      </c>
      <c r="F378" s="5">
        <f>IFERROR(INDEX([1]resposta_chat_stream!$B$2:$B$34, MATCH(_xlfn.CONCAT("*#",[1]analise_resposta!A378,"*"), [1]resposta_chat_stream!$C$2:$C$34, 0)), "")</f>
        <v/>
      </c>
      <c r="G378" s="6">
        <f>IF(E378&lt;&gt;"", IF(AND(C378=E378, D378=F378), "ACERTOU", IF(OR(C378=E378, D378=F378, C378=F378, D378=E378), "PARCIALMENTE", IF(OR(E378="Não há recomendação", F378="Não há recomendação", E378="SEM RECOMENDAÇÃO", F378="SEM RECOMENDAÇÃO"), "NÃO RECOMENDOU", "ERROU"))), "")</f>
        <v/>
      </c>
      <c r="H378" s="20">
        <f>IFERROR(INDEX([1]reposta_chat!$A$2:$A$121, MATCH(_xlfn.CONCAT("*#",[1]analise_resposta!A378,"*"), [1]reposta_chat!$C$2:$C$121, 0)), "")</f>
        <v/>
      </c>
      <c r="I378" s="20">
        <f>IFERROR(INDEX([1]reposta_chat!$B$2:$B$121, MATCH(_xlfn.CONCAT("*#",[1]analise_resposta!A378,"*"), [1]reposta_chat!$C$2:$C$121, 0)), "")</f>
        <v/>
      </c>
      <c r="J378" s="20">
        <f>IF(H378&lt;&gt;"", IF(AND(C378=H378, D378=I378), "ACERTOU", IF(OR(C378=H378, D378=I378, C378=I378, D378=H378), "PARCIALMENTE", IF(OR(H378="Não há recomendação", I378="Não há recomendação", H378="SEM RECOMENDAÇÃO", I378="SEM RECOMENDAÇÃO"), "NÃO RECOMENDOU", "ERROU"))), "")</f>
        <v/>
      </c>
      <c r="K378" s="21">
        <f>IFERROR(INDEX([1]resposta_rag!$A$2:$A$33, MATCH(_xlfn.CONCAT("*#",[1]analise_resposta!A378,"*"), [1]resposta_rag!$C$2:$C$33, 0)), "")</f>
        <v/>
      </c>
      <c r="L378" s="21" t="n"/>
      <c r="M378" s="21">
        <f>IF(K378&lt;&gt;"",IF(AND(K398,D378=I378),"ACERTOU",IF(OR(C378=K378,D378=L378,C378=L378,D378=K378),"PARCIALMENTE","ERROU")),"")</f>
        <v/>
      </c>
      <c r="N378" s="22">
        <f>IFERROR(INDEX([1]respota_rag_adaptativo!$A$2:$A$853, MATCH(_xlfn.CONCAT("*#",[1]analise_resposta!A378,"*"), [1]respota_rag_adaptativo!$C$2:$C$85, 0)), "")</f>
        <v/>
      </c>
      <c r="O378" s="22" t="n"/>
      <c r="P378" s="22">
        <f>IF(N378&lt;&gt;"", IF(AND(C378=N378, D378=O378), "ACERTOU", IF(OR(C378=N378, D378=O378, C378=O378, D378=N378), "PARCIALMENTE", IF(OR(N378="Não há recomendação", O378="Não há recomendação", N378="SEM RECOMENDAÇÃO", O378="SEM RECOMENDAÇÃO"), "NÃO RECOMENDOU", "ERROU"))), "")</f>
        <v/>
      </c>
      <c r="Q378" s="23">
        <f>IFERROR(INDEX([1]resposta_plan_exec!$A$2:$A$121, MATCH(_xlfn.CONCAT("*",[1]analise_resposta!A378,"*"), [1]resposta_plan_exec!$C$2:$C$121, 0)), "")</f>
        <v/>
      </c>
      <c r="R378" s="23">
        <f>IF([1]analise_resposta!A378="", "",
    _xlfn.LET(_xlpm.resultado, IFERROR(INDEX([1]resposta_plan_exec!$B$2:$B$121,
                           MATCH(_xlfn.CONCAT("*", [1]analise_resposta!A378, "*"),
                                   [1]resposta_plan_exec!$C$2:$C$121, 0)), ""),
        IF(_xlpm.resultado="", "", _xlpm.resultado)))</f>
        <v/>
      </c>
      <c r="S378" s="23" t="n"/>
    </row>
    <row r="379">
      <c r="A379" t="n">
        <v>3263</v>
      </c>
      <c r="B379" s="3" t="inlineStr">
        <is>
          <t>Urgente: Problemas de Instalação do Adobe Photoshop 2024</t>
        </is>
      </c>
      <c r="C379" s="3" t="inlineStr">
        <is>
          <t>Gerenciamento de Incidentes</t>
        </is>
      </c>
      <c r="D379" s="3" t="inlineStr">
        <is>
          <t>Gerenciamento de Problemas</t>
        </is>
      </c>
      <c r="F379" s="5">
        <f>IFERROR(INDEX([1]resposta_chat_stream!$B$2:$B$34, MATCH(_xlfn.CONCAT("*#",[1]analise_resposta!A379,"*"), [1]resposta_chat_stream!$C$2:$C$34, 0)), "")</f>
        <v/>
      </c>
      <c r="G379" s="6">
        <f>IF(E379&lt;&gt;"", IF(AND(C379=E379, D379=F379), "ACERTOU", IF(OR(C379=E379, D379=F379, C379=F379, D379=E379), "PARCIALMENTE", IF(OR(E379="Não há recomendação", F379="Não há recomendação", E379="SEM RECOMENDAÇÃO", F379="SEM RECOMENDAÇÃO"), "NÃO RECOMENDOU", "ERROU"))), "")</f>
        <v/>
      </c>
      <c r="H379" s="20">
        <f>IFERROR(INDEX([1]reposta_chat!$A$2:$A$121, MATCH(_xlfn.CONCAT("*#",[1]analise_resposta!A379,"*"), [1]reposta_chat!$C$2:$C$121, 0)), "")</f>
        <v/>
      </c>
      <c r="I379" s="20">
        <f>IFERROR(INDEX([1]reposta_chat!$B$2:$B$121, MATCH(_xlfn.CONCAT("*#",[1]analise_resposta!A379,"*"), [1]reposta_chat!$C$2:$C$121, 0)), "")</f>
        <v/>
      </c>
      <c r="J379" s="20">
        <f>IF(H379&lt;&gt;"", IF(AND(C379=H379, D379=I379), "ACERTOU", IF(OR(C379=H379, D379=I379, C379=I379, D379=H379), "PARCIALMENTE", IF(OR(H379="Não há recomendação", I379="Não há recomendação", H379="SEM RECOMENDAÇÃO", I379="SEM RECOMENDAÇÃO"), "NÃO RECOMENDOU", "ERROU"))), "")</f>
        <v/>
      </c>
      <c r="K379" s="21">
        <f>IFERROR(INDEX([1]resposta_rag!$A$2:$A$33, MATCH(_xlfn.CONCAT("*#",[1]analise_resposta!A379,"*"), [1]resposta_rag!$C$2:$C$33, 0)), "")</f>
        <v/>
      </c>
      <c r="L379" s="21" t="n"/>
      <c r="M379" s="21">
        <f>IF(K379&lt;&gt;"",IF(AND(K399,D379=I379),"ACERTOU",IF(OR(C379=K379,D379=L379,C379=L379,D379=K379),"PARCIALMENTE","ERROU")),"")</f>
        <v/>
      </c>
      <c r="N379" s="22">
        <f>IFERROR(INDEX([1]respota_rag_adaptativo!$A$2:$A$853, MATCH(_xlfn.CONCAT("*#",[1]analise_resposta!A379,"*"), [1]respota_rag_adaptativo!$C$2:$C$85, 0)), "")</f>
        <v/>
      </c>
      <c r="O379" s="22" t="n"/>
      <c r="P379" s="22">
        <f>IF(N379&lt;&gt;"", IF(AND(C379=N379, D379=O379), "ACERTOU", IF(OR(C379=N379, D379=O379, C379=O379, D379=N379), "PARCIALMENTE", IF(OR(N379="Não há recomendação", O379="Não há recomendação", N379="SEM RECOMENDAÇÃO", O379="SEM RECOMENDAÇÃO"), "NÃO RECOMENDOU", "ERROU"))), "")</f>
        <v/>
      </c>
      <c r="Q379" s="23">
        <f>IFERROR(INDEX([1]resposta_plan_exec!$A$2:$A$121, MATCH(_xlfn.CONCAT("*",[1]analise_resposta!A379,"*"), [1]resposta_plan_exec!$C$2:$C$121, 0)), "")</f>
        <v/>
      </c>
      <c r="R379" s="23">
        <f>IF([1]analise_resposta!A379="", "",
    _xlfn.LET(_xlpm.resultado, IFERROR(INDEX([1]resposta_plan_exec!$B$2:$B$121,
                           MATCH(_xlfn.CONCAT("*", [1]analise_resposta!A379, "*"),
                                   [1]resposta_plan_exec!$C$2:$C$121, 0)), ""),
        IF(_xlpm.resultado="", "", _xlpm.resultado)))</f>
        <v/>
      </c>
      <c r="S379" s="23" t="n"/>
    </row>
    <row r="380">
      <c r="A380" t="n">
        <v>3277</v>
      </c>
      <c r="B380" s="3" t="inlineStr">
        <is>
          <t>Problemas de Conectividade com a Impressora HP DeskJet 3755</t>
        </is>
      </c>
      <c r="C380" s="3" t="inlineStr">
        <is>
          <t>Gerenciamento de Incidentes</t>
        </is>
      </c>
      <c r="D380" s="3" t="inlineStr">
        <is>
          <t>Gerenciamento de Problemas</t>
        </is>
      </c>
      <c r="F380" s="5">
        <f>IFERROR(INDEX([1]resposta_chat_stream!$B$2:$B$34, MATCH(_xlfn.CONCAT("*#",[1]analise_resposta!A380,"*"), [1]resposta_chat_stream!$C$2:$C$34, 0)), "")</f>
        <v/>
      </c>
      <c r="G380" s="6">
        <f>IF(E380&lt;&gt;"", IF(AND(C380=E380, D380=F380), "ACERTOU", IF(OR(C380=E380, D380=F380, C380=F380, D380=E380), "PARCIALMENTE", IF(OR(E380="Não há recomendação", F380="Não há recomendação", E380="SEM RECOMENDAÇÃO", F380="SEM RECOMENDAÇÃO"), "NÃO RECOMENDOU", "ERROU"))), "")</f>
        <v/>
      </c>
      <c r="H380" s="20">
        <f>IFERROR(INDEX([1]reposta_chat!$A$2:$A$121, MATCH(_xlfn.CONCAT("*#",[1]analise_resposta!A380,"*"), [1]reposta_chat!$C$2:$C$121, 0)), "")</f>
        <v/>
      </c>
      <c r="I380" s="20">
        <f>IFERROR(INDEX([1]reposta_chat!$B$2:$B$121, MATCH(_xlfn.CONCAT("*#",[1]analise_resposta!A380,"*"), [1]reposta_chat!$C$2:$C$121, 0)), "")</f>
        <v/>
      </c>
      <c r="J380" s="20">
        <f>IF(H380&lt;&gt;"", IF(AND(C380=H380, D380=I380), "ACERTOU", IF(OR(C380=H380, D380=I380, C380=I380, D380=H380), "PARCIALMENTE", IF(OR(H380="Não há recomendação", I380="Não há recomendação", H380="SEM RECOMENDAÇÃO", I380="SEM RECOMENDAÇÃO"), "NÃO RECOMENDOU", "ERROU"))), "")</f>
        <v/>
      </c>
      <c r="K380" s="21">
        <f>IFERROR(INDEX([1]resposta_rag!$A$2:$A$33, MATCH(_xlfn.CONCAT("*#",[1]analise_resposta!A380,"*"), [1]resposta_rag!$C$2:$C$33, 0)), "")</f>
        <v/>
      </c>
      <c r="L380" s="21" t="n"/>
      <c r="M380" s="21">
        <f>IF(K380&lt;&gt;"",IF(AND(K400,D380=I380),"ACERTOU",IF(OR(C380=K380,D380=L380,C380=L380,D380=K380),"PARCIALMENTE","ERROU")),"")</f>
        <v/>
      </c>
      <c r="N380" s="22">
        <f>IFERROR(INDEX([1]respota_rag_adaptativo!$A$2:$A$853, MATCH(_xlfn.CONCAT("*#",[1]analise_resposta!A380,"*"), [1]respota_rag_adaptativo!$C$2:$C$85, 0)), "")</f>
        <v/>
      </c>
      <c r="O380" s="22" t="n"/>
      <c r="P380" s="22">
        <f>IF(N380&lt;&gt;"", IF(AND(C380=N380, D380=O380), "ACERTOU", IF(OR(C380=N380, D380=O380, C380=O380, D380=N380), "PARCIALMENTE", IF(OR(N380="Não há recomendação", O380="Não há recomendação", N380="SEM RECOMENDAÇÃO", O380="SEM RECOMENDAÇÃO"), "NÃO RECOMENDOU", "ERROU"))), "")</f>
        <v/>
      </c>
      <c r="Q380" s="23">
        <f>IFERROR(INDEX([1]resposta_plan_exec!$A$2:$A$121, MATCH(_xlfn.CONCAT("*",[1]analise_resposta!A380,"*"), [1]resposta_plan_exec!$C$2:$C$121, 0)), "")</f>
        <v/>
      </c>
      <c r="R380" s="23">
        <f>IF([1]analise_resposta!A380="", "",
    _xlfn.LET(_xlpm.resultado, IFERROR(INDEX([1]resposta_plan_exec!$B$2:$B$121,
                           MATCH(_xlfn.CONCAT("*", [1]analise_resposta!A380, "*"),
                                   [1]resposta_plan_exec!$C$2:$C$121, 0)), ""),
        IF(_xlpm.resultado="", "", _xlpm.resultado)))</f>
        <v/>
      </c>
      <c r="S380" s="23" t="n"/>
    </row>
    <row r="381">
      <c r="A381" t="n">
        <v>3296</v>
      </c>
      <c r="B381" s="3" t="inlineStr">
        <is>
          <t>Urgente: Problema de Interrupção do Serviço de Gerenciamento da AWS</t>
        </is>
      </c>
      <c r="C381" s="3" t="inlineStr">
        <is>
          <t>Gerenciamento de Incidentes</t>
        </is>
      </c>
      <c r="D381" s="3" t="inlineStr">
        <is>
          <t>Gerenciamento de Mudanças</t>
        </is>
      </c>
      <c r="F381" s="5">
        <f>IFERROR(INDEX([1]resposta_chat_stream!$B$2:$B$34, MATCH(_xlfn.CONCAT("*#",[1]analise_resposta!A381,"*"), [1]resposta_chat_stream!$C$2:$C$34, 0)), "")</f>
        <v/>
      </c>
      <c r="G381" s="6">
        <f>IF(E381&lt;&gt;"", IF(AND(C381=E381, D381=F381), "ACERTOU", IF(OR(C381=E381, D381=F381, C381=F381, D381=E381), "PARCIALMENTE", IF(OR(E381="Não há recomendação", F381="Não há recomendação", E381="SEM RECOMENDAÇÃO", F381="SEM RECOMENDAÇÃO"), "NÃO RECOMENDOU", "ERROU"))), "")</f>
        <v/>
      </c>
      <c r="H381" s="20">
        <f>IFERROR(INDEX([1]reposta_chat!$A$2:$A$121, MATCH(_xlfn.CONCAT("*#",[1]analise_resposta!A381,"*"), [1]reposta_chat!$C$2:$C$121, 0)), "")</f>
        <v/>
      </c>
      <c r="I381" s="20">
        <f>IFERROR(INDEX([1]reposta_chat!$B$2:$B$121, MATCH(_xlfn.CONCAT("*#",[1]analise_resposta!A381,"*"), [1]reposta_chat!$C$2:$C$121, 0)), "")</f>
        <v/>
      </c>
      <c r="J381" s="20">
        <f>IF(H381&lt;&gt;"", IF(AND(C381=H381, D381=I381), "ACERTOU", IF(OR(C381=H381, D381=I381, C381=I381, D381=H381), "PARCIALMENTE", IF(OR(H381="Não há recomendação", I381="Não há recomendação", H381="SEM RECOMENDAÇÃO", I381="SEM RECOMENDAÇÃO"), "NÃO RECOMENDOU", "ERROU"))), "")</f>
        <v/>
      </c>
      <c r="K381" s="21">
        <f>IFERROR(INDEX([1]resposta_rag!$A$2:$A$33, MATCH(_xlfn.CONCAT("*#",[1]analise_resposta!A381,"*"), [1]resposta_rag!$C$2:$C$33, 0)), "")</f>
        <v/>
      </c>
      <c r="L381" s="21" t="n"/>
      <c r="M381" s="21">
        <f>IF(K381&lt;&gt;"",IF(AND(K401,D381=I381),"ACERTOU",IF(OR(C381=K381,D381=L381,C381=L381,D381=K381),"PARCIALMENTE","ERROU")),"")</f>
        <v/>
      </c>
      <c r="N381" s="22">
        <f>IFERROR(INDEX([1]respota_rag_adaptativo!$A$2:$A$853, MATCH(_xlfn.CONCAT("*#",[1]analise_resposta!A381,"*"), [1]respota_rag_adaptativo!$C$2:$C$85, 0)), "")</f>
        <v/>
      </c>
      <c r="O381" s="22" t="n"/>
      <c r="P381" s="22">
        <f>IF(N381&lt;&gt;"", IF(AND(C381=N381, D381=O381), "ACERTOU", IF(OR(C381=N381, D381=O381, C381=O381, D381=N381), "PARCIALMENTE", IF(OR(N381="Não há recomendação", O381="Não há recomendação", N381="SEM RECOMENDAÇÃO", O381="SEM RECOMENDAÇÃO"), "NÃO RECOMENDOU", "ERROU"))), "")</f>
        <v/>
      </c>
      <c r="Q381" s="23">
        <f>IFERROR(INDEX([1]resposta_plan_exec!$A$2:$A$121, MATCH(_xlfn.CONCAT("*",[1]analise_resposta!A381,"*"), [1]resposta_plan_exec!$C$2:$C$121, 0)), "")</f>
        <v/>
      </c>
      <c r="R381" s="23">
        <f>IF([1]analise_resposta!A381="", "",
    _xlfn.LET(_xlpm.resultado, IFERROR(INDEX([1]resposta_plan_exec!$B$2:$B$121,
                           MATCH(_xlfn.CONCAT("*", [1]analise_resposta!A381, "*"),
                                   [1]resposta_plan_exec!$C$2:$C$121, 0)), ""),
        IF(_xlpm.resultado="", "", _xlpm.resultado)))</f>
        <v/>
      </c>
      <c r="S381" s="23" t="n"/>
    </row>
    <row r="382">
      <c r="A382" t="n">
        <v>3308</v>
      </c>
      <c r="B382" s="3" t="inlineStr">
        <is>
          <t>Urgente: Problema de Infraestrutura da AWS</t>
        </is>
      </c>
      <c r="C382" s="3" t="inlineStr">
        <is>
          <t>Gerenciamento de Incidentes</t>
        </is>
      </c>
      <c r="D382" s="3" t="inlineStr">
        <is>
          <t>Gerenciamento Financeiro</t>
        </is>
      </c>
      <c r="F382" s="5">
        <f>IFERROR(INDEX([1]resposta_chat_stream!$B$2:$B$34, MATCH(_xlfn.CONCAT("*#",[1]analise_resposta!A382,"*"), [1]resposta_chat_stream!$C$2:$C$34, 0)), "")</f>
        <v/>
      </c>
      <c r="G382" s="6">
        <f>IF(E382&lt;&gt;"", IF(AND(C382=E382, D382=F382), "ACERTOU", IF(OR(C382=E382, D382=F382, C382=F382, D382=E382), "PARCIALMENTE", IF(OR(E382="Não há recomendação", F382="Não há recomendação", E382="SEM RECOMENDAÇÃO", F382="SEM RECOMENDAÇÃO"), "NÃO RECOMENDOU", "ERROU"))), "")</f>
        <v/>
      </c>
      <c r="H382" s="20">
        <f>IFERROR(INDEX([1]reposta_chat!$A$2:$A$121, MATCH(_xlfn.CONCAT("*#",[1]analise_resposta!A382,"*"), [1]reposta_chat!$C$2:$C$121, 0)), "")</f>
        <v/>
      </c>
      <c r="I382" s="20">
        <f>IFERROR(INDEX([1]reposta_chat!$B$2:$B$121, MATCH(_xlfn.CONCAT("*#",[1]analise_resposta!A382,"*"), [1]reposta_chat!$C$2:$C$121, 0)), "")</f>
        <v/>
      </c>
      <c r="J382" s="20">
        <f>IF(H382&lt;&gt;"", IF(AND(C382=H382, D382=I382), "ACERTOU", IF(OR(C382=H382, D382=I382, C382=I382, D382=H382), "PARCIALMENTE", IF(OR(H382="Não há recomendação", I382="Não há recomendação", H382="SEM RECOMENDAÇÃO", I382="SEM RECOMENDAÇÃO"), "NÃO RECOMENDOU", "ERROU"))), "")</f>
        <v/>
      </c>
      <c r="K382" s="21">
        <f>IFERROR(INDEX([1]resposta_rag!$A$2:$A$33, MATCH(_xlfn.CONCAT("*#",[1]analise_resposta!A382,"*"), [1]resposta_rag!$C$2:$C$33, 0)), "")</f>
        <v/>
      </c>
      <c r="L382" s="21" t="n"/>
      <c r="M382" s="21">
        <f>IF(K382&lt;&gt;"",IF(AND(K402,D382=I382),"ACERTOU",IF(OR(C382=K382,D382=L382,C382=L382,D382=K382),"PARCIALMENTE","ERROU")),"")</f>
        <v/>
      </c>
      <c r="N382" s="22">
        <f>IFERROR(INDEX([1]respota_rag_adaptativo!$A$2:$A$853, MATCH(_xlfn.CONCAT("*#",[1]analise_resposta!A382,"*"), [1]respota_rag_adaptativo!$C$2:$C$85, 0)), "")</f>
        <v/>
      </c>
      <c r="O382" s="22" t="n"/>
      <c r="P382" s="22">
        <f>IF(N382&lt;&gt;"", IF(AND(C382=N382, D382=O382), "ACERTOU", IF(OR(C382=N382, D382=O382, C382=O382, D382=N382), "PARCIALMENTE", IF(OR(N382="Não há recomendação", O382="Não há recomendação", N382="SEM RECOMENDAÇÃO", O382="SEM RECOMENDAÇÃO"), "NÃO RECOMENDOU", "ERROU"))), "")</f>
        <v/>
      </c>
      <c r="Q382" s="23">
        <f>IFERROR(INDEX([1]resposta_plan_exec!$A$2:$A$121, MATCH(_xlfn.CONCAT("*",[1]analise_resposta!A382,"*"), [1]resposta_plan_exec!$C$2:$C$121, 0)), "")</f>
        <v/>
      </c>
      <c r="R382" s="23">
        <f>IF([1]analise_resposta!A382="", "",
    _xlfn.LET(_xlpm.resultado, IFERROR(INDEX([1]resposta_plan_exec!$B$2:$B$121,
                           MATCH(_xlfn.CONCAT("*", [1]analise_resposta!A382, "*"),
                                   [1]resposta_plan_exec!$C$2:$C$121, 0)), ""),
        IF(_xlpm.resultado="", "", _xlpm.resultado)))</f>
        <v/>
      </c>
      <c r="S382" s="23" t="n"/>
    </row>
    <row r="383">
      <c r="A383" t="n">
        <v>3313</v>
      </c>
      <c r="B383" s="3" t="inlineStr">
        <is>
          <t>Ajuda Imediata Necessária: Dificuldades com o Zoom</t>
        </is>
      </c>
      <c r="C383" s="3" t="inlineStr">
        <is>
          <t>Solicitação de Serviço</t>
        </is>
      </c>
      <c r="D383" s="3" t="inlineStr">
        <is>
          <t>Gerenciamento de Incidentes</t>
        </is>
      </c>
      <c r="F383" s="5">
        <f>IFERROR(INDEX([1]resposta_chat_stream!$B$2:$B$34, MATCH(_xlfn.CONCAT("*#",[1]analise_resposta!A383,"*"), [1]resposta_chat_stream!$C$2:$C$34, 0)), "")</f>
        <v/>
      </c>
      <c r="G383" s="6">
        <f>IF(E383&lt;&gt;"", IF(AND(C383=E383, D383=F383), "ACERTOU", IF(OR(C383=E383, D383=F383, C383=F383, D383=E383), "PARCIALMENTE", IF(OR(E383="Não há recomendação", F383="Não há recomendação", E383="SEM RECOMENDAÇÃO", F383="SEM RECOMENDAÇÃO"), "NÃO RECOMENDOU", "ERROU"))), "")</f>
        <v/>
      </c>
      <c r="H383" s="20">
        <f>IFERROR(INDEX([1]reposta_chat!$A$2:$A$121, MATCH(_xlfn.CONCAT("*#",[1]analise_resposta!A383,"*"), [1]reposta_chat!$C$2:$C$121, 0)), "")</f>
        <v/>
      </c>
      <c r="I383" s="20">
        <f>IFERROR(INDEX([1]reposta_chat!$B$2:$B$121, MATCH(_xlfn.CONCAT("*#",[1]analise_resposta!A383,"*"), [1]reposta_chat!$C$2:$C$121, 0)), "")</f>
        <v/>
      </c>
      <c r="J383" s="20">
        <f>IF(H383&lt;&gt;"", IF(AND(C383=H383, D383=I383), "ACERTOU", IF(OR(C383=H383, D383=I383, C383=I383, D383=H383), "PARCIALMENTE", IF(OR(H383="Não há recomendação", I383="Não há recomendação", H383="SEM RECOMENDAÇÃO", I383="SEM RECOMENDAÇÃO"), "NÃO RECOMENDOU", "ERROU"))), "")</f>
        <v/>
      </c>
      <c r="K383" s="21">
        <f>IFERROR(INDEX([1]resposta_rag!$A$2:$A$33, MATCH(_xlfn.CONCAT("*#",[1]analise_resposta!A383,"*"), [1]resposta_rag!$C$2:$C$33, 0)), "")</f>
        <v/>
      </c>
      <c r="L383" s="21" t="n"/>
      <c r="M383" s="21">
        <f>IF(K383&lt;&gt;"",IF(AND(K403,D383=I383),"ACERTOU",IF(OR(C383=K383,D383=L383,C383=L383,D383=K383),"PARCIALMENTE","ERROU")),"")</f>
        <v/>
      </c>
      <c r="N383" s="22">
        <f>IFERROR(INDEX([1]respota_rag_adaptativo!$A$2:$A$853, MATCH(_xlfn.CONCAT("*#",[1]analise_resposta!A383,"*"), [1]respota_rag_adaptativo!$C$2:$C$85, 0)), "")</f>
        <v/>
      </c>
      <c r="O383" s="22" t="n"/>
      <c r="P383" s="22">
        <f>IF(N383&lt;&gt;"", IF(AND(C383=N383, D383=O383), "ACERTOU", IF(OR(C383=N383, D383=O383, C383=O383, D383=N383), "PARCIALMENTE", IF(OR(N383="Não há recomendação", O383="Não há recomendação", N383="SEM RECOMENDAÇÃO", O383="SEM RECOMENDAÇÃO"), "NÃO RECOMENDOU", "ERROU"))), "")</f>
        <v/>
      </c>
      <c r="Q383" s="23">
        <f>IFERROR(INDEX([1]resposta_plan_exec!$A$2:$A$121, MATCH(_xlfn.CONCAT("*",[1]analise_resposta!A383,"*"), [1]resposta_plan_exec!$C$2:$C$121, 0)), "")</f>
        <v/>
      </c>
      <c r="R383" s="23">
        <f>IF([1]analise_resposta!A383="", "",
    _xlfn.LET(_xlpm.resultado, IFERROR(INDEX([1]resposta_plan_exec!$B$2:$B$121,
                           MATCH(_xlfn.CONCAT("*", [1]analise_resposta!A383, "*"),
                                   [1]resposta_plan_exec!$C$2:$C$121, 0)), ""),
        IF(_xlpm.resultado="", "", _xlpm.resultado)))</f>
        <v/>
      </c>
      <c r="S383" s="23" t="n"/>
    </row>
    <row r="384">
      <c r="A384" t="n">
        <v>3314</v>
      </c>
      <c r="B384" s="3" t="inlineStr">
        <is>
          <t>Urgente: Problemas de Conectividade com Impressão Sem Fio</t>
        </is>
      </c>
      <c r="C384" s="3" t="inlineStr">
        <is>
          <t>Gerenciamento de Incidentes</t>
        </is>
      </c>
      <c r="D384" s="3" t="inlineStr">
        <is>
          <t>Gerenciamento de Problemas</t>
        </is>
      </c>
      <c r="F384" s="5">
        <f>IFERROR(INDEX([1]resposta_chat_stream!$B$2:$B$34, MATCH(_xlfn.CONCAT("*#",[1]analise_resposta!A384,"*"), [1]resposta_chat_stream!$C$2:$C$34, 0)), "")</f>
        <v/>
      </c>
      <c r="G384" s="6">
        <f>IF(E384&lt;&gt;"", IF(AND(C384=E384, D384=F384), "ACERTOU", IF(OR(C384=E384, D384=F384, C384=F384, D384=E384), "PARCIALMENTE", IF(OR(E384="Não há recomendação", F384="Não há recomendação", E384="SEM RECOMENDAÇÃO", F384="SEM RECOMENDAÇÃO"), "NÃO RECOMENDOU", "ERROU"))), "")</f>
        <v/>
      </c>
      <c r="H384" s="20">
        <f>IFERROR(INDEX([1]reposta_chat!$A$2:$A$121, MATCH(_xlfn.CONCAT("*#",[1]analise_resposta!A384,"*"), [1]reposta_chat!$C$2:$C$121, 0)), "")</f>
        <v/>
      </c>
      <c r="I384" s="20">
        <f>IFERROR(INDEX([1]reposta_chat!$B$2:$B$121, MATCH(_xlfn.CONCAT("*#",[1]analise_resposta!A384,"*"), [1]reposta_chat!$C$2:$C$121, 0)), "")</f>
        <v/>
      </c>
      <c r="J384" s="20">
        <f>IF(H384&lt;&gt;"", IF(AND(C384=H384, D384=I384), "ACERTOU", IF(OR(C384=H384, D384=I384, C384=I384, D384=H384), "PARCIALMENTE", IF(OR(H384="Não há recomendação", I384="Não há recomendação", H384="SEM RECOMENDAÇÃO", I384="SEM RECOMENDAÇÃO"), "NÃO RECOMENDOU", "ERROU"))), "")</f>
        <v/>
      </c>
      <c r="K384" s="21">
        <f>IFERROR(INDEX([1]resposta_rag!$A$2:$A$33, MATCH(_xlfn.CONCAT("*#",[1]analise_resposta!A384,"*"), [1]resposta_rag!$C$2:$C$33, 0)), "")</f>
        <v/>
      </c>
      <c r="L384" s="21" t="n"/>
      <c r="M384" s="21">
        <f>IF(K384&lt;&gt;"",IF(AND(K404,D384=I384),"ACERTOU",IF(OR(C384=K384,D384=L384,C384=L384,D384=K384),"PARCIALMENTE","ERROU")),"")</f>
        <v/>
      </c>
      <c r="N384" s="22">
        <f>IFERROR(INDEX([1]respota_rag_adaptativo!$A$2:$A$853, MATCH(_xlfn.CONCAT("*#",[1]analise_resposta!A384,"*"), [1]respota_rag_adaptativo!$C$2:$C$85, 0)), "")</f>
        <v/>
      </c>
      <c r="O384" s="22" t="n"/>
      <c r="P384" s="22">
        <f>IF(N384&lt;&gt;"", IF(AND(C384=N384, D384=O384), "ACERTOU", IF(OR(C384=N384, D384=O384, C384=O384, D384=N384), "PARCIALMENTE", IF(OR(N384="Não há recomendação", O384="Não há recomendação", N384="SEM RECOMENDAÇÃO", O384="SEM RECOMENDAÇÃO"), "NÃO RECOMENDOU", "ERROU"))), "")</f>
        <v/>
      </c>
      <c r="Q384" s="23">
        <f>IFERROR(INDEX([1]resposta_plan_exec!$A$2:$A$121, MATCH(_xlfn.CONCAT("*",[1]analise_resposta!A384,"*"), [1]resposta_plan_exec!$C$2:$C$121, 0)), "")</f>
        <v/>
      </c>
      <c r="R384" s="23">
        <f>IF([1]analise_resposta!A384="", "",
    _xlfn.LET(_xlpm.resultado, IFERROR(INDEX([1]resposta_plan_exec!$B$2:$B$121,
                           MATCH(_xlfn.CONCAT("*", [1]analise_resposta!A384, "*"),
                                   [1]resposta_plan_exec!$C$2:$C$121, 0)), ""),
        IF(_xlpm.resultado="", "", _xlpm.resultado)))</f>
        <v/>
      </c>
      <c r="S384" s="23" t="n"/>
    </row>
    <row r="385">
      <c r="A385" t="n">
        <v>3318</v>
      </c>
      <c r="B385" s="3" t="inlineStr">
        <is>
          <t>Assistência Urgente Necessária: Falha na Implantação do AWS em Serviços de Nuvem</t>
        </is>
      </c>
      <c r="C385" s="3" t="inlineStr">
        <is>
          <t>Gerenciamento de Incidentes</t>
        </is>
      </c>
      <c r="D385" s="3" t="inlineStr">
        <is>
          <t>Gerenciamento de Mudanças</t>
        </is>
      </c>
      <c r="F385" s="5">
        <f>IFERROR(INDEX([1]resposta_chat_stream!$B$2:$B$34, MATCH(_xlfn.CONCAT("*#",[1]analise_resposta!A385,"*"), [1]resposta_chat_stream!$C$2:$C$34, 0)), "")</f>
        <v/>
      </c>
      <c r="G385" s="6">
        <f>IF(E385&lt;&gt;"", IF(AND(C385=E385, D385=F385), "ACERTOU", IF(OR(C385=E385, D385=F385, C385=F385, D385=E385), "PARCIALMENTE", IF(OR(E385="Não há recomendação", F385="Não há recomendação", E385="SEM RECOMENDAÇÃO", F385="SEM RECOMENDAÇÃO"), "NÃO RECOMENDOU", "ERROU"))), "")</f>
        <v/>
      </c>
      <c r="H385" s="20">
        <f>IFERROR(INDEX([1]reposta_chat!$A$2:$A$121, MATCH(_xlfn.CONCAT("*#",[1]analise_resposta!A385,"*"), [1]reposta_chat!$C$2:$C$121, 0)), "")</f>
        <v/>
      </c>
      <c r="I385" s="20">
        <f>IFERROR(INDEX([1]reposta_chat!$B$2:$B$121, MATCH(_xlfn.CONCAT("*#",[1]analise_resposta!A385,"*"), [1]reposta_chat!$C$2:$C$121, 0)), "")</f>
        <v/>
      </c>
      <c r="J385" s="20">
        <f>IF(H385&lt;&gt;"", IF(AND(C385=H385, D385=I385), "ACERTOU", IF(OR(C385=H385, D385=I385, C385=I385, D385=H385), "PARCIALMENTE", IF(OR(H385="Não há recomendação", I385="Não há recomendação", H385="SEM RECOMENDAÇÃO", I385="SEM RECOMENDAÇÃO"), "NÃO RECOMENDOU", "ERROU"))), "")</f>
        <v/>
      </c>
      <c r="K385" s="21">
        <f>IFERROR(INDEX([1]resposta_rag!$A$2:$A$33, MATCH(_xlfn.CONCAT("*#",[1]analise_resposta!A385,"*"), [1]resposta_rag!$C$2:$C$33, 0)), "")</f>
        <v/>
      </c>
      <c r="L385" s="21" t="n"/>
      <c r="M385" s="21">
        <f>IF(K385&lt;&gt;"",IF(AND(K405,D385=I385),"ACERTOU",IF(OR(C385=K385,D385=L385,C385=L385,D385=K385),"PARCIALMENTE","ERROU")),"")</f>
        <v/>
      </c>
      <c r="N385" s="22">
        <f>IFERROR(INDEX([1]respota_rag_adaptativo!$A$2:$A$853, MATCH(_xlfn.CONCAT("*#",[1]analise_resposta!A385,"*"), [1]respota_rag_adaptativo!$C$2:$C$85, 0)), "")</f>
        <v/>
      </c>
      <c r="O385" s="22" t="n"/>
      <c r="P385" s="22">
        <f>IF(N385&lt;&gt;"", IF(AND(C385=N385, D385=O385), "ACERTOU", IF(OR(C385=N385, D385=O385, C385=O385, D385=N385), "PARCIALMENTE", IF(OR(N385="Não há recomendação", O385="Não há recomendação", N385="SEM RECOMENDAÇÃO", O385="SEM RECOMENDAÇÃO"), "NÃO RECOMENDOU", "ERROU"))), "")</f>
        <v/>
      </c>
      <c r="Q385" s="23">
        <f>IFERROR(INDEX([1]resposta_plan_exec!$A$2:$A$121, MATCH(_xlfn.CONCAT("*",[1]analise_resposta!A385,"*"), [1]resposta_plan_exec!$C$2:$C$121, 0)), "")</f>
        <v/>
      </c>
      <c r="R385" s="23">
        <f>IF([1]analise_resposta!A385="", "",
    _xlfn.LET(_xlpm.resultado, IFERROR(INDEX([1]resposta_plan_exec!$B$2:$B$121,
                           MATCH(_xlfn.CONCAT("*", [1]analise_resposta!A385, "*"),
                                   [1]resposta_plan_exec!$C$2:$C$121, 0)), ""),
        IF(_xlpm.resultado="", "", _xlpm.resultado)))</f>
        <v/>
      </c>
      <c r="S385" s="23" t="n"/>
    </row>
    <row r="386">
      <c r="A386" t="n">
        <v>3319</v>
      </c>
      <c r="B386" s="3" t="inlineStr">
        <is>
          <t>Problemas com Extensões do Navegador na Atualização do Chrome 102.0</t>
        </is>
      </c>
      <c r="C386" s="3" t="inlineStr">
        <is>
          <t>Gerenciamento de Incidentes</t>
        </is>
      </c>
      <c r="D386" s="3" t="inlineStr">
        <is>
          <t>Gerenciamento de Problemas</t>
        </is>
      </c>
      <c r="F386" s="5">
        <f>IFERROR(INDEX([1]resposta_chat_stream!$B$2:$B$34, MATCH(_xlfn.CONCAT("*#",[1]analise_resposta!A386,"*"), [1]resposta_chat_stream!$C$2:$C$34, 0)), "")</f>
        <v/>
      </c>
      <c r="G386" s="6">
        <f>IF(E386&lt;&gt;"", IF(AND(C386=E386, D386=F386), "ACERTOU", IF(OR(C386=E386, D386=F386, C386=F386, D386=E386), "PARCIALMENTE", IF(OR(E386="Não há recomendação", F386="Não há recomendação", E386="SEM RECOMENDAÇÃO", F386="SEM RECOMENDAÇÃO"), "NÃO RECOMENDOU", "ERROU"))), "")</f>
        <v/>
      </c>
      <c r="H386" s="20">
        <f>IFERROR(INDEX([1]reposta_chat!$A$2:$A$121, MATCH(_xlfn.CONCAT("*#",[1]analise_resposta!A386,"*"), [1]reposta_chat!$C$2:$C$121, 0)), "")</f>
        <v/>
      </c>
      <c r="I386" s="20">
        <f>IFERROR(INDEX([1]reposta_chat!$B$2:$B$121, MATCH(_xlfn.CONCAT("*#",[1]analise_resposta!A386,"*"), [1]reposta_chat!$C$2:$C$121, 0)), "")</f>
        <v/>
      </c>
      <c r="J386" s="20">
        <f>IF(H386&lt;&gt;"", IF(AND(C386=H386, D386=I386), "ACERTOU", IF(OR(C386=H386, D386=I386, C386=I386, D386=H386), "PARCIALMENTE", IF(OR(H386="Não há recomendação", I386="Não há recomendação", H386="SEM RECOMENDAÇÃO", I386="SEM RECOMENDAÇÃO"), "NÃO RECOMENDOU", "ERROU"))), "")</f>
        <v/>
      </c>
      <c r="K386" s="21">
        <f>IFERROR(INDEX([1]resposta_rag!$A$2:$A$33, MATCH(_xlfn.CONCAT("*#",[1]analise_resposta!A386,"*"), [1]resposta_rag!$C$2:$C$33, 0)), "")</f>
        <v/>
      </c>
      <c r="L386" s="21" t="n"/>
      <c r="M386" s="21">
        <f>IF(K386&lt;&gt;"",IF(AND(K406,D386=I386),"ACERTOU",IF(OR(C386=K386,D386=L386,C386=L386,D386=K386),"PARCIALMENTE","ERROU")),"")</f>
        <v/>
      </c>
      <c r="N386" s="22">
        <f>IFERROR(INDEX([1]respota_rag_adaptativo!$A$2:$A$853, MATCH(_xlfn.CONCAT("*#",[1]analise_resposta!A386,"*"), [1]respota_rag_adaptativo!$C$2:$C$85, 0)), "")</f>
        <v/>
      </c>
      <c r="O386" s="22" t="n"/>
      <c r="P386" s="22">
        <f>IF(N386&lt;&gt;"", IF(AND(C386=N386, D386=O386), "ACERTOU", IF(OR(C386=N386, D386=O386, C386=O386, D386=N386), "PARCIALMENTE", IF(OR(N386="Não há recomendação", O386="Não há recomendação", N386="SEM RECOMENDAÇÃO", O386="SEM RECOMENDAÇÃO"), "NÃO RECOMENDOU", "ERROU"))), "")</f>
        <v/>
      </c>
      <c r="Q386" s="23">
        <f>IFERROR(INDEX([1]resposta_plan_exec!$A$2:$A$121, MATCH(_xlfn.CONCAT("*",[1]analise_resposta!A386,"*"), [1]resposta_plan_exec!$C$2:$C$121, 0)), "")</f>
        <v/>
      </c>
      <c r="R386" s="23">
        <f>IF([1]analise_resposta!A386="", "",
    _xlfn.LET(_xlpm.resultado, IFERROR(INDEX([1]resposta_plan_exec!$B$2:$B$121,
                           MATCH(_xlfn.CONCAT("*", [1]analise_resposta!A386, "*"),
                                   [1]resposta_plan_exec!$C$2:$C$121, 0)), ""),
        IF(_xlpm.resultado="", "", _xlpm.resultado)))</f>
        <v/>
      </c>
      <c r="S386" s="23" t="n"/>
    </row>
    <row r="387">
      <c r="A387" t="n">
        <v>3324</v>
      </c>
      <c r="B387" s="3" t="inlineStr">
        <is>
          <t>Problemas de Login com a Atualização do Jira Software 8.20</t>
        </is>
      </c>
      <c r="C387" s="3" t="inlineStr">
        <is>
          <t>Gerenciamento de Incidentes</t>
        </is>
      </c>
      <c r="D387" s="3" t="inlineStr">
        <is>
          <t>Gerenciamento de Acesso</t>
        </is>
      </c>
      <c r="F387" s="5">
        <f>IFERROR(INDEX([1]resposta_chat_stream!$B$2:$B$34, MATCH(_xlfn.CONCAT("*#",[1]analise_resposta!A387,"*"), [1]resposta_chat_stream!$C$2:$C$34, 0)), "")</f>
        <v/>
      </c>
      <c r="G387" s="6">
        <f>IF(E387&lt;&gt;"", IF(AND(C387=E387, D387=F387), "ACERTOU", IF(OR(C387=E387, D387=F387, C387=F387, D387=E387), "PARCIALMENTE", IF(OR(E387="Não há recomendação", F387="Não há recomendação", E387="SEM RECOMENDAÇÃO", F387="SEM RECOMENDAÇÃO"), "NÃO RECOMENDOU", "ERROU"))), "")</f>
        <v/>
      </c>
      <c r="H387" s="20">
        <f>IFERROR(INDEX([1]reposta_chat!$A$2:$A$121, MATCH(_xlfn.CONCAT("*#",[1]analise_resposta!A387,"*"), [1]reposta_chat!$C$2:$C$121, 0)), "")</f>
        <v/>
      </c>
      <c r="I387" s="20">
        <f>IFERROR(INDEX([1]reposta_chat!$B$2:$B$121, MATCH(_xlfn.CONCAT("*#",[1]analise_resposta!A387,"*"), [1]reposta_chat!$C$2:$C$121, 0)), "")</f>
        <v/>
      </c>
      <c r="J387" s="20">
        <f>IF(H387&lt;&gt;"", IF(AND(C387=H387, D387=I387), "ACERTOU", IF(OR(C387=H387, D387=I387, C387=I387, D387=H387), "PARCIALMENTE", IF(OR(H387="Não há recomendação", I387="Não há recomendação", H387="SEM RECOMENDAÇÃO", I387="SEM RECOMENDAÇÃO"), "NÃO RECOMENDOU", "ERROU"))), "")</f>
        <v/>
      </c>
      <c r="K387" s="21">
        <f>IFERROR(INDEX([1]resposta_rag!$A$2:$A$33, MATCH(_xlfn.CONCAT("*#",[1]analise_resposta!A387,"*"), [1]resposta_rag!$C$2:$C$33, 0)), "")</f>
        <v/>
      </c>
      <c r="L387" s="21" t="n"/>
      <c r="M387" s="21">
        <f>IF(K387&lt;&gt;"",IF(AND(K407,D387=I387),"ACERTOU",IF(OR(C387=K387,D387=L387,C387=L387,D387=K387),"PARCIALMENTE","ERROU")),"")</f>
        <v/>
      </c>
      <c r="N387" s="22">
        <f>IFERROR(INDEX([1]respota_rag_adaptativo!$A$2:$A$853, MATCH(_xlfn.CONCAT("*#",[1]analise_resposta!A387,"*"), [1]respota_rag_adaptativo!$C$2:$C$85, 0)), "")</f>
        <v/>
      </c>
      <c r="O387" s="22" t="n"/>
      <c r="P387" s="22">
        <f>IF(N387&lt;&gt;"", IF(AND(C387=N387, D387=O387), "ACERTOU", IF(OR(C387=N387, D387=O387, C387=O387, D387=N387), "PARCIALMENTE", IF(OR(N387="Não há recomendação", O387="Não há recomendação", N387="SEM RECOMENDAÇÃO", O387="SEM RECOMENDAÇÃO"), "NÃO RECOMENDOU", "ERROU"))), "")</f>
        <v/>
      </c>
      <c r="Q387" s="23">
        <f>IFERROR(INDEX([1]resposta_plan_exec!$A$2:$A$121, MATCH(_xlfn.CONCAT("*",[1]analise_resposta!A387,"*"), [1]resposta_plan_exec!$C$2:$C$121, 0)), "")</f>
        <v/>
      </c>
      <c r="R387" s="23">
        <f>IF([1]analise_resposta!A387="", "",
    _xlfn.LET(_xlpm.resultado, IFERROR(INDEX([1]resposta_plan_exec!$B$2:$B$121,
                           MATCH(_xlfn.CONCAT("*", [1]analise_resposta!A387, "*"),
                                   [1]resposta_plan_exec!$C$2:$C$121, 0)), ""),
        IF(_xlpm.resultado="", "", _xlpm.resultado)))</f>
        <v/>
      </c>
      <c r="S387" s="23" t="n"/>
    </row>
    <row r="388">
      <c r="A388" t="n">
        <v>3327</v>
      </c>
      <c r="B388" s="3" t="inlineStr">
        <is>
          <t>Situação Crítica de Interrupção do Servidor</t>
        </is>
      </c>
      <c r="C388" s="3" t="inlineStr">
        <is>
          <t>Gerenciamento de Incidentes</t>
        </is>
      </c>
      <c r="D388" s="3" t="inlineStr">
        <is>
          <t>Gerenciamento de Disponibilidade</t>
        </is>
      </c>
      <c r="F388" s="5">
        <f>IFERROR(INDEX([1]resposta_chat_stream!$B$2:$B$34, MATCH(_xlfn.CONCAT("*#",[1]analise_resposta!A388,"*"), [1]resposta_chat_stream!$C$2:$C$34, 0)), "")</f>
        <v/>
      </c>
      <c r="G388" s="6">
        <f>IF(E388&lt;&gt;"", IF(AND(C388=E388, D388=F388), "ACERTOU", IF(OR(C388=E388, D388=F388, C388=F388, D388=E388), "PARCIALMENTE", IF(OR(E388="Não há recomendação", F388="Não há recomendação", E388="SEM RECOMENDAÇÃO", F388="SEM RECOMENDAÇÃO"), "NÃO RECOMENDOU", "ERROU"))), "")</f>
        <v/>
      </c>
      <c r="H388" s="20">
        <f>IFERROR(INDEX([1]reposta_chat!$A$2:$A$121, MATCH(_xlfn.CONCAT("*#",[1]analise_resposta!A388,"*"), [1]reposta_chat!$C$2:$C$121, 0)), "")</f>
        <v/>
      </c>
      <c r="I388" s="20">
        <f>IFERROR(INDEX([1]reposta_chat!$B$2:$B$121, MATCH(_xlfn.CONCAT("*#",[1]analise_resposta!A388,"*"), [1]reposta_chat!$C$2:$C$121, 0)), "")</f>
        <v/>
      </c>
      <c r="J388" s="20">
        <f>IF(H388&lt;&gt;"", IF(AND(C388=H388, D388=I388), "ACERTOU", IF(OR(C388=H388, D388=I388, C388=I388, D388=H388), "PARCIALMENTE", IF(OR(H388="Não há recomendação", I388="Não há recomendação", H388="SEM RECOMENDAÇÃO", I388="SEM RECOMENDAÇÃO"), "NÃO RECOMENDOU", "ERROU"))), "")</f>
        <v/>
      </c>
      <c r="K388" s="21">
        <f>IFERROR(INDEX([1]resposta_rag!$A$2:$A$33, MATCH(_xlfn.CONCAT("*#",[1]analise_resposta!A388,"*"), [1]resposta_rag!$C$2:$C$33, 0)), "")</f>
        <v/>
      </c>
      <c r="L388" s="21" t="n"/>
      <c r="M388" s="21">
        <f>IF(K388&lt;&gt;"",IF(AND(K408,D388=I388),"ACERTOU",IF(OR(C388=K388,D388=L388,C388=L388,D388=K388),"PARCIALMENTE","ERROU")),"")</f>
        <v/>
      </c>
      <c r="N388" s="22">
        <f>IFERROR(INDEX([1]respota_rag_adaptativo!$A$2:$A$853, MATCH(_xlfn.CONCAT("*#",[1]analise_resposta!A388,"*"), [1]respota_rag_adaptativo!$C$2:$C$85, 0)), "")</f>
        <v/>
      </c>
      <c r="O388" s="22" t="n"/>
      <c r="P388" s="22">
        <f>IF(N388&lt;&gt;"", IF(AND(C388=N388, D388=O388), "ACERTOU", IF(OR(C388=N388, D388=O388, C388=O388, D388=N388), "PARCIALMENTE", IF(OR(N388="Não há recomendação", O388="Não há recomendação", N388="SEM RECOMENDAÇÃO", O388="SEM RECOMENDAÇÃO"), "NÃO RECOMENDOU", "ERROU"))), "")</f>
        <v/>
      </c>
      <c r="Q388" s="23">
        <f>IFERROR(INDEX([1]resposta_plan_exec!$A$2:$A$121, MATCH(_xlfn.CONCAT("*",[1]analise_resposta!A388,"*"), [1]resposta_plan_exec!$C$2:$C$121, 0)), "")</f>
        <v/>
      </c>
      <c r="R388" s="23">
        <f>IF([1]analise_resposta!A388="", "",
    _xlfn.LET(_xlpm.resultado, IFERROR(INDEX([1]resposta_plan_exec!$B$2:$B$121,
                           MATCH(_xlfn.CONCAT("*", [1]analise_resposta!A388, "*"),
                                   [1]resposta_plan_exec!$C$2:$C$121, 0)), ""),
        IF(_xlpm.resultado="", "", _xlpm.resultado)))</f>
        <v/>
      </c>
      <c r="S388" s="23" t="n"/>
    </row>
    <row r="389">
      <c r="A389" t="n">
        <v>3329</v>
      </c>
      <c r="B389" s="3" t="inlineStr">
        <is>
          <t>Urgente: Assistência Necessária para Inatividade do Serviço AWS</t>
        </is>
      </c>
      <c r="C389" s="3" t="inlineStr">
        <is>
          <t>Gerenciamento de Incidentes</t>
        </is>
      </c>
      <c r="D389" s="3" t="inlineStr">
        <is>
          <t>Gerenciamento de Disponibilidade</t>
        </is>
      </c>
      <c r="F389" s="5">
        <f>IFERROR(INDEX([1]resposta_chat_stream!$B$2:$B$34, MATCH(_xlfn.CONCAT("*#",[1]analise_resposta!A389,"*"), [1]resposta_chat_stream!$C$2:$C$34, 0)), "")</f>
        <v/>
      </c>
      <c r="G389" s="6">
        <f>IF(E389&lt;&gt;"", IF(AND(C389=E389, D389=F389), "ACERTOU", IF(OR(C389=E389, D389=F389, C389=F389, D389=E389), "PARCIALMENTE", IF(OR(E389="Não há recomendação", F389="Não há recomendação", E389="SEM RECOMENDAÇÃO", F389="SEM RECOMENDAÇÃO"), "NÃO RECOMENDOU", "ERROU"))), "")</f>
        <v/>
      </c>
      <c r="H389" s="20">
        <f>IFERROR(INDEX([1]reposta_chat!$A$2:$A$121, MATCH(_xlfn.CONCAT("*#",[1]analise_resposta!A389,"*"), [1]reposta_chat!$C$2:$C$121, 0)), "")</f>
        <v/>
      </c>
      <c r="I389" s="20">
        <f>IFERROR(INDEX([1]reposta_chat!$B$2:$B$121, MATCH(_xlfn.CONCAT("*#",[1]analise_resposta!A389,"*"), [1]reposta_chat!$C$2:$C$121, 0)), "")</f>
        <v/>
      </c>
      <c r="J389" s="20">
        <f>IF(H389&lt;&gt;"", IF(AND(C389=H389, D389=I389), "ACERTOU", IF(OR(C389=H389, D389=I389, C389=I389, D389=H389), "PARCIALMENTE", IF(OR(H389="Não há recomendação", I389="Não há recomendação", H389="SEM RECOMENDAÇÃO", I389="SEM RECOMENDAÇÃO"), "NÃO RECOMENDOU", "ERROU"))), "")</f>
        <v/>
      </c>
      <c r="K389" s="21">
        <f>IFERROR(INDEX([1]resposta_rag!$A$2:$A$33, MATCH(_xlfn.CONCAT("*#",[1]analise_resposta!A389,"*"), [1]resposta_rag!$C$2:$C$33, 0)), "")</f>
        <v/>
      </c>
      <c r="L389" s="21" t="n"/>
      <c r="M389" s="21">
        <f>IF(K389&lt;&gt;"",IF(AND(K409,D389=I389),"ACERTOU",IF(OR(C389=K389,D389=L389,C389=L389,D389=K389),"PARCIALMENTE","ERROU")),"")</f>
        <v/>
      </c>
      <c r="N389" s="22">
        <f>IFERROR(INDEX([1]respota_rag_adaptativo!$A$2:$A$853, MATCH(_xlfn.CONCAT("*#",[1]analise_resposta!A389,"*"), [1]respota_rag_adaptativo!$C$2:$C$85, 0)), "")</f>
        <v/>
      </c>
      <c r="O389" s="22" t="n"/>
      <c r="P389" s="22">
        <f>IF(N389&lt;&gt;"", IF(AND(C389=N389, D389=O389), "ACERTOU", IF(OR(C389=N389, D389=O389, C389=O389, D389=N389), "PARCIALMENTE", IF(OR(N389="Não há recomendação", O389="Não há recomendação", N389="SEM RECOMENDAÇÃO", O389="SEM RECOMENDAÇÃO"), "NÃO RECOMENDOU", "ERROU"))), "")</f>
        <v/>
      </c>
      <c r="Q389" s="23">
        <f>IFERROR(INDEX([1]resposta_plan_exec!$A$2:$A$121, MATCH(_xlfn.CONCAT("*",[1]analise_resposta!A389,"*"), [1]resposta_plan_exec!$C$2:$C$121, 0)), "")</f>
        <v/>
      </c>
      <c r="R389" s="23">
        <f>IF([1]analise_resposta!A389="", "",
    _xlfn.LET(_xlpm.resultado, IFERROR(INDEX([1]resposta_plan_exec!$B$2:$B$121,
                           MATCH(_xlfn.CONCAT("*", [1]analise_resposta!A389, "*"),
                                   [1]resposta_plan_exec!$C$2:$C$121, 0)), ""),
        IF(_xlpm.resultado="", "", _xlpm.resultado)))</f>
        <v/>
      </c>
      <c r="S389" s="23" t="n"/>
    </row>
    <row r="390">
      <c r="A390" t="n">
        <v>3341</v>
      </c>
      <c r="B390" s="3" t="inlineStr">
        <is>
          <t>Solicitação de Substituição Imediata da Bateria Com Problema do MacBook Air M1</t>
        </is>
      </c>
      <c r="C390" s="3" t="inlineStr">
        <is>
          <t>Solicitação de Serviço</t>
        </is>
      </c>
      <c r="D390" s="3" t="inlineStr">
        <is>
          <t>Gerenciamento de Ativos de TI</t>
        </is>
      </c>
      <c r="F390" s="5">
        <f>IFERROR(INDEX([1]resposta_chat_stream!$B$2:$B$34, MATCH(_xlfn.CONCAT("*#",[1]analise_resposta!A390,"*"), [1]resposta_chat_stream!$C$2:$C$34, 0)), "")</f>
        <v/>
      </c>
      <c r="G390" s="6">
        <f>IF(E390&lt;&gt;"", IF(AND(C390=E390, D390=F390), "ACERTOU", IF(OR(C390=E390, D390=F390, C390=F390, D390=E390), "PARCIALMENTE", IF(OR(E390="Não há recomendação", F390="Não há recomendação", E390="SEM RECOMENDAÇÃO", F390="SEM RECOMENDAÇÃO"), "NÃO RECOMENDOU", "ERROU"))), "")</f>
        <v/>
      </c>
      <c r="H390" s="20">
        <f>IFERROR(INDEX([1]reposta_chat!$A$2:$A$121, MATCH(_xlfn.CONCAT("*#",[1]analise_resposta!A390,"*"), [1]reposta_chat!$C$2:$C$121, 0)), "")</f>
        <v/>
      </c>
      <c r="I390" s="20">
        <f>IFERROR(INDEX([1]reposta_chat!$B$2:$B$121, MATCH(_xlfn.CONCAT("*#",[1]analise_resposta!A390,"*"), [1]reposta_chat!$C$2:$C$121, 0)), "")</f>
        <v/>
      </c>
      <c r="J390" s="20">
        <f>IF(H390&lt;&gt;"", IF(AND(C390=H390, D390=I390), "ACERTOU", IF(OR(C390=H390, D390=I390, C390=I390, D390=H390), "PARCIALMENTE", IF(OR(H390="Não há recomendação", I390="Não há recomendação", H390="SEM RECOMENDAÇÃO", I390="SEM RECOMENDAÇÃO"), "NÃO RECOMENDOU", "ERROU"))), "")</f>
        <v/>
      </c>
      <c r="K390" s="21">
        <f>IFERROR(INDEX([1]resposta_rag!$A$2:$A$33, MATCH(_xlfn.CONCAT("*#",[1]analise_resposta!A390,"*"), [1]resposta_rag!$C$2:$C$33, 0)), "")</f>
        <v/>
      </c>
      <c r="L390" s="21" t="n"/>
      <c r="M390" s="21">
        <f>IF(K390&lt;&gt;"",IF(AND(K410,D390=I390),"ACERTOU",IF(OR(C390=K390,D390=L390,C390=L390,D390=K390),"PARCIALMENTE","ERROU")),"")</f>
        <v/>
      </c>
      <c r="N390" s="22">
        <f>IFERROR(INDEX([1]respota_rag_adaptativo!$A$2:$A$853, MATCH(_xlfn.CONCAT("*#",[1]analise_resposta!A390,"*"), [1]respota_rag_adaptativo!$C$2:$C$85, 0)), "")</f>
        <v/>
      </c>
      <c r="O390" s="22" t="n"/>
      <c r="P390" s="22">
        <f>IF(N390&lt;&gt;"", IF(AND(C390=N390, D390=O390), "ACERTOU", IF(OR(C390=N390, D390=O390, C390=O390, D390=N390), "PARCIALMENTE", IF(OR(N390="Não há recomendação", O390="Não há recomendação", N390="SEM RECOMENDAÇÃO", O390="SEM RECOMENDAÇÃO"), "NÃO RECOMENDOU", "ERROU"))), "")</f>
        <v/>
      </c>
      <c r="Q390" s="23">
        <f>IFERROR(INDEX([1]resposta_plan_exec!$A$2:$A$121, MATCH(_xlfn.CONCAT("*",[1]analise_resposta!A390,"*"), [1]resposta_plan_exec!$C$2:$C$121, 0)), "")</f>
        <v/>
      </c>
      <c r="R390" s="23">
        <f>IF([1]analise_resposta!A390="", "",
    _xlfn.LET(_xlpm.resultado, IFERROR(INDEX([1]resposta_plan_exec!$B$2:$B$121,
                           MATCH(_xlfn.CONCAT("*", [1]analise_resposta!A390, "*"),
                                   [1]resposta_plan_exec!$C$2:$C$121, 0)), ""),
        IF(_xlpm.resultado="", "", _xlpm.resultado)))</f>
        <v/>
      </c>
      <c r="S390" s="23" t="n"/>
    </row>
    <row r="391">
      <c r="A391" t="n">
        <v>3346</v>
      </c>
      <c r="B391" s="3" t="inlineStr">
        <is>
          <t>Urgente: Problema na Atualização do Norton Antivirus Plus Requer Resolução Imediata</t>
        </is>
      </c>
      <c r="C391" s="3" t="inlineStr">
        <is>
          <t>Gerenciamento de Incidentes</t>
        </is>
      </c>
      <c r="D391" s="3" t="inlineStr">
        <is>
          <t>Gerenciamento de Problemas</t>
        </is>
      </c>
      <c r="F391" s="5">
        <f>IFERROR(INDEX([1]resposta_chat_stream!$B$2:$B$34, MATCH(_xlfn.CONCAT("*#",[1]analise_resposta!A391,"*"), [1]resposta_chat_stream!$C$2:$C$34, 0)), "")</f>
        <v/>
      </c>
      <c r="G391" s="6">
        <f>IF(E391&lt;&gt;"", IF(AND(C391=E391, D391=F391), "ACERTOU", IF(OR(C391=E391, D391=F391, C391=F391, D391=E391), "PARCIALMENTE", IF(OR(E391="Não há recomendação", F391="Não há recomendação", E391="SEM RECOMENDAÇÃO", F391="SEM RECOMENDAÇÃO"), "NÃO RECOMENDOU", "ERROU"))), "")</f>
        <v/>
      </c>
      <c r="H391" s="20">
        <f>IFERROR(INDEX([1]reposta_chat!$A$2:$A$121, MATCH(_xlfn.CONCAT("*#",[1]analise_resposta!A391,"*"), [1]reposta_chat!$C$2:$C$121, 0)), "")</f>
        <v/>
      </c>
      <c r="I391" s="20">
        <f>IFERROR(INDEX([1]reposta_chat!$B$2:$B$121, MATCH(_xlfn.CONCAT("*#",[1]analise_resposta!A391,"*"), [1]reposta_chat!$C$2:$C$121, 0)), "")</f>
        <v/>
      </c>
      <c r="J391" s="20">
        <f>IF(H391&lt;&gt;"", IF(AND(C391=H391, D391=I391), "ACERTOU", IF(OR(C391=H391, D391=I391, C391=I391, D391=H391), "PARCIALMENTE", IF(OR(H391="Não há recomendação", I391="Não há recomendação", H391="SEM RECOMENDAÇÃO", I391="SEM RECOMENDAÇÃO"), "NÃO RECOMENDOU", "ERROU"))), "")</f>
        <v/>
      </c>
      <c r="K391" s="21">
        <f>IFERROR(INDEX([1]resposta_rag!$A$2:$A$33, MATCH(_xlfn.CONCAT("*#",[1]analise_resposta!A391,"*"), [1]resposta_rag!$C$2:$C$33, 0)), "")</f>
        <v/>
      </c>
      <c r="L391" s="21" t="n"/>
      <c r="M391" s="21">
        <f>IF(K391&lt;&gt;"",IF(AND(K411,D391=I391),"ACERTOU",IF(OR(C391=K391,D391=L391,C391=L391,D391=K391),"PARCIALMENTE","ERROU")),"")</f>
        <v/>
      </c>
      <c r="N391" s="22">
        <f>IFERROR(INDEX([1]respota_rag_adaptativo!$A$2:$A$853, MATCH(_xlfn.CONCAT("*#",[1]analise_resposta!A391,"*"), [1]respota_rag_adaptativo!$C$2:$C$85, 0)), "")</f>
        <v/>
      </c>
      <c r="O391" s="22" t="n"/>
      <c r="P391" s="22">
        <f>IF(N391&lt;&gt;"", IF(AND(C391=N391, D391=O391), "ACERTOU", IF(OR(C391=N391, D391=O391, C391=O391, D391=N391), "PARCIALMENTE", IF(OR(N391="Não há recomendação", O391="Não há recomendação", N391="SEM RECOMENDAÇÃO", O391="SEM RECOMENDAÇÃO"), "NÃO RECOMENDOU", "ERROU"))), "")</f>
        <v/>
      </c>
      <c r="Q391" s="23">
        <f>IFERROR(INDEX([1]resposta_plan_exec!$A$2:$A$121, MATCH(_xlfn.CONCAT("*",[1]analise_resposta!A391,"*"), [1]resposta_plan_exec!$C$2:$C$121, 0)), "")</f>
        <v/>
      </c>
      <c r="R391" s="23">
        <f>IF([1]analise_resposta!A391="", "",
    _xlfn.LET(_xlpm.resultado, IFERROR(INDEX([1]resposta_plan_exec!$B$2:$B$121,
                           MATCH(_xlfn.CONCAT("*", [1]analise_resposta!A391, "*"),
                                   [1]resposta_plan_exec!$C$2:$C$121, 0)), ""),
        IF(_xlpm.resultado="", "", _xlpm.resultado)))</f>
        <v/>
      </c>
      <c r="S391" s="23" t="n"/>
    </row>
    <row r="392">
      <c r="A392" t="n">
        <v>3352</v>
      </c>
      <c r="B392" s="3" t="inlineStr">
        <is>
          <t>Suporte AWS Urgente Necessário</t>
        </is>
      </c>
      <c r="C392" s="3" t="inlineStr">
        <is>
          <t>Solicitação de Serviço</t>
        </is>
      </c>
      <c r="D392" s="3" t="inlineStr">
        <is>
          <t>Gerenciamento Financeiro</t>
        </is>
      </c>
      <c r="F392" s="5">
        <f>IFERROR(INDEX([1]resposta_chat_stream!$B$2:$B$34, MATCH(_xlfn.CONCAT("*#",[1]analise_resposta!A392,"*"), [1]resposta_chat_stream!$C$2:$C$34, 0)), "")</f>
        <v/>
      </c>
      <c r="G392" s="6">
        <f>IF(E392&lt;&gt;"", IF(AND(C392=E392, D392=F392), "ACERTOU", IF(OR(C392=E392, D392=F392, C392=F392, D392=E392), "PARCIALMENTE", IF(OR(E392="Não há recomendação", F392="Não há recomendação", E392="SEM RECOMENDAÇÃO", F392="SEM RECOMENDAÇÃO"), "NÃO RECOMENDOU", "ERROU"))), "")</f>
        <v/>
      </c>
      <c r="H392" s="20">
        <f>IFERROR(INDEX([1]reposta_chat!$A$2:$A$121, MATCH(_xlfn.CONCAT("*#",[1]analise_resposta!A392,"*"), [1]reposta_chat!$C$2:$C$121, 0)), "")</f>
        <v/>
      </c>
      <c r="I392" s="20">
        <f>IFERROR(INDEX([1]reposta_chat!$B$2:$B$121, MATCH(_xlfn.CONCAT("*#",[1]analise_resposta!A392,"*"), [1]reposta_chat!$C$2:$C$121, 0)), "")</f>
        <v/>
      </c>
      <c r="J392" s="20">
        <f>IF(H392&lt;&gt;"", IF(AND(C392=H392, D392=I392), "ACERTOU", IF(OR(C392=H392, D392=I392, C392=I392, D392=H392), "PARCIALMENTE", IF(OR(H392="Não há recomendação", I392="Não há recomendação", H392="SEM RECOMENDAÇÃO", I392="SEM RECOMENDAÇÃO"), "NÃO RECOMENDOU", "ERROU"))), "")</f>
        <v/>
      </c>
      <c r="K392" s="21">
        <f>IFERROR(INDEX([1]resposta_rag!$A$2:$A$33, MATCH(_xlfn.CONCAT("*#",[1]analise_resposta!A392,"*"), [1]resposta_rag!$C$2:$C$33, 0)), "")</f>
        <v/>
      </c>
      <c r="L392" s="21" t="n"/>
      <c r="M392" s="21">
        <f>IF(K392&lt;&gt;"",IF(AND(K412,D392=I392),"ACERTOU",IF(OR(C392=K392,D392=L392,C392=L392,D392=K392),"PARCIALMENTE","ERROU")),"")</f>
        <v/>
      </c>
      <c r="N392" s="22">
        <f>IFERROR(INDEX([1]respota_rag_adaptativo!$A$2:$A$853, MATCH(_xlfn.CONCAT("*#",[1]analise_resposta!A392,"*"), [1]respota_rag_adaptativo!$C$2:$C$85, 0)), "")</f>
        <v/>
      </c>
      <c r="O392" s="22" t="n"/>
      <c r="P392" s="22">
        <f>IF(N392&lt;&gt;"", IF(AND(C392=N392, D392=O392), "ACERTOU", IF(OR(C392=N392, D392=O392, C392=O392, D392=N392), "PARCIALMENTE", IF(OR(N392="Não há recomendação", O392="Não há recomendação", N392="SEM RECOMENDAÇÃO", O392="SEM RECOMENDAÇÃO"), "NÃO RECOMENDOU", "ERROU"))), "")</f>
        <v/>
      </c>
      <c r="Q392" s="23">
        <f>IFERROR(INDEX([1]resposta_plan_exec!$A$2:$A$121, MATCH(_xlfn.CONCAT("*",[1]analise_resposta!A392,"*"), [1]resposta_plan_exec!$C$2:$C$121, 0)), "")</f>
        <v/>
      </c>
      <c r="R392" s="23">
        <f>IF([1]analise_resposta!A392="", "",
    _xlfn.LET(_xlpm.resultado, IFERROR(INDEX([1]resposta_plan_exec!$B$2:$B$121,
                           MATCH(_xlfn.CONCAT("*", [1]analise_resposta!A392, "*"),
                                   [1]resposta_plan_exec!$C$2:$C$121, 0)), ""),
        IF(_xlpm.resultado="", "", _xlpm.resultado)))</f>
        <v/>
      </c>
      <c r="S392" s="23" t="n"/>
    </row>
    <row r="393">
      <c r="A393" t="n">
        <v>3355</v>
      </c>
      <c r="B393" s="3" t="inlineStr">
        <is>
          <t>Urgente: Erro 403 no Acesso ao Console de Gerenciamento da AWS</t>
        </is>
      </c>
      <c r="C393" s="3" t="inlineStr">
        <is>
          <t>Gerenciamento de Incidentes</t>
        </is>
      </c>
      <c r="D393" s="3" t="inlineStr">
        <is>
          <t>Gerenciamento de Acesso</t>
        </is>
      </c>
      <c r="F393" s="5">
        <f>IFERROR(INDEX([1]resposta_chat_stream!$B$2:$B$34, MATCH(_xlfn.CONCAT("*#",[1]analise_resposta!A393,"*"), [1]resposta_chat_stream!$C$2:$C$34, 0)), "")</f>
        <v/>
      </c>
      <c r="G393" s="6">
        <f>IF(E393&lt;&gt;"", IF(AND(C393=E393, D393=F393), "ACERTOU", IF(OR(C393=E393, D393=F393, C393=F393, D393=E393), "PARCIALMENTE", IF(OR(E393="Não há recomendação", F393="Não há recomendação", E393="SEM RECOMENDAÇÃO", F393="SEM RECOMENDAÇÃO"), "NÃO RECOMENDOU", "ERROU"))), "")</f>
        <v/>
      </c>
      <c r="H393" s="20">
        <f>IFERROR(INDEX([1]reposta_chat!$A$2:$A$121, MATCH(_xlfn.CONCAT("*#",[1]analise_resposta!A393,"*"), [1]reposta_chat!$C$2:$C$121, 0)), "")</f>
        <v/>
      </c>
      <c r="I393" s="20">
        <f>IFERROR(INDEX([1]reposta_chat!$B$2:$B$121, MATCH(_xlfn.CONCAT("*#",[1]analise_resposta!A393,"*"), [1]reposta_chat!$C$2:$C$121, 0)), "")</f>
        <v/>
      </c>
      <c r="J393" s="20">
        <f>IF(H393&lt;&gt;"", IF(AND(C393=H393, D393=I393), "ACERTOU", IF(OR(C393=H393, D393=I393, C393=I393, D393=H393), "PARCIALMENTE", IF(OR(H393="Não há recomendação", I393="Não há recomendação", H393="SEM RECOMENDAÇÃO", I393="SEM RECOMENDAÇÃO"), "NÃO RECOMENDOU", "ERROU"))), "")</f>
        <v/>
      </c>
      <c r="K393" s="21">
        <f>IFERROR(INDEX([1]resposta_rag!$A$2:$A$33, MATCH(_xlfn.CONCAT("*#",[1]analise_resposta!A393,"*"), [1]resposta_rag!$C$2:$C$33, 0)), "")</f>
        <v/>
      </c>
      <c r="L393" s="21" t="n"/>
      <c r="M393" s="21">
        <f>IF(K393&lt;&gt;"",IF(AND(K413,D393=I393),"ACERTOU",IF(OR(C393=K393,D393=L393,C393=L393,D393=K393),"PARCIALMENTE","ERROU")),"")</f>
        <v/>
      </c>
      <c r="N393" s="22">
        <f>IFERROR(INDEX([1]respota_rag_adaptativo!$A$2:$A$853, MATCH(_xlfn.CONCAT("*#",[1]analise_resposta!A393,"*"), [1]respota_rag_adaptativo!$C$2:$C$85, 0)), "")</f>
        <v/>
      </c>
      <c r="O393" s="22" t="n"/>
      <c r="P393" s="22">
        <f>IF(N393&lt;&gt;"", IF(AND(C393=N393, D393=O393), "ACERTOU", IF(OR(C393=N393, D393=O393, C393=O393, D393=N393), "PARCIALMENTE", IF(OR(N393="Não há recomendação", O393="Não há recomendação", N393="SEM RECOMENDAÇÃO", O393="SEM RECOMENDAÇÃO"), "NÃO RECOMENDOU", "ERROU"))), "")</f>
        <v/>
      </c>
      <c r="Q393" s="23">
        <f>IFERROR(INDEX([1]resposta_plan_exec!$A$2:$A$121, MATCH(_xlfn.CONCAT("*",[1]analise_resposta!A393,"*"), [1]resposta_plan_exec!$C$2:$C$121, 0)), "")</f>
        <v/>
      </c>
      <c r="R393" s="23">
        <f>IF([1]analise_resposta!A393="", "",
    _xlfn.LET(_xlpm.resultado, IFERROR(INDEX([1]resposta_plan_exec!$B$2:$B$121,
                           MATCH(_xlfn.CONCAT("*", [1]analise_resposta!A393, "*"),
                                   [1]resposta_plan_exec!$C$2:$C$121, 0)), ""),
        IF(_xlpm.resultado="", "", _xlpm.resultado)))</f>
        <v/>
      </c>
      <c r="S393" s="23" t="n"/>
    </row>
    <row r="394">
      <c r="A394" t="n">
        <v>3356</v>
      </c>
      <c r="B394" s="3" t="inlineStr">
        <is>
          <t>Solicitação de Assistência: Problema na Configuração sem Fio da Impressora HP</t>
        </is>
      </c>
      <c r="C394" s="3" t="inlineStr">
        <is>
          <t>Solicitação de Serviço</t>
        </is>
      </c>
      <c r="D394" s="3" t="inlineStr">
        <is>
          <t>Gerenciamento de Incidentes</t>
        </is>
      </c>
      <c r="F394" s="5">
        <f>IFERROR(INDEX([1]resposta_chat_stream!$B$2:$B$34, MATCH(_xlfn.CONCAT("*#",[1]analise_resposta!A394,"*"), [1]resposta_chat_stream!$C$2:$C$34, 0)), "")</f>
        <v/>
      </c>
      <c r="G394" s="6">
        <f>IF(E394&lt;&gt;"", IF(AND(C394=E394, D394=F394), "ACERTOU", IF(OR(C394=E394, D394=F394, C394=F394, D394=E394), "PARCIALMENTE", IF(OR(E394="Não há recomendação", F394="Não há recomendação", E394="SEM RECOMENDAÇÃO", F394="SEM RECOMENDAÇÃO"), "NÃO RECOMENDOU", "ERROU"))), "")</f>
        <v/>
      </c>
      <c r="H394" s="20">
        <f>IFERROR(INDEX([1]reposta_chat!$A$2:$A$121, MATCH(_xlfn.CONCAT("*#",[1]analise_resposta!A394,"*"), [1]reposta_chat!$C$2:$C$121, 0)), "")</f>
        <v/>
      </c>
      <c r="I394" s="20">
        <f>IFERROR(INDEX([1]reposta_chat!$B$2:$B$121, MATCH(_xlfn.CONCAT("*#",[1]analise_resposta!A394,"*"), [1]reposta_chat!$C$2:$C$121, 0)), "")</f>
        <v/>
      </c>
      <c r="J394" s="20">
        <f>IF(H394&lt;&gt;"", IF(AND(C394=H394, D394=I394), "ACERTOU", IF(OR(C394=H394, D394=I394, C394=I394, D394=H394), "PARCIALMENTE", IF(OR(H394="Não há recomendação", I394="Não há recomendação", H394="SEM RECOMENDAÇÃO", I394="SEM RECOMENDAÇÃO"), "NÃO RECOMENDOU", "ERROU"))), "")</f>
        <v/>
      </c>
      <c r="K394" s="21">
        <f>IFERROR(INDEX([1]resposta_rag!$A$2:$A$33, MATCH(_xlfn.CONCAT("*#",[1]analise_resposta!A394,"*"), [1]resposta_rag!$C$2:$C$33, 0)), "")</f>
        <v/>
      </c>
      <c r="L394" s="21" t="n"/>
      <c r="M394" s="21">
        <f>IF(K394&lt;&gt;"",IF(AND(K414,D394=I394),"ACERTOU",IF(OR(C394=K394,D394=L394,C394=L394,D394=K394),"PARCIALMENTE","ERROU")),"")</f>
        <v/>
      </c>
      <c r="N394" s="22">
        <f>IFERROR(INDEX([1]respota_rag_adaptativo!$A$2:$A$853, MATCH(_xlfn.CONCAT("*#",[1]analise_resposta!A394,"*"), [1]respota_rag_adaptativo!$C$2:$C$85, 0)), "")</f>
        <v/>
      </c>
      <c r="O394" s="22" t="n"/>
      <c r="P394" s="22">
        <f>IF(N394&lt;&gt;"", IF(AND(C394=N394, D394=O394), "ACERTOU", IF(OR(C394=N394, D394=O394, C394=O394, D394=N394), "PARCIALMENTE", IF(OR(N394="Não há recomendação", O394="Não há recomendação", N394="SEM RECOMENDAÇÃO", O394="SEM RECOMENDAÇÃO"), "NÃO RECOMENDOU", "ERROU"))), "")</f>
        <v/>
      </c>
      <c r="Q394" s="23">
        <f>IFERROR(INDEX([1]resposta_plan_exec!$A$2:$A$121, MATCH(_xlfn.CONCAT("*",[1]analise_resposta!A394,"*"), [1]resposta_plan_exec!$C$2:$C$121, 0)), "")</f>
        <v/>
      </c>
      <c r="R394" s="23">
        <f>IF([1]analise_resposta!A394="", "",
    _xlfn.LET(_xlpm.resultado, IFERROR(INDEX([1]resposta_plan_exec!$B$2:$B$121,
                           MATCH(_xlfn.CONCAT("*", [1]analise_resposta!A394, "*"),
                                   [1]resposta_plan_exec!$C$2:$C$121, 0)), ""),
        IF(_xlpm.resultado="", "", _xlpm.resultado)))</f>
        <v/>
      </c>
      <c r="S394" s="23" t="n"/>
    </row>
    <row r="395">
      <c r="A395" t="n">
        <v>3361</v>
      </c>
      <c r="B395" s="3" t="inlineStr">
        <is>
          <t>Assistência Urgente Necessária para Otimização e Atualizações de TI</t>
        </is>
      </c>
      <c r="C395" s="3" t="inlineStr">
        <is>
          <t>Solicitação de Serviço</t>
        </is>
      </c>
      <c r="D395" s="3" t="inlineStr">
        <is>
          <t>Gerenciamento de Nível de Serviço</t>
        </is>
      </c>
      <c r="F395" s="5">
        <f>IFERROR(INDEX([1]resposta_chat_stream!$B$2:$B$34, MATCH(_xlfn.CONCAT("*#",[1]analise_resposta!A395,"*"), [1]resposta_chat_stream!$C$2:$C$34, 0)), "")</f>
        <v/>
      </c>
      <c r="G395" s="6">
        <f>IF(E395&lt;&gt;"", IF(AND(C395=E395, D395=F395), "ACERTOU", IF(OR(C395=E395, D395=F395, C395=F395, D395=E395), "PARCIALMENTE", IF(OR(E395="Não há recomendação", F395="Não há recomendação", E395="SEM RECOMENDAÇÃO", F395="SEM RECOMENDAÇÃO"), "NÃO RECOMENDOU", "ERROU"))), "")</f>
        <v/>
      </c>
      <c r="H395" s="20">
        <f>IFERROR(INDEX([1]reposta_chat!$A$2:$A$121, MATCH(_xlfn.CONCAT("*#",[1]analise_resposta!A395,"*"), [1]reposta_chat!$C$2:$C$121, 0)), "")</f>
        <v/>
      </c>
      <c r="I395" s="20">
        <f>IFERROR(INDEX([1]reposta_chat!$B$2:$B$121, MATCH(_xlfn.CONCAT("*#",[1]analise_resposta!A395,"*"), [1]reposta_chat!$C$2:$C$121, 0)), "")</f>
        <v/>
      </c>
      <c r="J395" s="20">
        <f>IF(H395&lt;&gt;"", IF(AND(C395=H395, D395=I395), "ACERTOU", IF(OR(C395=H395, D395=I395, C395=I395, D395=H395), "PARCIALMENTE", IF(OR(H395="Não há recomendação", I395="Não há recomendação", H395="SEM RECOMENDAÇÃO", I395="SEM RECOMENDAÇÃO"), "NÃO RECOMENDOU", "ERROU"))), "")</f>
        <v/>
      </c>
      <c r="K395" s="21">
        <f>IFERROR(INDEX([1]resposta_rag!$A$2:$A$33, MATCH(_xlfn.CONCAT("*#",[1]analise_resposta!A395,"*"), [1]resposta_rag!$C$2:$C$33, 0)), "")</f>
        <v/>
      </c>
      <c r="L395" s="21" t="n"/>
      <c r="M395" s="21">
        <f>IF(K395&lt;&gt;"",IF(AND(K415,D395=I395),"ACERTOU",IF(OR(C395=K395,D395=L395,C395=L395,D395=K395),"PARCIALMENTE","ERROU")),"")</f>
        <v/>
      </c>
      <c r="N395" s="22">
        <f>IFERROR(INDEX([1]respota_rag_adaptativo!$A$2:$A$853, MATCH(_xlfn.CONCAT("*#",[1]analise_resposta!A395,"*"), [1]respota_rag_adaptativo!$C$2:$C$85, 0)), "")</f>
        <v/>
      </c>
      <c r="O395" s="22" t="n"/>
      <c r="P395" s="22">
        <f>IF(N395&lt;&gt;"", IF(AND(C395=N395, D395=O395), "ACERTOU", IF(OR(C395=N395, D395=O395, C395=O395, D395=N395), "PARCIALMENTE", IF(OR(N395="Não há recomendação", O395="Não há recomendação", N395="SEM RECOMENDAÇÃO", O395="SEM RECOMENDAÇÃO"), "NÃO RECOMENDOU", "ERROU"))), "")</f>
        <v/>
      </c>
      <c r="Q395" s="23">
        <f>IFERROR(INDEX([1]resposta_plan_exec!$A$2:$A$121, MATCH(_xlfn.CONCAT("*",[1]analise_resposta!A395,"*"), [1]resposta_plan_exec!$C$2:$C$121, 0)), "")</f>
        <v/>
      </c>
      <c r="R395" s="23">
        <f>IF([1]analise_resposta!A395="", "",
    _xlfn.LET(_xlpm.resultado, IFERROR(INDEX([1]resposta_plan_exec!$B$2:$B$121,
                           MATCH(_xlfn.CONCAT("*", [1]analise_resposta!A395, "*"),
                                   [1]resposta_plan_exec!$C$2:$C$121, 0)), ""),
        IF(_xlpm.resultado="", "", _xlpm.resultado)))</f>
        <v/>
      </c>
      <c r="S395" s="23" t="n"/>
    </row>
    <row r="396">
      <c r="A396" t="n">
        <v>3389</v>
      </c>
      <c r="B396" s="3" t="inlineStr">
        <is>
          <t>Resposta imediata necessária: problema com o roteador Cisco ISR4331</t>
        </is>
      </c>
      <c r="C396" s="3" t="inlineStr">
        <is>
          <t>Gerenciamento de Incidentes</t>
        </is>
      </c>
      <c r="D396" s="3" t="inlineStr">
        <is>
          <t>Gerenciamento de Disponibilidade</t>
        </is>
      </c>
      <c r="F396" s="5">
        <f>IFERROR(INDEX([1]resposta_chat_stream!$B$2:$B$34, MATCH(_xlfn.CONCAT("*#",[1]analise_resposta!A396,"*"), [1]resposta_chat_stream!$C$2:$C$34, 0)), "")</f>
        <v/>
      </c>
      <c r="G396" s="6">
        <f>IF(E396&lt;&gt;"", IF(AND(C396=E396, D396=F396), "ACERTOU", IF(OR(C396=E396, D396=F396, C396=F396, D396=E396), "PARCIALMENTE", IF(OR(E396="Não há recomendação", F396="Não há recomendação", E396="SEM RECOMENDAÇÃO", F396="SEM RECOMENDAÇÃO"), "NÃO RECOMENDOU", "ERROU"))), "")</f>
        <v/>
      </c>
      <c r="H396" s="20">
        <f>IFERROR(INDEX([1]reposta_chat!$A$2:$A$121, MATCH(_xlfn.CONCAT("*#",[1]analise_resposta!A396,"*"), [1]reposta_chat!$C$2:$C$121, 0)), "")</f>
        <v/>
      </c>
      <c r="I396" s="20">
        <f>IFERROR(INDEX([1]reposta_chat!$B$2:$B$121, MATCH(_xlfn.CONCAT("*#",[1]analise_resposta!A396,"*"), [1]reposta_chat!$C$2:$C$121, 0)), "")</f>
        <v/>
      </c>
      <c r="J396" s="20">
        <f>IF(H396&lt;&gt;"", IF(AND(C396=H396, D396=I396), "ACERTOU", IF(OR(C396=H396, D396=I396, C396=I396, D396=H396), "PARCIALMENTE", IF(OR(H396="Não há recomendação", I396="Não há recomendação", H396="SEM RECOMENDAÇÃO", I396="SEM RECOMENDAÇÃO"), "NÃO RECOMENDOU", "ERROU"))), "")</f>
        <v/>
      </c>
      <c r="K396" s="21">
        <f>IFERROR(INDEX([1]resposta_rag!$A$2:$A$33, MATCH(_xlfn.CONCAT("*#",[1]analise_resposta!A396,"*"), [1]resposta_rag!$C$2:$C$33, 0)), "")</f>
        <v/>
      </c>
      <c r="L396" s="21" t="n"/>
      <c r="M396" s="21">
        <f>IF(K396&lt;&gt;"",IF(AND(K416,D396=I396),"ACERTOU",IF(OR(C396=K396,D396=L396,C396=L396,D396=K396),"PARCIALMENTE","ERROU")),"")</f>
        <v/>
      </c>
      <c r="N396" s="22">
        <f>IFERROR(INDEX([1]respota_rag_adaptativo!$A$2:$A$853, MATCH(_xlfn.CONCAT("*#",[1]analise_resposta!A396,"*"), [1]respota_rag_adaptativo!$C$2:$C$85, 0)), "")</f>
        <v/>
      </c>
      <c r="O396" s="22" t="n"/>
      <c r="P396" s="22">
        <f>IF(N396&lt;&gt;"", IF(AND(C396=N396, D396=O396), "ACERTOU", IF(OR(C396=N396, D396=O396, C396=O396, D396=N396), "PARCIALMENTE", IF(OR(N396="Não há recomendação", O396="Não há recomendação", N396="SEM RECOMENDAÇÃO", O396="SEM RECOMENDAÇÃO"), "NÃO RECOMENDOU", "ERROU"))), "")</f>
        <v/>
      </c>
      <c r="Q396" s="23">
        <f>IFERROR(INDEX([1]resposta_plan_exec!$A$2:$A$121, MATCH(_xlfn.CONCAT("*",[1]analise_resposta!A396,"*"), [1]resposta_plan_exec!$C$2:$C$121, 0)), "")</f>
        <v/>
      </c>
      <c r="R396" s="23">
        <f>IF([1]analise_resposta!A396="", "",
    _xlfn.LET(_xlpm.resultado, IFERROR(INDEX([1]resposta_plan_exec!$B$2:$B$121,
                           MATCH(_xlfn.CONCAT("*", [1]analise_resposta!A396, "*"),
                                   [1]resposta_plan_exec!$C$2:$C$121, 0)), ""),
        IF(_xlpm.resultado="", "", _xlpm.resultado)))</f>
        <v/>
      </c>
      <c r="S396" s="23" t="n"/>
    </row>
    <row r="397">
      <c r="A397" t="n">
        <v>3398</v>
      </c>
      <c r="B397" s="3" t="inlineStr">
        <is>
          <t>Solicitação de Suporte para o Roteador Cisco ISR4331</t>
        </is>
      </c>
      <c r="C397" s="3" t="inlineStr">
        <is>
          <t>Solicitação de Serviço</t>
        </is>
      </c>
      <c r="D397" s="3" t="inlineStr">
        <is>
          <t>Gerenciamento de Problemas</t>
        </is>
      </c>
      <c r="F397" s="5">
        <f>IFERROR(INDEX([1]resposta_chat_stream!$B$2:$B$34, MATCH(_xlfn.CONCAT("*#",[1]analise_resposta!A397,"*"), [1]resposta_chat_stream!$C$2:$C$34, 0)), "")</f>
        <v/>
      </c>
      <c r="G397" s="6">
        <f>IF(E397&lt;&gt;"", IF(AND(C397=E397, D397=F397), "ACERTOU", IF(OR(C397=E397, D397=F397, C397=F397, D397=E397), "PARCIALMENTE", IF(OR(E397="Não há recomendação", F397="Não há recomendação", E397="SEM RECOMENDAÇÃO", F397="SEM RECOMENDAÇÃO"), "NÃO RECOMENDOU", "ERROU"))), "")</f>
        <v/>
      </c>
      <c r="H397" s="20">
        <f>IFERROR(INDEX([1]reposta_chat!$A$2:$A$121, MATCH(_xlfn.CONCAT("*#",[1]analise_resposta!A397,"*"), [1]reposta_chat!$C$2:$C$121, 0)), "")</f>
        <v/>
      </c>
      <c r="I397" s="20">
        <f>IFERROR(INDEX([1]reposta_chat!$B$2:$B$121, MATCH(_xlfn.CONCAT("*#",[1]analise_resposta!A397,"*"), [1]reposta_chat!$C$2:$C$121, 0)), "")</f>
        <v/>
      </c>
      <c r="J397" s="20">
        <f>IF(H397&lt;&gt;"", IF(AND(C397=H397, D397=I397), "ACERTOU", IF(OR(C397=H397, D397=I397, C397=I397, D397=H397), "PARCIALMENTE", IF(OR(H397="Não há recomendação", I397="Não há recomendação", H397="SEM RECOMENDAÇÃO", I397="SEM RECOMENDAÇÃO"), "NÃO RECOMENDOU", "ERROU"))), "")</f>
        <v/>
      </c>
      <c r="K397" s="21">
        <f>IFERROR(INDEX([1]resposta_rag!$A$2:$A$33, MATCH(_xlfn.CONCAT("*#",[1]analise_resposta!A397,"*"), [1]resposta_rag!$C$2:$C$33, 0)), "")</f>
        <v/>
      </c>
      <c r="L397" s="21" t="n"/>
      <c r="M397" s="21">
        <f>IF(K397&lt;&gt;"",IF(AND(K417,D397=I397),"ACERTOU",IF(OR(C397=K397,D397=L397,C397=L397,D397=K397),"PARCIALMENTE","ERROU")),"")</f>
        <v/>
      </c>
      <c r="N397" s="22">
        <f>IFERROR(INDEX([1]respota_rag_adaptativo!$A$2:$A$853, MATCH(_xlfn.CONCAT("*#",[1]analise_resposta!A397,"*"), [1]respota_rag_adaptativo!$C$2:$C$85, 0)), "")</f>
        <v/>
      </c>
      <c r="O397" s="22" t="n"/>
      <c r="P397" s="22">
        <f>IF(N397&lt;&gt;"", IF(AND(C397=N397, D397=O397), "ACERTOU", IF(OR(C397=N397, D397=O397, C397=O397, D397=N397), "PARCIALMENTE", IF(OR(N397="Não há recomendação", O397="Não há recomendação", N397="SEM RECOMENDAÇÃO", O397="SEM RECOMENDAÇÃO"), "NÃO RECOMENDOU", "ERROU"))), "")</f>
        <v/>
      </c>
      <c r="Q397" s="23">
        <f>IFERROR(INDEX([1]resposta_plan_exec!$A$2:$A$121, MATCH(_xlfn.CONCAT("*",[1]analise_resposta!A397,"*"), [1]resposta_plan_exec!$C$2:$C$121, 0)), "")</f>
        <v/>
      </c>
      <c r="R397" s="23">
        <f>IF([1]analise_resposta!A397="", "",
    _xlfn.LET(_xlpm.resultado, IFERROR(INDEX([1]resposta_plan_exec!$B$2:$B$121,
                           MATCH(_xlfn.CONCAT("*", [1]analise_resposta!A397, "*"),
                                   [1]resposta_plan_exec!$C$2:$C$121, 0)), ""),
        IF(_xlpm.resultado="", "", _xlpm.resultado)))</f>
        <v/>
      </c>
      <c r="S397" s="23" t="n"/>
    </row>
    <row r="398">
      <c r="A398" t="n">
        <v>3404</v>
      </c>
      <c r="B398" s="3" t="inlineStr">
        <is>
          <t>Problema com Anexo do Ticket</t>
        </is>
      </c>
      <c r="C398" s="3" t="inlineStr">
        <is>
          <t>Gerenciamento de Incidentes</t>
        </is>
      </c>
      <c r="D398" s="3" t="inlineStr">
        <is>
          <t>Gerenciamento de Problemas</t>
        </is>
      </c>
      <c r="F398" s="5">
        <f>IFERROR(INDEX([1]resposta_chat_stream!$B$2:$B$34, MATCH(_xlfn.CONCAT("*#",[1]analise_resposta!A398,"*"), [1]resposta_chat_stream!$C$2:$C$34, 0)), "")</f>
        <v/>
      </c>
      <c r="G398" s="6">
        <f>IF(E398&lt;&gt;"", IF(AND(C398=E398, D398=F398), "ACERTOU", IF(OR(C398=E398, D398=F398, C398=F398, D398=E398), "PARCIALMENTE", IF(OR(E398="Não há recomendação", F398="Não há recomendação", E398="SEM RECOMENDAÇÃO", F398="SEM RECOMENDAÇÃO"), "NÃO RECOMENDOU", "ERROU"))), "")</f>
        <v/>
      </c>
      <c r="H398" s="20">
        <f>IFERROR(INDEX([1]reposta_chat!$A$2:$A$121, MATCH(_xlfn.CONCAT("*#",[1]analise_resposta!A398,"*"), [1]reposta_chat!$C$2:$C$121, 0)), "")</f>
        <v/>
      </c>
      <c r="I398" s="20">
        <f>IFERROR(INDEX([1]reposta_chat!$B$2:$B$121, MATCH(_xlfn.CONCAT("*#",[1]analise_resposta!A398,"*"), [1]reposta_chat!$C$2:$C$121, 0)), "")</f>
        <v/>
      </c>
      <c r="J398" s="20">
        <f>IF(H398&lt;&gt;"", IF(AND(C398=H398, D398=I398), "ACERTOU", IF(OR(C398=H398, D398=I398, C398=I398, D398=H398), "PARCIALMENTE", IF(OR(H398="Não há recomendação", I398="Não há recomendação", H398="SEM RECOMENDAÇÃO", I398="SEM RECOMENDAÇÃO"), "NÃO RECOMENDOU", "ERROU"))), "")</f>
        <v/>
      </c>
      <c r="K398" s="21">
        <f>IFERROR(INDEX([1]resposta_rag!$A$2:$A$33, MATCH(_xlfn.CONCAT("*#",[1]analise_resposta!A398,"*"), [1]resposta_rag!$C$2:$C$33, 0)), "")</f>
        <v/>
      </c>
      <c r="L398" s="21" t="n"/>
      <c r="M398" s="21">
        <f>IF(K398&lt;&gt;"",IF(AND(K418,D398=I398),"ACERTOU",IF(OR(C398=K398,D398=L398,C398=L398,D398=K398),"PARCIALMENTE","ERROU")),"")</f>
        <v/>
      </c>
      <c r="N398" s="22">
        <f>IFERROR(INDEX([1]respota_rag_adaptativo!$A$2:$A$853, MATCH(_xlfn.CONCAT("*#",[1]analise_resposta!A398,"*"), [1]respota_rag_adaptativo!$C$2:$C$85, 0)), "")</f>
        <v/>
      </c>
      <c r="O398" s="22" t="n"/>
      <c r="P398" s="22">
        <f>IF(N398&lt;&gt;"", IF(AND(C398=N398, D398=O398), "ACERTOU", IF(OR(C398=N398, D398=O398, C398=O398, D398=N398), "PARCIALMENTE", IF(OR(N398="Não há recomendação", O398="Não há recomendação", N398="SEM RECOMENDAÇÃO", O398="SEM RECOMENDAÇÃO"), "NÃO RECOMENDOU", "ERROU"))), "")</f>
        <v/>
      </c>
      <c r="Q398" s="23">
        <f>IFERROR(INDEX([1]resposta_plan_exec!$A$2:$A$121, MATCH(_xlfn.CONCAT("*",[1]analise_resposta!A398,"*"), [1]resposta_plan_exec!$C$2:$C$121, 0)), "")</f>
        <v/>
      </c>
      <c r="R398" s="23">
        <f>IF([1]analise_resposta!A398="", "",
    _xlfn.LET(_xlpm.resultado, IFERROR(INDEX([1]resposta_plan_exec!$B$2:$B$121,
                           MATCH(_xlfn.CONCAT("*", [1]analise_resposta!A398, "*"),
                                   [1]resposta_plan_exec!$C$2:$C$121, 0)), ""),
        IF(_xlpm.resultado="", "", _xlpm.resultado)))</f>
        <v/>
      </c>
      <c r="S398" s="23" t="n"/>
    </row>
    <row r="399">
      <c r="A399" t="n">
        <v>3405</v>
      </c>
      <c r="B399" s="3" t="inlineStr">
        <is>
          <t>Consulta sobre Discrepância de Cobrança</t>
        </is>
      </c>
      <c r="C399" s="3" t="inlineStr">
        <is>
          <t>Gerenciamento Financeiro</t>
        </is>
      </c>
      <c r="D399" s="3" t="inlineStr">
        <is>
          <t>Gerenciamento de Incidentes</t>
        </is>
      </c>
      <c r="F399" s="5">
        <f>IFERROR(INDEX([1]resposta_chat_stream!$B$2:$B$34, MATCH(_xlfn.CONCAT("*#",[1]analise_resposta!A399,"*"), [1]resposta_chat_stream!$C$2:$C$34, 0)), "")</f>
        <v/>
      </c>
      <c r="G399" s="6">
        <f>IF(E399&lt;&gt;"", IF(AND(C399=E399, D399=F399), "ACERTOU", IF(OR(C399=E399, D399=F399, C399=F399, D399=E399), "PARCIALMENTE", IF(OR(E399="Não há recomendação", F399="Não há recomendação", E399="SEM RECOMENDAÇÃO", F399="SEM RECOMENDAÇÃO"), "NÃO RECOMENDOU", "ERROU"))), "")</f>
        <v/>
      </c>
      <c r="H399" s="20">
        <f>IFERROR(INDEX([1]reposta_chat!$A$2:$A$121, MATCH(_xlfn.CONCAT("*#",[1]analise_resposta!A399,"*"), [1]reposta_chat!$C$2:$C$121, 0)), "")</f>
        <v/>
      </c>
      <c r="I399" s="20">
        <f>IFERROR(INDEX([1]reposta_chat!$B$2:$B$121, MATCH(_xlfn.CONCAT("*#",[1]analise_resposta!A399,"*"), [1]reposta_chat!$C$2:$C$121, 0)), "")</f>
        <v/>
      </c>
      <c r="J399" s="20">
        <f>IF(H399&lt;&gt;"", IF(AND(C399=H399, D399=I399), "ACERTOU", IF(OR(C399=H399, D399=I399, C399=I399, D399=H399), "PARCIALMENTE", IF(OR(H399="Não há recomendação", I399="Não há recomendação", H399="SEM RECOMENDAÇÃO", I399="SEM RECOMENDAÇÃO"), "NÃO RECOMENDOU", "ERROU"))), "")</f>
        <v/>
      </c>
      <c r="K399" s="21">
        <f>IFERROR(INDEX([1]resposta_rag!$A$2:$A$33, MATCH(_xlfn.CONCAT("*#",[1]analise_resposta!A399,"*"), [1]resposta_rag!$C$2:$C$33, 0)), "")</f>
        <v/>
      </c>
      <c r="L399" s="21" t="n"/>
      <c r="M399" s="21">
        <f>IF(K399&lt;&gt;"",IF(AND(K419,D399=I399),"ACERTOU",IF(OR(C399=K399,D399=L399,C399=L399,D399=K399),"PARCIALMENTE","ERROU")),"")</f>
        <v/>
      </c>
      <c r="N399" s="22">
        <f>IFERROR(INDEX([1]respota_rag_adaptativo!$A$2:$A$853, MATCH(_xlfn.CONCAT("*#",[1]analise_resposta!A399,"*"), [1]respota_rag_adaptativo!$C$2:$C$85, 0)), "")</f>
        <v/>
      </c>
      <c r="O399" s="22" t="n"/>
      <c r="P399" s="22">
        <f>IF(N399&lt;&gt;"", IF(AND(C399=N399, D399=O399), "ACERTOU", IF(OR(C399=N399, D399=O399, C399=O399, D399=N399), "PARCIALMENTE", IF(OR(N399="Não há recomendação", O399="Não há recomendação", N399="SEM RECOMENDAÇÃO", O399="SEM RECOMENDAÇÃO"), "NÃO RECOMENDOU", "ERROU"))), "")</f>
        <v/>
      </c>
      <c r="Q399" s="23">
        <f>IFERROR(INDEX([1]resposta_plan_exec!$A$2:$A$121, MATCH(_xlfn.CONCAT("*",[1]analise_resposta!A399,"*"), [1]resposta_plan_exec!$C$2:$C$121, 0)), "")</f>
        <v/>
      </c>
      <c r="R399" s="23">
        <f>IF([1]analise_resposta!A399="", "",
    _xlfn.LET(_xlpm.resultado, IFERROR(INDEX([1]resposta_plan_exec!$B$2:$B$121,
                           MATCH(_xlfn.CONCAT("*", [1]analise_resposta!A399, "*"),
                                   [1]resposta_plan_exec!$C$2:$C$121, 0)), ""),
        IF(_xlpm.resultado="", "", _xlpm.resultado)))</f>
        <v/>
      </c>
      <c r="S399" s="23" t="n"/>
    </row>
    <row r="400">
      <c r="A400" t="n">
        <v>3407</v>
      </c>
      <c r="B400" s="3" t="inlineStr">
        <is>
          <t>Urgente: Retificação Necessária para Cobranças de Faturamento Incorretas</t>
        </is>
      </c>
      <c r="C400" s="3" t="inlineStr">
        <is>
          <t>Gerenciamento Financeiro</t>
        </is>
      </c>
      <c r="D400" s="3" t="inlineStr">
        <is>
          <t>Gerenciamento de Incidentes</t>
        </is>
      </c>
      <c r="F400" s="5">
        <f>IFERROR(INDEX([1]resposta_chat_stream!$B$2:$B$34, MATCH(_xlfn.CONCAT("*#",[1]analise_resposta!A400,"*"), [1]resposta_chat_stream!$C$2:$C$34, 0)), "")</f>
        <v/>
      </c>
      <c r="G400" s="6">
        <f>IF(E400&lt;&gt;"", IF(AND(C400=E400, D400=F400), "ACERTOU", IF(OR(C400=E400, D400=F400, C400=F400, D400=E400), "PARCIALMENTE", IF(OR(E400="Não há recomendação", F400="Não há recomendação", E400="SEM RECOMENDAÇÃO", F400="SEM RECOMENDAÇÃO"), "NÃO RECOMENDOU", "ERROU"))), "")</f>
        <v/>
      </c>
      <c r="H400" s="20">
        <f>IFERROR(INDEX([1]reposta_chat!$A$2:$A$121, MATCH(_xlfn.CONCAT("*#",[1]analise_resposta!A400,"*"), [1]reposta_chat!$C$2:$C$121, 0)), "")</f>
        <v/>
      </c>
      <c r="I400" s="20">
        <f>IFERROR(INDEX([1]reposta_chat!$B$2:$B$121, MATCH(_xlfn.CONCAT("*#",[1]analise_resposta!A400,"*"), [1]reposta_chat!$C$2:$C$121, 0)), "")</f>
        <v/>
      </c>
      <c r="J400" s="20">
        <f>IF(H400&lt;&gt;"", IF(AND(C400=H400, D400=I400), "ACERTOU", IF(OR(C400=H400, D400=I400, C400=I400, D400=H400), "PARCIALMENTE", IF(OR(H400="Não há recomendação", I400="Não há recomendação", H400="SEM RECOMENDAÇÃO", I400="SEM RECOMENDAÇÃO"), "NÃO RECOMENDOU", "ERROU"))), "")</f>
        <v/>
      </c>
      <c r="K400" s="21">
        <f>IFERROR(INDEX([1]resposta_rag!$A$2:$A$33, MATCH(_xlfn.CONCAT("*#",[1]analise_resposta!A400,"*"), [1]resposta_rag!$C$2:$C$33, 0)), "")</f>
        <v/>
      </c>
      <c r="L400" s="21" t="n"/>
      <c r="M400" s="21">
        <f>IF(K400&lt;&gt;"",IF(AND(K420,D400=I400),"ACERTOU",IF(OR(C400=K400,D400=L400,C400=L400,D400=K400),"PARCIALMENTE","ERROU")),"")</f>
        <v/>
      </c>
      <c r="N400" s="22">
        <f>IFERROR(INDEX([1]respota_rag_adaptativo!$A$2:$A$853, MATCH(_xlfn.CONCAT("*#",[1]analise_resposta!A400,"*"), [1]respota_rag_adaptativo!$C$2:$C$85, 0)), "")</f>
        <v/>
      </c>
      <c r="O400" s="22" t="n"/>
      <c r="P400" s="22">
        <f>IF(N400&lt;&gt;"", IF(AND(C400=N400, D400=O400), "ACERTOU", IF(OR(C400=N400, D400=O400, C400=O400, D400=N400), "PARCIALMENTE", IF(OR(N400="Não há recomendação", O400="Não há recomendação", N400="SEM RECOMENDAÇÃO", O400="SEM RECOMENDAÇÃO"), "NÃO RECOMENDOU", "ERROU"))), "")</f>
        <v/>
      </c>
      <c r="Q400" s="23">
        <f>IFERROR(INDEX([1]resposta_plan_exec!$A$2:$A$121, MATCH(_xlfn.CONCAT("*",[1]analise_resposta!A400,"*"), [1]resposta_plan_exec!$C$2:$C$121, 0)), "")</f>
        <v/>
      </c>
      <c r="R400" s="23">
        <f>IF([1]analise_resposta!A400="", "",
    _xlfn.LET(_xlpm.resultado, IFERROR(INDEX([1]resposta_plan_exec!$B$2:$B$121,
                           MATCH(_xlfn.CONCAT("*", [1]analise_resposta!A400, "*"),
                                   [1]resposta_plan_exec!$C$2:$C$121, 0)), ""),
        IF(_xlpm.resultado="", "", _xlpm.resultado)))</f>
        <v/>
      </c>
      <c r="S400" s="23" t="n"/>
    </row>
    <row r="401">
      <c r="A401" t="n">
        <v>3412</v>
      </c>
      <c r="B401" s="3" t="inlineStr">
        <is>
          <t>Investigação sobre Discrepância na Cobrança da AWS</t>
        </is>
      </c>
      <c r="C401" s="3" t="inlineStr">
        <is>
          <t>Gerenciamento Financeiro</t>
        </is>
      </c>
      <c r="D401" s="3" t="inlineStr">
        <is>
          <t>Gerenciamento de Incidentes</t>
        </is>
      </c>
      <c r="F401" s="5">
        <f>IFERROR(INDEX([1]resposta_chat_stream!$B$2:$B$34, MATCH(_xlfn.CONCAT("*#",[1]analise_resposta!A401,"*"), [1]resposta_chat_stream!$C$2:$C$34, 0)), "")</f>
        <v/>
      </c>
      <c r="G401" s="6">
        <f>IF(E401&lt;&gt;"", IF(AND(C401=E401, D401=F401), "ACERTOU", IF(OR(C401=E401, D401=F401, C401=F401, D401=E401), "PARCIALMENTE", IF(OR(E401="Não há recomendação", F401="Não há recomendação", E401="SEM RECOMENDAÇÃO", F401="SEM RECOMENDAÇÃO"), "NÃO RECOMENDOU", "ERROU"))), "")</f>
        <v/>
      </c>
      <c r="H401" s="20">
        <f>IFERROR(INDEX([1]reposta_chat!$A$2:$A$121, MATCH(_xlfn.CONCAT("*#",[1]analise_resposta!A401,"*"), [1]reposta_chat!$C$2:$C$121, 0)), "")</f>
        <v/>
      </c>
      <c r="I401" s="20">
        <f>IFERROR(INDEX([1]reposta_chat!$B$2:$B$121, MATCH(_xlfn.CONCAT("*#",[1]analise_resposta!A401,"*"), [1]reposta_chat!$C$2:$C$121, 0)), "")</f>
        <v/>
      </c>
      <c r="J401" s="20">
        <f>IF(H401&lt;&gt;"", IF(AND(C401=H401, D401=I401), "ACERTOU", IF(OR(C401=H401, D401=I401, C401=I401, D401=H401), "PARCIALMENTE", IF(OR(H401="Não há recomendação", I401="Não há recomendação", H401="SEM RECOMENDAÇÃO", I401="SEM RECOMENDAÇÃO"), "NÃO RECOMENDOU", "ERROU"))), "")</f>
        <v/>
      </c>
      <c r="K401" s="21">
        <f>IFERROR(INDEX([1]resposta_rag!$A$2:$A$33, MATCH(_xlfn.CONCAT("*#",[1]analise_resposta!A401,"*"), [1]resposta_rag!$C$2:$C$33, 0)), "")</f>
        <v/>
      </c>
      <c r="L401" s="21" t="n"/>
      <c r="M401" s="21">
        <f>IF(K401&lt;&gt;"",IF(AND(K421,D401=I401),"ACERTOU",IF(OR(C401=K401,D401=L401,C401=L401,D401=K401),"PARCIALMENTE","ERROU")),"")</f>
        <v/>
      </c>
      <c r="N401" s="22">
        <f>IFERROR(INDEX([1]respota_rag_adaptativo!$A$2:$A$853, MATCH(_xlfn.CONCAT("*#",[1]analise_resposta!A401,"*"), [1]respota_rag_adaptativo!$C$2:$C$85, 0)), "")</f>
        <v/>
      </c>
      <c r="O401" s="22" t="n"/>
      <c r="P401" s="22">
        <f>IF(N401&lt;&gt;"", IF(AND(C401=N401, D401=O401), "ACERTOU", IF(OR(C401=N401, D401=O401, C401=O401, D401=N401), "PARCIALMENTE", IF(OR(N401="Não há recomendação", O401="Não há recomendação", N401="SEM RECOMENDAÇÃO", O401="SEM RECOMENDAÇÃO"), "NÃO RECOMENDOU", "ERROU"))), "")</f>
        <v/>
      </c>
      <c r="Q401" s="23">
        <f>IFERROR(INDEX([1]resposta_plan_exec!$A$2:$A$121, MATCH(_xlfn.CONCAT("*",[1]analise_resposta!A401,"*"), [1]resposta_plan_exec!$C$2:$C$121, 0)), "")</f>
        <v/>
      </c>
      <c r="R401" s="23">
        <f>IF([1]analise_resposta!A401="", "",
    _xlfn.LET(_xlpm.resultado, IFERROR(INDEX([1]resposta_plan_exec!$B$2:$B$121,
                           MATCH(_xlfn.CONCAT("*", [1]analise_resposta!A401, "*"),
                                   [1]resposta_plan_exec!$C$2:$C$121, 0)), ""),
        IF(_xlpm.resultado="", "", _xlpm.resultado)))</f>
        <v/>
      </c>
      <c r="S401" s="23" t="n"/>
    </row>
    <row r="402">
      <c r="A402" t="n">
        <v>3426</v>
      </c>
      <c r="B402" s="3" t="inlineStr">
        <is>
          <t>Consulta sobre os Recursos do MacBook Air M1</t>
        </is>
      </c>
      <c r="C402" s="3" t="inlineStr">
        <is>
          <t>Solicitação de Serviço</t>
        </is>
      </c>
      <c r="D402" s="3" t="inlineStr">
        <is>
          <t>Gerenciamento de Ativos de TI</t>
        </is>
      </c>
      <c r="F402" s="5">
        <f>IFERROR(INDEX([1]resposta_chat_stream!$B$2:$B$34, MATCH(_xlfn.CONCAT("*#",[1]analise_resposta!A402,"*"), [1]resposta_chat_stream!$C$2:$C$34, 0)), "")</f>
        <v/>
      </c>
      <c r="G402" s="6">
        <f>IF(E402&lt;&gt;"", IF(AND(C402=E402, D402=F402), "ACERTOU", IF(OR(C402=E402, D402=F402, C402=F402, D402=E402), "PARCIALMENTE", IF(OR(E402="Não há recomendação", F402="Não há recomendação", E402="SEM RECOMENDAÇÃO", F402="SEM RECOMENDAÇÃO"), "NÃO RECOMENDOU", "ERROU"))), "")</f>
        <v/>
      </c>
      <c r="H402" s="20">
        <f>IFERROR(INDEX([1]reposta_chat!$A$2:$A$121, MATCH(_xlfn.CONCAT("*#",[1]analise_resposta!A402,"*"), [1]reposta_chat!$C$2:$C$121, 0)), "")</f>
        <v/>
      </c>
      <c r="I402" s="20">
        <f>IFERROR(INDEX([1]reposta_chat!$B$2:$B$121, MATCH(_xlfn.CONCAT("*#",[1]analise_resposta!A402,"*"), [1]reposta_chat!$C$2:$C$121, 0)), "")</f>
        <v/>
      </c>
      <c r="J402" s="20">
        <f>IF(H402&lt;&gt;"", IF(AND(C402=H402, D402=I402), "ACERTOU", IF(OR(C402=H402, D402=I402, C402=I402, D402=H402), "PARCIALMENTE", IF(OR(H402="Não há recomendação", I402="Não há recomendação", H402="SEM RECOMENDAÇÃO", I402="SEM RECOMENDAÇÃO"), "NÃO RECOMENDOU", "ERROU"))), "")</f>
        <v/>
      </c>
      <c r="K402" s="21">
        <f>IFERROR(INDEX([1]resposta_rag!$A$2:$A$33, MATCH(_xlfn.CONCAT("*#",[1]analise_resposta!A402,"*"), [1]resposta_rag!$C$2:$C$33, 0)), "")</f>
        <v/>
      </c>
      <c r="L402" s="21" t="n"/>
      <c r="M402" s="21">
        <f>IF(K402&lt;&gt;"",IF(AND(K422,D402=I402),"ACERTOU",IF(OR(C402=K402,D402=L402,C402=L402,D402=K402),"PARCIALMENTE","ERROU")),"")</f>
        <v/>
      </c>
      <c r="N402" s="22">
        <f>IFERROR(INDEX([1]respota_rag_adaptativo!$A$2:$A$853, MATCH(_xlfn.CONCAT("*#",[1]analise_resposta!A402,"*"), [1]respota_rag_adaptativo!$C$2:$C$85, 0)), "")</f>
        <v/>
      </c>
      <c r="O402" s="22" t="n"/>
      <c r="P402" s="22">
        <f>IF(N402&lt;&gt;"", IF(AND(C402=N402, D402=O402), "ACERTOU", IF(OR(C402=N402, D402=O402, C402=O402, D402=N402), "PARCIALMENTE", IF(OR(N402="Não há recomendação", O402="Não há recomendação", N402="SEM RECOMENDAÇÃO", O402="SEM RECOMENDAÇÃO"), "NÃO RECOMENDOU", "ERROU"))), "")</f>
        <v/>
      </c>
      <c r="Q402" s="23">
        <f>IFERROR(INDEX([1]resposta_plan_exec!$A$2:$A$121, MATCH(_xlfn.CONCAT("*",[1]analise_resposta!A402,"*"), [1]resposta_plan_exec!$C$2:$C$121, 0)), "")</f>
        <v/>
      </c>
      <c r="R402" s="23">
        <f>IF([1]analise_resposta!A402="", "",
    _xlfn.LET(_xlpm.resultado, IFERROR(INDEX([1]resposta_plan_exec!$B$2:$B$121,
                           MATCH(_xlfn.CONCAT("*", [1]analise_resposta!A402, "*"),
                                   [1]resposta_plan_exec!$C$2:$C$121, 0)), ""),
        IF(_xlpm.resultado="", "", _xlpm.resultado)))</f>
        <v/>
      </c>
      <c r="S402" s="23" t="n"/>
    </row>
    <row r="403">
      <c r="A403" t="n">
        <v>3430</v>
      </c>
      <c r="B403" s="3" t="inlineStr">
        <is>
          <t>Ajuda Imediata Requerida</t>
        </is>
      </c>
      <c r="C403" s="3" t="inlineStr">
        <is>
          <t>Solicitação de Serviço</t>
        </is>
      </c>
      <c r="D403" s="3" t="inlineStr">
        <is>
          <t>Gerenciamento de Nível de Serviço</t>
        </is>
      </c>
      <c r="F403" s="5">
        <f>IFERROR(INDEX([1]resposta_chat_stream!$B$2:$B$34, MATCH(_xlfn.CONCAT("*#",[1]analise_resposta!A403,"*"), [1]resposta_chat_stream!$C$2:$C$34, 0)), "")</f>
        <v/>
      </c>
      <c r="G403" s="6">
        <f>IF(E403&lt;&gt;"", IF(AND(C403=E403, D403=F403), "ACERTOU", IF(OR(C403=E403, D403=F403, C403=F403, D403=E403), "PARCIALMENTE", IF(OR(E403="Não há recomendação", F403="Não há recomendação", E403="SEM RECOMENDAÇÃO", F403="SEM RECOMENDAÇÃO"), "NÃO RECOMENDOU", "ERROU"))), "")</f>
        <v/>
      </c>
      <c r="H403" s="20">
        <f>IFERROR(INDEX([1]reposta_chat!$A$2:$A$121, MATCH(_xlfn.CONCAT("*#",[1]analise_resposta!A403,"*"), [1]reposta_chat!$C$2:$C$121, 0)), "")</f>
        <v/>
      </c>
      <c r="I403" s="20">
        <f>IFERROR(INDEX([1]reposta_chat!$B$2:$B$121, MATCH(_xlfn.CONCAT("*#",[1]analise_resposta!A403,"*"), [1]reposta_chat!$C$2:$C$121, 0)), "")</f>
        <v/>
      </c>
      <c r="J403" s="20">
        <f>IF(H403&lt;&gt;"", IF(AND(C403=H403, D403=I403), "ACERTOU", IF(OR(C403=H403, D403=I403, C403=I403, D403=H403), "PARCIALMENTE", IF(OR(H403="Não há recomendação", I403="Não há recomendação", H403="SEM RECOMENDAÇÃO", I403="SEM RECOMENDAÇÃO"), "NÃO RECOMENDOU", "ERROU"))), "")</f>
        <v/>
      </c>
      <c r="K403" s="21">
        <f>IFERROR(INDEX([1]resposta_rag!$A$2:$A$33, MATCH(_xlfn.CONCAT("*#",[1]analise_resposta!A403,"*"), [1]resposta_rag!$C$2:$C$33, 0)), "")</f>
        <v/>
      </c>
      <c r="L403" s="21" t="n"/>
      <c r="M403" s="21">
        <f>IF(K403&lt;&gt;"",IF(AND(K423,D403=I403),"ACERTOU",IF(OR(C403=K403,D403=L403,C403=L403,D403=K403),"PARCIALMENTE","ERROU")),"")</f>
        <v/>
      </c>
      <c r="N403" s="22">
        <f>IFERROR(INDEX([1]respota_rag_adaptativo!$A$2:$A$853, MATCH(_xlfn.CONCAT("*#",[1]analise_resposta!A403,"*"), [1]respota_rag_adaptativo!$C$2:$C$85, 0)), "")</f>
        <v/>
      </c>
      <c r="O403" s="22" t="n"/>
      <c r="P403" s="22">
        <f>IF(N403&lt;&gt;"", IF(AND(C403=N403, D403=O403), "ACERTOU", IF(OR(C403=N403, D403=O403, C403=O403, D403=N403), "PARCIALMENTE", IF(OR(N403="Não há recomendação", O403="Não há recomendação", N403="SEM RECOMENDAÇÃO", O403="SEM RECOMENDAÇÃO"), "NÃO RECOMENDOU", "ERROU"))), "")</f>
        <v/>
      </c>
      <c r="Q403" s="23">
        <f>IFERROR(INDEX([1]resposta_plan_exec!$A$2:$A$121, MATCH(_xlfn.CONCAT("*",[1]analise_resposta!A403,"*"), [1]resposta_plan_exec!$C$2:$C$121, 0)), "")</f>
        <v/>
      </c>
      <c r="R403" s="23">
        <f>IF([1]analise_resposta!A403="", "",
    _xlfn.LET(_xlpm.resultado, IFERROR(INDEX([1]resposta_plan_exec!$B$2:$B$121,
                           MATCH(_xlfn.CONCAT("*", [1]analise_resposta!A403, "*"),
                                   [1]resposta_plan_exec!$C$2:$C$121, 0)), ""),
        IF(_xlpm.resultado="", "", _xlpm.resultado)))</f>
        <v/>
      </c>
      <c r="S403" s="23" t="n"/>
    </row>
    <row r="404">
      <c r="A404" t="n">
        <v>3442</v>
      </c>
      <c r="B404" s="3" t="inlineStr">
        <is>
          <t>Cliente mencionou a ausência de um acessório no pedido do Lenovo IdeaPad 5. Solicitação de assistência urgente para resolver a questão.</t>
        </is>
      </c>
      <c r="C404" s="3" t="inlineStr">
        <is>
          <t>Solicitação de Serviço</t>
        </is>
      </c>
      <c r="D404" s="3" t="inlineStr">
        <is>
          <t>Gerenciamento de Ativos de TI</t>
        </is>
      </c>
      <c r="F404" s="5">
        <f>IFERROR(INDEX([1]resposta_chat_stream!$B$2:$B$34, MATCH(_xlfn.CONCAT("*#",[1]analise_resposta!A404,"*"), [1]resposta_chat_stream!$C$2:$C$34, 0)), "")</f>
        <v/>
      </c>
      <c r="G404" s="6">
        <f>IF(E404&lt;&gt;"", IF(AND(C404=E404, D404=F404), "ACERTOU", IF(OR(C404=E404, D404=F404, C404=F404, D404=E404), "PARCIALMENTE", IF(OR(E404="Não há recomendação", F404="Não há recomendação", E404="SEM RECOMENDAÇÃO", F404="SEM RECOMENDAÇÃO"), "NÃO RECOMENDOU", "ERROU"))), "")</f>
        <v/>
      </c>
      <c r="H404" s="20">
        <f>IFERROR(INDEX([1]reposta_chat!$A$2:$A$121, MATCH(_xlfn.CONCAT("*#",[1]analise_resposta!A404,"*"), [1]reposta_chat!$C$2:$C$121, 0)), "")</f>
        <v/>
      </c>
      <c r="I404" s="20">
        <f>IFERROR(INDEX([1]reposta_chat!$B$2:$B$121, MATCH(_xlfn.CONCAT("*#",[1]analise_resposta!A404,"*"), [1]reposta_chat!$C$2:$C$121, 0)), "")</f>
        <v/>
      </c>
      <c r="J404" s="20">
        <f>IF(H404&lt;&gt;"", IF(AND(C404=H404, D404=I404), "ACERTOU", IF(OR(C404=H404, D404=I404, C404=I404, D404=H404), "PARCIALMENTE", IF(OR(H404="Não há recomendação", I404="Não há recomendação", H404="SEM RECOMENDAÇÃO", I404="SEM RECOMENDAÇÃO"), "NÃO RECOMENDOU", "ERROU"))), "")</f>
        <v/>
      </c>
      <c r="K404" s="21">
        <f>IFERROR(INDEX([1]resposta_rag!$A$2:$A$33, MATCH(_xlfn.CONCAT("*#",[1]analise_resposta!A404,"*"), [1]resposta_rag!$C$2:$C$33, 0)), "")</f>
        <v/>
      </c>
      <c r="L404" s="21" t="n"/>
      <c r="M404" s="21">
        <f>IF(K404&lt;&gt;"",IF(AND(K424,D404=I404),"ACERTOU",IF(OR(C404=K404,D404=L404,C404=L404,D404=K404),"PARCIALMENTE","ERROU")),"")</f>
        <v/>
      </c>
      <c r="N404" s="22">
        <f>IFERROR(INDEX([1]respota_rag_adaptativo!$A$2:$A$853, MATCH(_xlfn.CONCAT("*#",[1]analise_resposta!A404,"*"), [1]respota_rag_adaptativo!$C$2:$C$85, 0)), "")</f>
        <v/>
      </c>
      <c r="O404" s="22" t="n"/>
      <c r="P404" s="22">
        <f>IF(N404&lt;&gt;"", IF(AND(C404=N404, D404=O404), "ACERTOU", IF(OR(C404=N404, D404=O404, C404=O404, D404=N404), "PARCIALMENTE", IF(OR(N404="Não há recomendação", O404="Não há recomendação", N404="SEM RECOMENDAÇÃO", O404="SEM RECOMENDAÇÃO"), "NÃO RECOMENDOU", "ERROU"))), "")</f>
        <v/>
      </c>
      <c r="Q404" s="23">
        <f>IFERROR(INDEX([1]resposta_plan_exec!$A$2:$A$121, MATCH(_xlfn.CONCAT("*",[1]analise_resposta!A404,"*"), [1]resposta_plan_exec!$C$2:$C$121, 0)), "")</f>
        <v/>
      </c>
      <c r="R404" s="23">
        <f>IF([1]analise_resposta!A404="", "",
    _xlfn.LET(_xlpm.resultado, IFERROR(INDEX([1]resposta_plan_exec!$B$2:$B$121,
                           MATCH(_xlfn.CONCAT("*", [1]analise_resposta!A404, "*"),
                                   [1]resposta_plan_exec!$C$2:$C$121, 0)), ""),
        IF(_xlpm.resultado="", "", _xlpm.resultado)))</f>
        <v/>
      </c>
      <c r="S404" s="23" t="n"/>
    </row>
    <row r="405">
      <c r="A405" t="n">
        <v>3443</v>
      </c>
      <c r="B405" s="3" t="inlineStr">
        <is>
          <t>Urgente: Atraso na Entrega</t>
        </is>
      </c>
      <c r="C405" s="3" t="inlineStr">
        <is>
          <t>Gerenciamento de Incidentes</t>
        </is>
      </c>
      <c r="D405" s="3" t="inlineStr">
        <is>
          <t>Gerenciamento de Ativos de TI</t>
        </is>
      </c>
      <c r="F405" s="5">
        <f>IFERROR(INDEX([1]resposta_chat_stream!$B$2:$B$34, MATCH(_xlfn.CONCAT("*#",[1]analise_resposta!A405,"*"), [1]resposta_chat_stream!$C$2:$C$34, 0)), "")</f>
        <v/>
      </c>
      <c r="G405" s="6">
        <f>IF(E405&lt;&gt;"", IF(AND(C405=E405, D405=F405), "ACERTOU", IF(OR(C405=E405, D405=F405, C405=F405, D405=E405), "PARCIALMENTE", IF(OR(E405="Não há recomendação", F405="Não há recomendação", E405="SEM RECOMENDAÇÃO", F405="SEM RECOMENDAÇÃO"), "NÃO RECOMENDOU", "ERROU"))), "")</f>
        <v/>
      </c>
      <c r="H405" s="20">
        <f>IFERROR(INDEX([1]reposta_chat!$A$2:$A$121, MATCH(_xlfn.CONCAT("*#",[1]analise_resposta!A405,"*"), [1]reposta_chat!$C$2:$C$121, 0)), "")</f>
        <v/>
      </c>
      <c r="I405" s="20">
        <f>IFERROR(INDEX([1]reposta_chat!$B$2:$B$121, MATCH(_xlfn.CONCAT("*#",[1]analise_resposta!A405,"*"), [1]reposta_chat!$C$2:$C$121, 0)), "")</f>
        <v/>
      </c>
      <c r="J405" s="20">
        <f>IF(H405&lt;&gt;"", IF(AND(C405=H405, D405=I405), "ACERTOU", IF(OR(C405=H405, D405=I405, C405=I405, D405=H405), "PARCIALMENTE", IF(OR(H405="Não há recomendação", I405="Não há recomendação", H405="SEM RECOMENDAÇÃO", I405="SEM RECOMENDAÇÃO"), "NÃO RECOMENDOU", "ERROU"))), "")</f>
        <v/>
      </c>
      <c r="K405" s="21">
        <f>IFERROR(INDEX([1]resposta_rag!$A$2:$A$33, MATCH(_xlfn.CONCAT("*#",[1]analise_resposta!A405,"*"), [1]resposta_rag!$C$2:$C$33, 0)), "")</f>
        <v/>
      </c>
      <c r="L405" s="21" t="n"/>
      <c r="M405" s="21">
        <f>IF(K405&lt;&gt;"",IF(AND(K425,D405=I405),"ACERTOU",IF(OR(C405=K405,D405=L405,C405=L405,D405=K405),"PARCIALMENTE","ERROU")),"")</f>
        <v/>
      </c>
      <c r="N405" s="22">
        <f>IFERROR(INDEX([1]respota_rag_adaptativo!$A$2:$A$853, MATCH(_xlfn.CONCAT("*#",[1]analise_resposta!A405,"*"), [1]respota_rag_adaptativo!$C$2:$C$85, 0)), "")</f>
        <v/>
      </c>
      <c r="O405" s="22" t="n"/>
      <c r="P405" s="22">
        <f>IF(N405&lt;&gt;"", IF(AND(C405=N405, D405=O405), "ACERTOU", IF(OR(C405=N405, D405=O405, C405=O405, D405=N405), "PARCIALMENTE", IF(OR(N405="Não há recomendação", O405="Não há recomendação", N405="SEM RECOMENDAÇÃO", O405="SEM RECOMENDAÇÃO"), "NÃO RECOMENDOU", "ERROU"))), "")</f>
        <v/>
      </c>
      <c r="Q405" s="23">
        <f>IFERROR(INDEX([1]resposta_plan_exec!$A$2:$A$121, MATCH(_xlfn.CONCAT("*",[1]analise_resposta!A405,"*"), [1]resposta_plan_exec!$C$2:$C$121, 0)), "")</f>
        <v/>
      </c>
      <c r="R405" s="23">
        <f>IF([1]analise_resposta!A405="", "",
    _xlfn.LET(_xlpm.resultado, IFERROR(INDEX([1]resposta_plan_exec!$B$2:$B$121,
                           MATCH(_xlfn.CONCAT("*", [1]analise_resposta!A405, "*"),
                                   [1]resposta_plan_exec!$C$2:$C$121, 0)), ""),
        IF(_xlpm.resultado="", "", _xlpm.resultado)))</f>
        <v/>
      </c>
      <c r="S405" s="23" t="n"/>
    </row>
    <row r="406">
      <c r="A406" t="n">
        <v>3450</v>
      </c>
      <c r="B406" s="3" t="inlineStr">
        <is>
          <t>Urgente: Assistência ao Cliente Requerida—Problema com Atraso na Entrega da Minha Compra do MacBook Air M1</t>
        </is>
      </c>
      <c r="C406" s="3" t="inlineStr">
        <is>
          <t>Gerenciamento de Incidentes</t>
        </is>
      </c>
      <c r="D406" s="3" t="inlineStr">
        <is>
          <t>Gerenciamento de Ativos de TI</t>
        </is>
      </c>
      <c r="F406" s="5">
        <f>IFERROR(INDEX([1]resposta_chat_stream!$B$2:$B$34, MATCH(_xlfn.CONCAT("*#",[1]analise_resposta!A406,"*"), [1]resposta_chat_stream!$C$2:$C$34, 0)), "")</f>
        <v/>
      </c>
      <c r="G406" s="6">
        <f>IF(E406&lt;&gt;"", IF(AND(C406=E406, D406=F406), "ACERTOU", IF(OR(C406=E406, D406=F406, C406=F406, D406=E406), "PARCIALMENTE", IF(OR(E406="Não há recomendação", F406="Não há recomendação", E406="SEM RECOMENDAÇÃO", F406="SEM RECOMENDAÇÃO"), "NÃO RECOMENDOU", "ERROU"))), "")</f>
        <v/>
      </c>
      <c r="H406" s="20">
        <f>IFERROR(INDEX([1]reposta_chat!$A$2:$A$121, MATCH(_xlfn.CONCAT("*#",[1]analise_resposta!A406,"*"), [1]reposta_chat!$C$2:$C$121, 0)), "")</f>
        <v/>
      </c>
      <c r="I406" s="20">
        <f>IFERROR(INDEX([1]reposta_chat!$B$2:$B$121, MATCH(_xlfn.CONCAT("*#",[1]analise_resposta!A406,"*"), [1]reposta_chat!$C$2:$C$121, 0)), "")</f>
        <v/>
      </c>
      <c r="J406" s="20">
        <f>IF(H406&lt;&gt;"", IF(AND(C406=H406, D406=I406), "ACERTOU", IF(OR(C406=H406, D406=I406, C406=I406, D406=H406), "PARCIALMENTE", IF(OR(H406="Não há recomendação", I406="Não há recomendação", H406="SEM RECOMENDAÇÃO", I406="SEM RECOMENDAÇÃO"), "NÃO RECOMENDOU", "ERROU"))), "")</f>
        <v/>
      </c>
      <c r="K406" s="21">
        <f>IFERROR(INDEX([1]resposta_rag!$A$2:$A$33, MATCH(_xlfn.CONCAT("*#",[1]analise_resposta!A406,"*"), [1]resposta_rag!$C$2:$C$33, 0)), "")</f>
        <v/>
      </c>
      <c r="L406" s="21" t="n"/>
      <c r="M406" s="21">
        <f>IF(K406&lt;&gt;"",IF(AND(K426,D406=I406),"ACERTOU",IF(OR(C406=K406,D406=L406,C406=L406,D406=K406),"PARCIALMENTE","ERROU")),"")</f>
        <v/>
      </c>
      <c r="N406" s="22">
        <f>IFERROR(INDEX([1]respota_rag_adaptativo!$A$2:$A$853, MATCH(_xlfn.CONCAT("*#",[1]analise_resposta!A406,"*"), [1]respota_rag_adaptativo!$C$2:$C$85, 0)), "")</f>
        <v/>
      </c>
      <c r="O406" s="22" t="n"/>
      <c r="P406" s="22">
        <f>IF(N406&lt;&gt;"", IF(AND(C406=N406, D406=O406), "ACERTOU", IF(OR(C406=N406, D406=O406, C406=O406, D406=N406), "PARCIALMENTE", IF(OR(N406="Não há recomendação", O406="Não há recomendação", N406="SEM RECOMENDAÇÃO", O406="SEM RECOMENDAÇÃO"), "NÃO RECOMENDOU", "ERROU"))), "")</f>
        <v/>
      </c>
      <c r="Q406" s="23">
        <f>IFERROR(INDEX([1]resposta_plan_exec!$A$2:$A$121, MATCH(_xlfn.CONCAT("*",[1]analise_resposta!A406,"*"), [1]resposta_plan_exec!$C$2:$C$121, 0)), "")</f>
        <v/>
      </c>
      <c r="R406" s="23">
        <f>IF([1]analise_resposta!A406="", "",
    _xlfn.LET(_xlpm.resultado, IFERROR(INDEX([1]resposta_plan_exec!$B$2:$B$121,
                           MATCH(_xlfn.CONCAT("*", [1]analise_resposta!A406, "*"),
                                   [1]resposta_plan_exec!$C$2:$C$121, 0)), ""),
        IF(_xlpm.resultado="", "", _xlpm.resultado)))</f>
        <v/>
      </c>
      <c r="S406" s="23" t="n"/>
    </row>
    <row r="407">
      <c r="A407" t="n">
        <v>3453</v>
      </c>
      <c r="B407" s="3" t="inlineStr">
        <is>
          <t>Questão de Atraso na Entrega do Pedido &lt;acc_num&gt;</t>
        </is>
      </c>
      <c r="C407" s="3" t="inlineStr">
        <is>
          <t>Gerenciamento de Incidentes</t>
        </is>
      </c>
      <c r="D407" s="3" t="inlineStr">
        <is>
          <t>Gerenciamento de Ativos de TI</t>
        </is>
      </c>
      <c r="F407" s="5">
        <f>IFERROR(INDEX([1]resposta_chat_stream!$B$2:$B$34, MATCH(_xlfn.CONCAT("*#",[1]analise_resposta!A407,"*"), [1]resposta_chat_stream!$C$2:$C$34, 0)), "")</f>
        <v/>
      </c>
      <c r="G407" s="6">
        <f>IF(E407&lt;&gt;"", IF(AND(C407=E407, D407=F407), "ACERTOU", IF(OR(C407=E407, D407=F407, C407=F407, D407=E407), "PARCIALMENTE", IF(OR(E407="Não há recomendação", F407="Não há recomendação", E407="SEM RECOMENDAÇÃO", F407="SEM RECOMENDAÇÃO"), "NÃO RECOMENDOU", "ERROU"))), "")</f>
        <v/>
      </c>
      <c r="H407" s="20">
        <f>IFERROR(INDEX([1]reposta_chat!$A$2:$A$121, MATCH(_xlfn.CONCAT("*#",[1]analise_resposta!A407,"*"), [1]reposta_chat!$C$2:$C$121, 0)), "")</f>
        <v/>
      </c>
      <c r="I407" s="20">
        <f>IFERROR(INDEX([1]reposta_chat!$B$2:$B$121, MATCH(_xlfn.CONCAT("*#",[1]analise_resposta!A407,"*"), [1]reposta_chat!$C$2:$C$121, 0)), "")</f>
        <v/>
      </c>
      <c r="J407" s="20">
        <f>IF(H407&lt;&gt;"", IF(AND(C407=H407, D407=I407), "ACERTOU", IF(OR(C407=H407, D407=I407, C407=I407, D407=H407), "PARCIALMENTE", IF(OR(H407="Não há recomendação", I407="Não há recomendação", H407="SEM RECOMENDAÇÃO", I407="SEM RECOMENDAÇÃO"), "NÃO RECOMENDOU", "ERROU"))), "")</f>
        <v/>
      </c>
      <c r="K407" s="21">
        <f>IFERROR(INDEX([1]resposta_rag!$A$2:$A$33, MATCH(_xlfn.CONCAT("*#",[1]analise_resposta!A407,"*"), [1]resposta_rag!$C$2:$C$33, 0)), "")</f>
        <v/>
      </c>
      <c r="L407" s="21" t="n"/>
      <c r="M407" s="21">
        <f>IF(K407&lt;&gt;"",IF(AND(K427,D407=I407),"ACERTOU",IF(OR(C407=K407,D407=L407,C407=L407,D407=K407),"PARCIALMENTE","ERROU")),"")</f>
        <v/>
      </c>
      <c r="N407" s="22">
        <f>IFERROR(INDEX([1]respota_rag_adaptativo!$A$2:$A$853, MATCH(_xlfn.CONCAT("*#",[1]analise_resposta!A407,"*"), [1]respota_rag_adaptativo!$C$2:$C$85, 0)), "")</f>
        <v/>
      </c>
      <c r="O407" s="22" t="n"/>
      <c r="P407" s="22">
        <f>IF(N407&lt;&gt;"", IF(AND(C407=N407, D407=O407), "ACERTOU", IF(OR(C407=N407, D407=O407, C407=O407, D407=N407), "PARCIALMENTE", IF(OR(N407="Não há recomendação", O407="Não há recomendação", N407="SEM RECOMENDAÇÃO", O407="SEM RECOMENDAÇÃO"), "NÃO RECOMENDOU", "ERROU"))), "")</f>
        <v/>
      </c>
      <c r="Q407" s="23">
        <f>IFERROR(INDEX([1]resposta_plan_exec!$A$2:$A$121, MATCH(_xlfn.CONCAT("*",[1]analise_resposta!A407,"*"), [1]resposta_plan_exec!$C$2:$C$121, 0)), "")</f>
        <v/>
      </c>
      <c r="R407" s="23">
        <f>IF([1]analise_resposta!A407="", "",
    _xlfn.LET(_xlpm.resultado, IFERROR(INDEX([1]resposta_plan_exec!$B$2:$B$121,
                           MATCH(_xlfn.CONCAT("*", [1]analise_resposta!A407, "*"),
                                   [1]resposta_plan_exec!$C$2:$C$121, 0)), ""),
        IF(_xlpm.resultado="", "", _xlpm.resultado)))</f>
        <v/>
      </c>
      <c r="S407" s="23" t="n"/>
    </row>
    <row r="408">
      <c r="A408" t="n">
        <v>3461</v>
      </c>
      <c r="B408" s="3" t="inlineStr">
        <is>
          <t>Solicitação de Otimização de Custos da AWS</t>
        </is>
      </c>
      <c r="C408" s="3" t="inlineStr">
        <is>
          <t>Solicitação de Serviço</t>
        </is>
      </c>
      <c r="D408" s="3" t="inlineStr">
        <is>
          <t>Gerenciamento Financeiro</t>
        </is>
      </c>
      <c r="F408" s="5">
        <f>IFERROR(INDEX([1]resposta_chat_stream!$B$2:$B$34, MATCH(_xlfn.CONCAT("*#",[1]analise_resposta!A408,"*"), [1]resposta_chat_stream!$C$2:$C$34, 0)), "")</f>
        <v/>
      </c>
      <c r="G408" s="6">
        <f>IF(E408&lt;&gt;"", IF(AND(C408=E408, D408=F408), "ACERTOU", IF(OR(C408=E408, D408=F408, C408=F408, D408=E408), "PARCIALMENTE", IF(OR(E408="Não há recomendação", F408="Não há recomendação", E408="SEM RECOMENDAÇÃO", F408="SEM RECOMENDAÇÃO"), "NÃO RECOMENDOU", "ERROU"))), "")</f>
        <v/>
      </c>
      <c r="H408" s="20">
        <f>IFERROR(INDEX([1]reposta_chat!$A$2:$A$121, MATCH(_xlfn.CONCAT("*#",[1]analise_resposta!A408,"*"), [1]reposta_chat!$C$2:$C$121, 0)), "")</f>
        <v/>
      </c>
      <c r="I408" s="20">
        <f>IFERROR(INDEX([1]reposta_chat!$B$2:$B$121, MATCH(_xlfn.CONCAT("*#",[1]analise_resposta!A408,"*"), [1]reposta_chat!$C$2:$C$121, 0)), "")</f>
        <v/>
      </c>
      <c r="J408" s="20">
        <f>IF(H408&lt;&gt;"", IF(AND(C408=H408, D408=I408), "ACERTOU", IF(OR(C408=H408, D408=I408, C408=I408, D408=H408), "PARCIALMENTE", IF(OR(H408="Não há recomendação", I408="Não há recomendação", H408="SEM RECOMENDAÇÃO", I408="SEM RECOMENDAÇÃO"), "NÃO RECOMENDOU", "ERROU"))), "")</f>
        <v/>
      </c>
      <c r="K408" s="21">
        <f>IFERROR(INDEX([1]resposta_rag!$A$2:$A$33, MATCH(_xlfn.CONCAT("*#",[1]analise_resposta!A408,"*"), [1]resposta_rag!$C$2:$C$33, 0)), "")</f>
        <v/>
      </c>
      <c r="L408" s="21" t="n"/>
      <c r="M408" s="21">
        <f>IF(K408&lt;&gt;"",IF(AND(K428,D408=I408),"ACERTOU",IF(OR(C408=K408,D408=L408,C408=L408,D408=K408),"PARCIALMENTE","ERROU")),"")</f>
        <v/>
      </c>
      <c r="N408" s="22">
        <f>IFERROR(INDEX([1]respota_rag_adaptativo!$A$2:$A$853, MATCH(_xlfn.CONCAT("*#",[1]analise_resposta!A408,"*"), [1]respota_rag_adaptativo!$C$2:$C$85, 0)), "")</f>
        <v/>
      </c>
      <c r="O408" s="22" t="n"/>
      <c r="P408" s="22">
        <f>IF(N408&lt;&gt;"", IF(AND(C408=N408, D408=O408), "ACERTOU", IF(OR(C408=N408, D408=O408, C408=O408, D408=N408), "PARCIALMENTE", IF(OR(N408="Não há recomendação", O408="Não há recomendação", N408="SEM RECOMENDAÇÃO", O408="SEM RECOMENDAÇÃO"), "NÃO RECOMENDOU", "ERROU"))), "")</f>
        <v/>
      </c>
      <c r="Q408" s="23">
        <f>IFERROR(INDEX([1]resposta_plan_exec!$A$2:$A$121, MATCH(_xlfn.CONCAT("*",[1]analise_resposta!A408,"*"), [1]resposta_plan_exec!$C$2:$C$121, 0)), "")</f>
        <v/>
      </c>
      <c r="R408" s="23">
        <f>IF([1]analise_resposta!A408="", "",
    _xlfn.LET(_xlpm.resultado, IFERROR(INDEX([1]resposta_plan_exec!$B$2:$B$121,
                           MATCH(_xlfn.CONCAT("*", [1]analise_resposta!A408, "*"),
                                   [1]resposta_plan_exec!$C$2:$C$121, 0)), ""),
        IF(_xlpm.resultado="", "", _xlpm.resultado)))</f>
        <v/>
      </c>
      <c r="S408" s="23" t="n"/>
    </row>
    <row r="409">
      <c r="A409" t="n">
        <v>3471</v>
      </c>
      <c r="B409" s="3" t="inlineStr">
        <is>
          <t>Consulta sobre Serviços de Consultoria em TI</t>
        </is>
      </c>
      <c r="C409" s="3" t="inlineStr">
        <is>
          <t>Solicitação de Serviço</t>
        </is>
      </c>
      <c r="D409" s="3" t="inlineStr">
        <is>
          <t>Gerenciamento de Nível de Serviço</t>
        </is>
      </c>
      <c r="F409" s="5">
        <f>IFERROR(INDEX([1]resposta_chat_stream!$B$2:$B$34, MATCH(_xlfn.CONCAT("*#",[1]analise_resposta!A409,"*"), [1]resposta_chat_stream!$C$2:$C$34, 0)), "")</f>
        <v/>
      </c>
      <c r="G409" s="6">
        <f>IF(E409&lt;&gt;"", IF(AND(C409=E409, D409=F409), "ACERTOU", IF(OR(C409=E409, D409=F409, C409=F409, D409=E409), "PARCIALMENTE", IF(OR(E409="Não há recomendação", F409="Não há recomendação", E409="SEM RECOMENDAÇÃO", F409="SEM RECOMENDAÇÃO"), "NÃO RECOMENDOU", "ERROU"))), "")</f>
        <v/>
      </c>
      <c r="H409" s="20">
        <f>IFERROR(INDEX([1]reposta_chat!$A$2:$A$121, MATCH(_xlfn.CONCAT("*#",[1]analise_resposta!A409,"*"), [1]reposta_chat!$C$2:$C$121, 0)), "")</f>
        <v/>
      </c>
      <c r="I409" s="20">
        <f>IFERROR(INDEX([1]reposta_chat!$B$2:$B$121, MATCH(_xlfn.CONCAT("*#",[1]analise_resposta!A409,"*"), [1]reposta_chat!$C$2:$C$121, 0)), "")</f>
        <v/>
      </c>
      <c r="J409" s="20">
        <f>IF(H409&lt;&gt;"", IF(AND(C409=H409, D409=I409), "ACERTOU", IF(OR(C409=H409, D409=I409, C409=I409, D409=H409), "PARCIALMENTE", IF(OR(H409="Não há recomendação", I409="Não há recomendação", H409="SEM RECOMENDAÇÃO", I409="SEM RECOMENDAÇÃO"), "NÃO RECOMENDOU", "ERROU"))), "")</f>
        <v/>
      </c>
      <c r="K409" s="21">
        <f>IFERROR(INDEX([1]resposta_rag!$A$2:$A$33, MATCH(_xlfn.CONCAT("*#",[1]analise_resposta!A409,"*"), [1]resposta_rag!$C$2:$C$33, 0)), "")</f>
        <v/>
      </c>
      <c r="L409" s="21" t="n"/>
      <c r="M409" s="21">
        <f>IF(K409&lt;&gt;"",IF(AND(K429,D409=I409),"ACERTOU",IF(OR(C409=K409,D409=L409,C409=L409,D409=K409),"PARCIALMENTE","ERROU")),"")</f>
        <v/>
      </c>
      <c r="N409" s="22">
        <f>IFERROR(INDEX([1]respota_rag_adaptativo!$A$2:$A$853, MATCH(_xlfn.CONCAT("*#",[1]analise_resposta!A409,"*"), [1]respota_rag_adaptativo!$C$2:$C$85, 0)), "")</f>
        <v/>
      </c>
      <c r="O409" s="22" t="n"/>
      <c r="P409" s="22">
        <f>IF(N409&lt;&gt;"", IF(AND(C409=N409, D409=O409), "ACERTOU", IF(OR(C409=N409, D409=O409, C409=O409, D409=N409), "PARCIALMENTE", IF(OR(N409="Não há recomendação", O409="Não há recomendação", N409="SEM RECOMENDAÇÃO", O409="SEM RECOMENDAÇÃO"), "NÃO RECOMENDOU", "ERROU"))), "")</f>
        <v/>
      </c>
      <c r="Q409" s="23">
        <f>IFERROR(INDEX([1]resposta_plan_exec!$A$2:$A$121, MATCH(_xlfn.CONCAT("*",[1]analise_resposta!A409,"*"), [1]resposta_plan_exec!$C$2:$C$121, 0)), "")</f>
        <v/>
      </c>
      <c r="R409" s="23">
        <f>IF([1]analise_resposta!A409="", "",
    _xlfn.LET(_xlpm.resultado, IFERROR(INDEX([1]resposta_plan_exec!$B$2:$B$121,
                           MATCH(_xlfn.CONCAT("*", [1]analise_resposta!A409, "*"),
                                   [1]resposta_plan_exec!$C$2:$C$121, 0)), ""),
        IF(_xlpm.resultado="", "", _xlpm.resultado)))</f>
        <v/>
      </c>
      <c r="S409" s="23" t="n"/>
    </row>
    <row r="410">
      <c r="A410" t="n">
        <v>3475</v>
      </c>
      <c r="B410" s="3" t="inlineStr">
        <is>
          <t>Assistência Urgente Necessária: Interrupção do Serviço AWS</t>
        </is>
      </c>
      <c r="C410" s="3" t="inlineStr">
        <is>
          <t>Gerenciamento de Incidentes</t>
        </is>
      </c>
      <c r="D410" s="3" t="inlineStr">
        <is>
          <t>Gerenciamento de Disponibilidade</t>
        </is>
      </c>
      <c r="F410" s="5">
        <f>IFERROR(INDEX([1]resposta_chat_stream!$B$2:$B$34, MATCH(_xlfn.CONCAT("*#",[1]analise_resposta!A410,"*"), [1]resposta_chat_stream!$C$2:$C$34, 0)), "")</f>
        <v/>
      </c>
      <c r="G410" s="6">
        <f>IF(E410&lt;&gt;"", IF(AND(C410=E410, D410=F410), "ACERTOU", IF(OR(C410=E410, D410=F410, C410=F410, D410=E410), "PARCIALMENTE", IF(OR(E410="Não há recomendação", F410="Não há recomendação", E410="SEM RECOMENDAÇÃO", F410="SEM RECOMENDAÇÃO"), "NÃO RECOMENDOU", "ERROU"))), "")</f>
        <v/>
      </c>
      <c r="H410" s="20">
        <f>IFERROR(INDEX([1]reposta_chat!$A$2:$A$121, MATCH(_xlfn.CONCAT("*#",[1]analise_resposta!A410,"*"), [1]reposta_chat!$C$2:$C$121, 0)), "")</f>
        <v/>
      </c>
      <c r="I410" s="20">
        <f>IFERROR(INDEX([1]reposta_chat!$B$2:$B$121, MATCH(_xlfn.CONCAT("*#",[1]analise_resposta!A410,"*"), [1]reposta_chat!$C$2:$C$121, 0)), "")</f>
        <v/>
      </c>
      <c r="J410" s="20">
        <f>IF(H410&lt;&gt;"", IF(AND(C410=H410, D410=I410), "ACERTOU", IF(OR(C410=H410, D410=I410, C410=I410, D410=H410), "PARCIALMENTE", IF(OR(H410="Não há recomendação", I410="Não há recomendação", H410="SEM RECOMENDAÇÃO", I410="SEM RECOMENDAÇÃO"), "NÃO RECOMENDOU", "ERROU"))), "")</f>
        <v/>
      </c>
      <c r="K410" s="21">
        <f>IFERROR(INDEX([1]resposta_rag!$A$2:$A$33, MATCH(_xlfn.CONCAT("*#",[1]analise_resposta!A410,"*"), [1]resposta_rag!$C$2:$C$33, 0)), "")</f>
        <v/>
      </c>
      <c r="L410" s="21" t="n"/>
      <c r="M410" s="21">
        <f>IF(K410&lt;&gt;"",IF(AND(K430,D410=I410),"ACERTOU",IF(OR(C410=K410,D410=L410,C410=L410,D410=K410),"PARCIALMENTE","ERROU")),"")</f>
        <v/>
      </c>
      <c r="N410" s="22">
        <f>IFERROR(INDEX([1]respota_rag_adaptativo!$A$2:$A$853, MATCH(_xlfn.CONCAT("*#",[1]analise_resposta!A410,"*"), [1]respota_rag_adaptativo!$C$2:$C$85, 0)), "")</f>
        <v/>
      </c>
      <c r="O410" s="22" t="n"/>
      <c r="P410" s="22">
        <f>IF(N410&lt;&gt;"", IF(AND(C410=N410, D410=O410), "ACERTOU", IF(OR(C410=N410, D410=O410, C410=O410, D410=N410), "PARCIALMENTE", IF(OR(N410="Não há recomendação", O410="Não há recomendação", N410="SEM RECOMENDAÇÃO", O410="SEM RECOMENDAÇÃO"), "NÃO RECOMENDOU", "ERROU"))), "")</f>
        <v/>
      </c>
      <c r="Q410" s="23">
        <f>IFERROR(INDEX([1]resposta_plan_exec!$A$2:$A$121, MATCH(_xlfn.CONCAT("*",[1]analise_resposta!A410,"*"), [1]resposta_plan_exec!$C$2:$C$121, 0)), "")</f>
        <v/>
      </c>
      <c r="R410" s="23">
        <f>IF([1]analise_resposta!A410="", "",
    _xlfn.LET(_xlpm.resultado, IFERROR(INDEX([1]resposta_plan_exec!$B$2:$B$121,
                           MATCH(_xlfn.CONCAT("*", [1]analise_resposta!A410, "*"),
                                   [1]resposta_plan_exec!$C$2:$C$121, 0)), ""),
        IF(_xlpm.resultado="", "", _xlpm.resultado)))</f>
        <v/>
      </c>
      <c r="S410" s="23" t="n"/>
    </row>
    <row r="411">
      <c r="A411" t="n">
        <v>3479</v>
      </c>
      <c r="B411" s="3" t="inlineStr">
        <is>
          <t>Solicitação de Especificações e Personalização do MacBook Air M1</t>
        </is>
      </c>
      <c r="C411" s="3" t="inlineStr">
        <is>
          <t>Solicitação de Serviço</t>
        </is>
      </c>
      <c r="D411" s="3" t="inlineStr">
        <is>
          <t>Gerenciamento de Ativos de TI</t>
        </is>
      </c>
      <c r="F411" s="5">
        <f>IFERROR(INDEX([1]resposta_chat_stream!$B$2:$B$34, MATCH(_xlfn.CONCAT("*#",[1]analise_resposta!A411,"*"), [1]resposta_chat_stream!$C$2:$C$34, 0)), "")</f>
        <v/>
      </c>
      <c r="G411" s="6">
        <f>IF(E411&lt;&gt;"", IF(AND(C411=E411, D411=F411), "ACERTOU", IF(OR(C411=E411, D411=F411, C411=F411, D411=E411), "PARCIALMENTE", IF(OR(E411="Não há recomendação", F411="Não há recomendação", E411="SEM RECOMENDAÇÃO", F411="SEM RECOMENDAÇÃO"), "NÃO RECOMENDOU", "ERROU"))), "")</f>
        <v/>
      </c>
      <c r="H411" s="20">
        <f>IFERROR(INDEX([1]reposta_chat!$A$2:$A$121, MATCH(_xlfn.CONCAT("*#",[1]analise_resposta!A411,"*"), [1]reposta_chat!$C$2:$C$121, 0)), "")</f>
        <v/>
      </c>
      <c r="I411" s="20">
        <f>IFERROR(INDEX([1]reposta_chat!$B$2:$B$121, MATCH(_xlfn.CONCAT("*#",[1]analise_resposta!A411,"*"), [1]reposta_chat!$C$2:$C$121, 0)), "")</f>
        <v/>
      </c>
      <c r="J411" s="20">
        <f>IF(H411&lt;&gt;"", IF(AND(C411=H411, D411=I411), "ACERTOU", IF(OR(C411=H411, D411=I411, C411=I411, D411=H411), "PARCIALMENTE", IF(OR(H411="Não há recomendação", I411="Não há recomendação", H411="SEM RECOMENDAÇÃO", I411="SEM RECOMENDAÇÃO"), "NÃO RECOMENDOU", "ERROU"))), "")</f>
        <v/>
      </c>
      <c r="K411" s="21">
        <f>IFERROR(INDEX([1]resposta_rag!$A$2:$A$33, MATCH(_xlfn.CONCAT("*#",[1]analise_resposta!A411,"*"), [1]resposta_rag!$C$2:$C$33, 0)), "")</f>
        <v/>
      </c>
      <c r="L411" s="21" t="n"/>
      <c r="M411" s="21">
        <f>IF(K411&lt;&gt;"",IF(AND(K431,D411=I411),"ACERTOU",IF(OR(C411=K411,D411=L411,C411=L411,D411=K411),"PARCIALMENTE","ERROU")),"")</f>
        <v/>
      </c>
      <c r="N411" s="22">
        <f>IFERROR(INDEX([1]respota_rag_adaptativo!$A$2:$A$853, MATCH(_xlfn.CONCAT("*#",[1]analise_resposta!A411,"*"), [1]respota_rag_adaptativo!$C$2:$C$85, 0)), "")</f>
        <v/>
      </c>
      <c r="O411" s="22" t="n"/>
      <c r="P411" s="22">
        <f>IF(N411&lt;&gt;"", IF(AND(C411=N411, D411=O411), "ACERTOU", IF(OR(C411=N411, D411=O411, C411=O411, D411=N411), "PARCIALMENTE", IF(OR(N411="Não há recomendação", O411="Não há recomendação", N411="SEM RECOMENDAÇÃO", O411="SEM RECOMENDAÇÃO"), "NÃO RECOMENDOU", "ERROU"))), "")</f>
        <v/>
      </c>
      <c r="Q411" s="23">
        <f>IFERROR(INDEX([1]resposta_plan_exec!$A$2:$A$121, MATCH(_xlfn.CONCAT("*",[1]analise_resposta!A411,"*"), [1]resposta_plan_exec!$C$2:$C$121, 0)), "")</f>
        <v/>
      </c>
      <c r="R411" s="23">
        <f>IF([1]analise_resposta!A411="", "",
    _xlfn.LET(_xlpm.resultado, IFERROR(INDEX([1]resposta_plan_exec!$B$2:$B$121,
                           MATCH(_xlfn.CONCAT("*", [1]analise_resposta!A411, "*"),
                                   [1]resposta_plan_exec!$C$2:$C$121, 0)), ""),
        IF(_xlpm.resultado="", "", _xlpm.resultado)))</f>
        <v/>
      </c>
      <c r="S411" s="23" t="n"/>
    </row>
    <row r="412">
      <c r="A412" t="n">
        <v>3490</v>
      </c>
      <c r="B412" s="3" t="inlineStr">
        <is>
          <t>Solicitação de Troca Devida a Problemas de Flickering no LG OLED C1</t>
        </is>
      </c>
      <c r="C412" s="3" t="inlineStr">
        <is>
          <t>Solicitação de Serviço</t>
        </is>
      </c>
      <c r="D412" s="3" t="inlineStr">
        <is>
          <t>Gerenciamento de Ativos de TI</t>
        </is>
      </c>
      <c r="F412" s="5">
        <f>IFERROR(INDEX([1]resposta_chat_stream!$B$2:$B$34, MATCH(_xlfn.CONCAT("*#",[1]analise_resposta!A412,"*"), [1]resposta_chat_stream!$C$2:$C$34, 0)), "")</f>
        <v/>
      </c>
      <c r="G412" s="6">
        <f>IF(E412&lt;&gt;"", IF(AND(C412=E412, D412=F412), "ACERTOU", IF(OR(C412=E412, D412=F412, C412=F412, D412=E412), "PARCIALMENTE", IF(OR(E412="Não há recomendação", F412="Não há recomendação", E412="SEM RECOMENDAÇÃO", F412="SEM RECOMENDAÇÃO"), "NÃO RECOMENDOU", "ERROU"))), "")</f>
        <v/>
      </c>
      <c r="H412" s="20">
        <f>IFERROR(INDEX([1]reposta_chat!$A$2:$A$121, MATCH(_xlfn.CONCAT("*#",[1]analise_resposta!A412,"*"), [1]reposta_chat!$C$2:$C$121, 0)), "")</f>
        <v/>
      </c>
      <c r="I412" s="20">
        <f>IFERROR(INDEX([1]reposta_chat!$B$2:$B$121, MATCH(_xlfn.CONCAT("*#",[1]analise_resposta!A412,"*"), [1]reposta_chat!$C$2:$C$121, 0)), "")</f>
        <v/>
      </c>
      <c r="J412" s="20">
        <f>IF(H412&lt;&gt;"", IF(AND(C412=H412, D412=I412), "ACERTOU", IF(OR(C412=H412, D412=I412, C412=I412, D412=H412), "PARCIALMENTE", IF(OR(H412="Não há recomendação", I412="Não há recomendação", H412="SEM RECOMENDAÇÃO", I412="SEM RECOMENDAÇÃO"), "NÃO RECOMENDOU", "ERROU"))), "")</f>
        <v/>
      </c>
      <c r="K412" s="21">
        <f>IFERROR(INDEX([1]resposta_rag!$A$2:$A$33, MATCH(_xlfn.CONCAT("*#",[1]analise_resposta!A412,"*"), [1]resposta_rag!$C$2:$C$33, 0)), "")</f>
        <v/>
      </c>
      <c r="L412" s="21" t="n"/>
      <c r="M412" s="21">
        <f>IF(K412&lt;&gt;"",IF(AND(K432,D412=I412),"ACERTOU",IF(OR(C412=K412,D412=L412,C412=L412,D412=K412),"PARCIALMENTE","ERROU")),"")</f>
        <v/>
      </c>
      <c r="N412" s="22">
        <f>IFERROR(INDEX([1]respota_rag_adaptativo!$A$2:$A$853, MATCH(_xlfn.CONCAT("*#",[1]analise_resposta!A412,"*"), [1]respota_rag_adaptativo!$C$2:$C$85, 0)), "")</f>
        <v/>
      </c>
      <c r="O412" s="22" t="n"/>
      <c r="P412" s="22">
        <f>IF(N412&lt;&gt;"", IF(AND(C412=N412, D412=O412), "ACERTOU", IF(OR(C412=N412, D412=O412, C412=O412, D412=N412), "PARCIALMENTE", IF(OR(N412="Não há recomendação", O412="Não há recomendação", N412="SEM RECOMENDAÇÃO", O412="SEM RECOMENDAÇÃO"), "NÃO RECOMENDOU", "ERROU"))), "")</f>
        <v/>
      </c>
      <c r="Q412" s="23">
        <f>IFERROR(INDEX([1]resposta_plan_exec!$A$2:$A$121, MATCH(_xlfn.CONCAT("*",[1]analise_resposta!A412,"*"), [1]resposta_plan_exec!$C$2:$C$121, 0)), "")</f>
        <v/>
      </c>
      <c r="R412" s="23">
        <f>IF([1]analise_resposta!A412="", "",
    _xlfn.LET(_xlpm.resultado, IFERROR(INDEX([1]resposta_plan_exec!$B$2:$B$121,
                           MATCH(_xlfn.CONCAT("*", [1]analise_resposta!A412, "*"),
                                   [1]resposta_plan_exec!$C$2:$C$121, 0)), ""),
        IF(_xlpm.resultado="", "", _xlpm.resultado)))</f>
        <v/>
      </c>
      <c r="S412" s="23" t="n"/>
    </row>
    <row r="413">
      <c r="A413" t="n">
        <v>3492</v>
      </c>
      <c r="B413" s="3" t="inlineStr">
        <is>
          <t>Assistência Urgente Necessária: Queda do Servidor MySQL</t>
        </is>
      </c>
      <c r="C413" s="3" t="inlineStr">
        <is>
          <t>Gerenciamento de Incidentes</t>
        </is>
      </c>
      <c r="D413" s="3" t="inlineStr">
        <is>
          <t>Gerenciamento de Disponibilidade</t>
        </is>
      </c>
      <c r="F413" s="5">
        <f>IFERROR(INDEX([1]resposta_chat_stream!$B$2:$B$34, MATCH(_xlfn.CONCAT("*#",[1]analise_resposta!A413,"*"), [1]resposta_chat_stream!$C$2:$C$34, 0)), "")</f>
        <v/>
      </c>
      <c r="G413" s="6">
        <f>IF(E413&lt;&gt;"", IF(AND(C413=E413, D413=F413), "ACERTOU", IF(OR(C413=E413, D413=F413, C413=F413, D413=E413), "PARCIALMENTE", IF(OR(E413="Não há recomendação", F413="Não há recomendação", E413="SEM RECOMENDAÇÃO", F413="SEM RECOMENDAÇÃO"), "NÃO RECOMENDOU", "ERROU"))), "")</f>
        <v/>
      </c>
      <c r="H413" s="20">
        <f>IFERROR(INDEX([1]reposta_chat!$A$2:$A$121, MATCH(_xlfn.CONCAT("*#",[1]analise_resposta!A413,"*"), [1]reposta_chat!$C$2:$C$121, 0)), "")</f>
        <v/>
      </c>
      <c r="I413" s="20">
        <f>IFERROR(INDEX([1]reposta_chat!$B$2:$B$121, MATCH(_xlfn.CONCAT("*#",[1]analise_resposta!A413,"*"), [1]reposta_chat!$C$2:$C$121, 0)), "")</f>
        <v/>
      </c>
      <c r="J413" s="20">
        <f>IF(H413&lt;&gt;"", IF(AND(C413=H413, D413=I413), "ACERTOU", IF(OR(C413=H413, D413=I413, C413=I413, D413=H413), "PARCIALMENTE", IF(OR(H413="Não há recomendação", I413="Não há recomendação", H413="SEM RECOMENDAÇÃO", I413="SEM RECOMENDAÇÃO"), "NÃO RECOMENDOU", "ERROU"))), "")</f>
        <v/>
      </c>
      <c r="K413" s="21">
        <f>IFERROR(INDEX([1]resposta_rag!$A$2:$A$33, MATCH(_xlfn.CONCAT("*#",[1]analise_resposta!A413,"*"), [1]resposta_rag!$C$2:$C$33, 0)), "")</f>
        <v/>
      </c>
      <c r="L413" s="21" t="n"/>
      <c r="M413" s="21">
        <f>IF(K413&lt;&gt;"",IF(AND(K433,D413=I413),"ACERTOU",IF(OR(C413=K413,D413=L413,C413=L413,D413=K413),"PARCIALMENTE","ERROU")),"")</f>
        <v/>
      </c>
      <c r="N413" s="22">
        <f>IFERROR(INDEX([1]respota_rag_adaptativo!$A$2:$A$853, MATCH(_xlfn.CONCAT("*#",[1]analise_resposta!A413,"*"), [1]respota_rag_adaptativo!$C$2:$C$85, 0)), "")</f>
        <v/>
      </c>
      <c r="O413" s="22" t="n"/>
      <c r="P413" s="22">
        <f>IF(N413&lt;&gt;"", IF(AND(C413=N413, D413=O413), "ACERTOU", IF(OR(C413=N413, D413=O413, C413=O413, D413=N413), "PARCIALMENTE", IF(OR(N413="Não há recomendação", O413="Não há recomendação", N413="SEM RECOMENDAÇÃO", O413="SEM RECOMENDAÇÃO"), "NÃO RECOMENDOU", "ERROU"))), "")</f>
        <v/>
      </c>
      <c r="Q413" s="23">
        <f>IFERROR(INDEX([1]resposta_plan_exec!$A$2:$A$121, MATCH(_xlfn.CONCAT("*",[1]analise_resposta!A413,"*"), [1]resposta_plan_exec!$C$2:$C$121, 0)), "")</f>
        <v/>
      </c>
      <c r="R413" s="23">
        <f>IF([1]analise_resposta!A413="", "",
    _xlfn.LET(_xlpm.resultado, IFERROR(INDEX([1]resposta_plan_exec!$B$2:$B$121,
                           MATCH(_xlfn.CONCAT("*", [1]analise_resposta!A413, "*"),
                                   [1]resposta_plan_exec!$C$2:$C$121, 0)), ""),
        IF(_xlpm.resultado="", "", _xlpm.resultado)))</f>
        <v/>
      </c>
      <c r="S413" s="23" t="n"/>
    </row>
    <row r="414">
      <c r="A414" t="n">
        <v>3499</v>
      </c>
      <c r="B414" s="3" t="inlineStr">
        <is>
          <t>Problema com Falha de Pagamento para Assinatura do Microsoft Office 365</t>
        </is>
      </c>
      <c r="C414" s="3" t="inlineStr">
        <is>
          <t>Gerenciamento Financeiro</t>
        </is>
      </c>
      <c r="D414" s="3" t="inlineStr">
        <is>
          <t>Gerenciamento de Incidentes</t>
        </is>
      </c>
      <c r="F414" s="5">
        <f>IFERROR(INDEX([1]resposta_chat_stream!$B$2:$B$34, MATCH(_xlfn.CONCAT("*#",[1]analise_resposta!A414,"*"), [1]resposta_chat_stream!$C$2:$C$34, 0)), "")</f>
        <v/>
      </c>
      <c r="G414" s="6">
        <f>IF(E414&lt;&gt;"", IF(AND(C414=E414, D414=F414), "ACERTOU", IF(OR(C414=E414, D414=F414, C414=F414, D414=E414), "PARCIALMENTE", IF(OR(E414="Não há recomendação", F414="Não há recomendação", E414="SEM RECOMENDAÇÃO", F414="SEM RECOMENDAÇÃO"), "NÃO RECOMENDOU", "ERROU"))), "")</f>
        <v/>
      </c>
      <c r="H414" s="20">
        <f>IFERROR(INDEX([1]reposta_chat!$A$2:$A$121, MATCH(_xlfn.CONCAT("*#",[1]analise_resposta!A414,"*"), [1]reposta_chat!$C$2:$C$121, 0)), "")</f>
        <v/>
      </c>
      <c r="I414" s="20">
        <f>IFERROR(INDEX([1]reposta_chat!$B$2:$B$121, MATCH(_xlfn.CONCAT("*#",[1]analise_resposta!A414,"*"), [1]reposta_chat!$C$2:$C$121, 0)), "")</f>
        <v/>
      </c>
      <c r="J414" s="20">
        <f>IF(H414&lt;&gt;"", IF(AND(C414=H414, D414=I414), "ACERTOU", IF(OR(C414=H414, D414=I414, C414=I414, D414=H414), "PARCIALMENTE", IF(OR(H414="Não há recomendação", I414="Não há recomendação", H414="SEM RECOMENDAÇÃO", I414="SEM RECOMENDAÇÃO"), "NÃO RECOMENDOU", "ERROU"))), "")</f>
        <v/>
      </c>
      <c r="K414" s="21">
        <f>IFERROR(INDEX([1]resposta_rag!$A$2:$A$33, MATCH(_xlfn.CONCAT("*#",[1]analise_resposta!A414,"*"), [1]resposta_rag!$C$2:$C$33, 0)), "")</f>
        <v/>
      </c>
      <c r="L414" s="21" t="n"/>
      <c r="M414" s="21">
        <f>IF(K414&lt;&gt;"",IF(AND(K434,D414=I414),"ACERTOU",IF(OR(C414=K414,D414=L414,C414=L414,D414=K414),"PARCIALMENTE","ERROU")),"")</f>
        <v/>
      </c>
      <c r="N414" s="22">
        <f>IFERROR(INDEX([1]respota_rag_adaptativo!$A$2:$A$853, MATCH(_xlfn.CONCAT("*#",[1]analise_resposta!A414,"*"), [1]respota_rag_adaptativo!$C$2:$C$85, 0)), "")</f>
        <v/>
      </c>
      <c r="O414" s="22" t="n"/>
      <c r="P414" s="22">
        <f>IF(N414&lt;&gt;"", IF(AND(C414=N414, D414=O414), "ACERTOU", IF(OR(C414=N414, D414=O414, C414=O414, D414=N414), "PARCIALMENTE", IF(OR(N414="Não há recomendação", O414="Não há recomendação", N414="SEM RECOMENDAÇÃO", O414="SEM RECOMENDAÇÃO"), "NÃO RECOMENDOU", "ERROU"))), "")</f>
        <v/>
      </c>
      <c r="Q414" s="23">
        <f>IFERROR(INDEX([1]resposta_plan_exec!$A$2:$A$121, MATCH(_xlfn.CONCAT("*",[1]analise_resposta!A414,"*"), [1]resposta_plan_exec!$C$2:$C$121, 0)), "")</f>
        <v/>
      </c>
      <c r="R414" s="23">
        <f>IF([1]analise_resposta!A414="", "",
    _xlfn.LET(_xlpm.resultado, IFERROR(INDEX([1]resposta_plan_exec!$B$2:$B$121,
                           MATCH(_xlfn.CONCAT("*", [1]analise_resposta!A414, "*"),
                                   [1]resposta_plan_exec!$C$2:$C$121, 0)), ""),
        IF(_xlpm.resultado="", "", _xlpm.resultado)))</f>
        <v/>
      </c>
      <c r="S414" s="23" t="n"/>
    </row>
    <row r="415">
      <c r="A415" t="n">
        <v>3505</v>
      </c>
      <c r="B415" s="3" t="inlineStr">
        <is>
          <t>Urgente: Problema de desligamento inesperado com MacBook Air M1</t>
        </is>
      </c>
      <c r="C415" s="3" t="inlineStr">
        <is>
          <t>Gerenciamento de Incidentes</t>
        </is>
      </c>
      <c r="D415" s="3" t="inlineStr">
        <is>
          <t>Gerenciamento de Ativos de TI</t>
        </is>
      </c>
      <c r="F415" s="5">
        <f>IFERROR(INDEX([1]resposta_chat_stream!$B$2:$B$34, MATCH(_xlfn.CONCAT("*#",[1]analise_resposta!A415,"*"), [1]resposta_chat_stream!$C$2:$C$34, 0)), "")</f>
        <v/>
      </c>
      <c r="G415" s="6">
        <f>IF(E415&lt;&gt;"", IF(AND(C415=E415, D415=F415), "ACERTOU", IF(OR(C415=E415, D415=F415, C415=F415, D415=E415), "PARCIALMENTE", IF(OR(E415="Não há recomendação", F415="Não há recomendação", E415="SEM RECOMENDAÇÃO", F415="SEM RECOMENDAÇÃO"), "NÃO RECOMENDOU", "ERROU"))), "")</f>
        <v/>
      </c>
      <c r="H415" s="20">
        <f>IFERROR(INDEX([1]reposta_chat!$A$2:$A$121, MATCH(_xlfn.CONCAT("*#",[1]analise_resposta!A415,"*"), [1]reposta_chat!$C$2:$C$121, 0)), "")</f>
        <v/>
      </c>
      <c r="I415" s="20">
        <f>IFERROR(INDEX([1]reposta_chat!$B$2:$B$121, MATCH(_xlfn.CONCAT("*#",[1]analise_resposta!A415,"*"), [1]reposta_chat!$C$2:$C$121, 0)), "")</f>
        <v/>
      </c>
      <c r="J415" s="20">
        <f>IF(H415&lt;&gt;"", IF(AND(C415=H415, D415=I415), "ACERTOU", IF(OR(C415=H415, D415=I415, C415=I415, D415=H415), "PARCIALMENTE", IF(OR(H415="Não há recomendação", I415="Não há recomendação", H415="SEM RECOMENDAÇÃO", I415="SEM RECOMENDAÇÃO"), "NÃO RECOMENDOU", "ERROU"))), "")</f>
        <v/>
      </c>
      <c r="K415" s="21">
        <f>IFERROR(INDEX([1]resposta_rag!$A$2:$A$33, MATCH(_xlfn.CONCAT("*#",[1]analise_resposta!A415,"*"), [1]resposta_rag!$C$2:$C$33, 0)), "")</f>
        <v/>
      </c>
      <c r="L415" s="21" t="n"/>
      <c r="M415" s="21">
        <f>IF(K415&lt;&gt;"",IF(AND(K435,D415=I415),"ACERTOU",IF(OR(C415=K415,D415=L415,C415=L415,D415=K415),"PARCIALMENTE","ERROU")),"")</f>
        <v/>
      </c>
      <c r="N415" s="22">
        <f>IFERROR(INDEX([1]respota_rag_adaptativo!$A$2:$A$853, MATCH(_xlfn.CONCAT("*#",[1]analise_resposta!A415,"*"), [1]respota_rag_adaptativo!$C$2:$C$85, 0)), "")</f>
        <v/>
      </c>
      <c r="O415" s="22" t="n"/>
      <c r="P415" s="22">
        <f>IF(N415&lt;&gt;"", IF(AND(C415=N415, D415=O415), "ACERTOU", IF(OR(C415=N415, D415=O415, C415=O415, D415=N415), "PARCIALMENTE", IF(OR(N415="Não há recomendação", O415="Não há recomendação", N415="SEM RECOMENDAÇÃO", O415="SEM RECOMENDAÇÃO"), "NÃO RECOMENDOU", "ERROU"))), "")</f>
        <v/>
      </c>
      <c r="Q415" s="23">
        <f>IFERROR(INDEX([1]resposta_plan_exec!$A$2:$A$121, MATCH(_xlfn.CONCAT("*",[1]analise_resposta!A415,"*"), [1]resposta_plan_exec!$C$2:$C$121, 0)), "")</f>
        <v/>
      </c>
      <c r="R415" s="23">
        <f>IF([1]analise_resposta!A415="", "",
    _xlfn.LET(_xlpm.resultado, IFERROR(INDEX([1]resposta_plan_exec!$B$2:$B$121,
                           MATCH(_xlfn.CONCAT("*", [1]analise_resposta!A415, "*"),
                                   [1]resposta_plan_exec!$C$2:$C$121, 0)), ""),
        IF(_xlpm.resultado="", "", _xlpm.resultado)))</f>
        <v/>
      </c>
      <c r="S415" s="23" t="n"/>
    </row>
    <row r="416">
      <c r="A416" t="n">
        <v>3514</v>
      </c>
      <c r="B416" s="3" t="inlineStr">
        <is>
          <t>Incidente de alta prioridade</t>
        </is>
      </c>
      <c r="C416" s="3" t="inlineStr">
        <is>
          <t>Gerenciamento de Incidentes</t>
        </is>
      </c>
      <c r="D416" s="3" t="inlineStr">
        <is>
          <t>Gerenciamento de Problemas</t>
        </is>
      </c>
      <c r="F416" s="5">
        <f>IFERROR(INDEX([1]resposta_chat_stream!$B$2:$B$34, MATCH(_xlfn.CONCAT("*#",[1]analise_resposta!A416,"*"), [1]resposta_chat_stream!$C$2:$C$34, 0)), "")</f>
        <v/>
      </c>
      <c r="G416" s="6">
        <f>IF(E416&lt;&gt;"", IF(AND(C416=E416, D416=F416), "ACERTOU", IF(OR(C416=E416, D416=F416, C416=F416, D416=E416), "PARCIALMENTE", IF(OR(E416="Não há recomendação", F416="Não há recomendação", E416="SEM RECOMENDAÇÃO", F416="SEM RECOMENDAÇÃO"), "NÃO RECOMENDOU", "ERROU"))), "")</f>
        <v/>
      </c>
      <c r="H416" s="20">
        <f>IFERROR(INDEX([1]reposta_chat!$A$2:$A$121, MATCH(_xlfn.CONCAT("*#",[1]analise_resposta!A416,"*"), [1]reposta_chat!$C$2:$C$121, 0)), "")</f>
        <v/>
      </c>
      <c r="I416" s="20">
        <f>IFERROR(INDEX([1]reposta_chat!$B$2:$B$121, MATCH(_xlfn.CONCAT("*#",[1]analise_resposta!A416,"*"), [1]reposta_chat!$C$2:$C$121, 0)), "")</f>
        <v/>
      </c>
      <c r="J416" s="20">
        <f>IF(H416&lt;&gt;"", IF(AND(C416=H416, D416=I416), "ACERTOU", IF(OR(C416=H416, D416=I416, C416=I416, D416=H416), "PARCIALMENTE", IF(OR(H416="Não há recomendação", I416="Não há recomendação", H416="SEM RECOMENDAÇÃO", I416="SEM RECOMENDAÇÃO"), "NÃO RECOMENDOU", "ERROU"))), "")</f>
        <v/>
      </c>
      <c r="K416" s="21">
        <f>IFERROR(INDEX([1]resposta_rag!$A$2:$A$33, MATCH(_xlfn.CONCAT("*#",[1]analise_resposta!A416,"*"), [1]resposta_rag!$C$2:$C$33, 0)), "")</f>
        <v/>
      </c>
      <c r="L416" s="21" t="n"/>
      <c r="M416" s="21">
        <f>IF(K416&lt;&gt;"",IF(AND(K436,D416=I416),"ACERTOU",IF(OR(C416=K416,D416=L416,C416=L416,D416=K416),"PARCIALMENTE","ERROU")),"")</f>
        <v/>
      </c>
      <c r="N416" s="22">
        <f>IFERROR(INDEX([1]respota_rag_adaptativo!$A$2:$A$853, MATCH(_xlfn.CONCAT("*#",[1]analise_resposta!A416,"*"), [1]respota_rag_adaptativo!$C$2:$C$85, 0)), "")</f>
        <v/>
      </c>
      <c r="O416" s="22" t="n"/>
      <c r="P416" s="22">
        <f>IF(N416&lt;&gt;"", IF(AND(C416=N416, D416=O416), "ACERTOU", IF(OR(C416=N416, D416=O416, C416=O416, D416=N416), "PARCIALMENTE", IF(OR(N416="Não há recomendação", O416="Não há recomendação", N416="SEM RECOMENDAÇÃO", O416="SEM RECOMENDAÇÃO"), "NÃO RECOMENDOU", "ERROU"))), "")</f>
        <v/>
      </c>
      <c r="Q416" s="23">
        <f>IFERROR(INDEX([1]resposta_plan_exec!$A$2:$A$121, MATCH(_xlfn.CONCAT("*",[1]analise_resposta!A416,"*"), [1]resposta_plan_exec!$C$2:$C$121, 0)), "")</f>
        <v/>
      </c>
      <c r="R416" s="23">
        <f>IF([1]analise_resposta!A416="", "",
    _xlfn.LET(_xlpm.resultado, IFERROR(INDEX([1]resposta_plan_exec!$B$2:$B$121,
                           MATCH(_xlfn.CONCAT("*", [1]analise_resposta!A416, "*"),
                                   [1]resposta_plan_exec!$C$2:$C$121, 0)), ""),
        IF(_xlpm.resultado="", "", _xlpm.resultado)))</f>
        <v/>
      </c>
      <c r="S416" s="23" t="n"/>
    </row>
    <row r="417">
      <c r="A417" t="n">
        <v>3517</v>
      </c>
      <c r="B417" s="3" t="inlineStr">
        <is>
          <t>Urgente: Interrupção de Serviço da AWS</t>
        </is>
      </c>
      <c r="C417" s="3" t="inlineStr">
        <is>
          <t>Gerenciamento de Incidentes</t>
        </is>
      </c>
      <c r="D417" s="3" t="inlineStr">
        <is>
          <t>Gerenciamento de Disponibilidade</t>
        </is>
      </c>
      <c r="F417" s="5">
        <f>IFERROR(INDEX([1]resposta_chat_stream!$B$2:$B$34, MATCH(_xlfn.CONCAT("*#",[1]analise_resposta!A417,"*"), [1]resposta_chat_stream!$C$2:$C$34, 0)), "")</f>
        <v/>
      </c>
      <c r="G417" s="6">
        <f>IF(E417&lt;&gt;"", IF(AND(C417=E417, D417=F417), "ACERTOU", IF(OR(C417=E417, D417=F417, C417=F417, D417=E417), "PARCIALMENTE", IF(OR(E417="Não há recomendação", F417="Não há recomendação", E417="SEM RECOMENDAÇÃO", F417="SEM RECOMENDAÇÃO"), "NÃO RECOMENDOU", "ERROU"))), "")</f>
        <v/>
      </c>
      <c r="H417" s="20">
        <f>IFERROR(INDEX([1]reposta_chat!$A$2:$A$121, MATCH(_xlfn.CONCAT("*#",[1]analise_resposta!A417,"*"), [1]reposta_chat!$C$2:$C$121, 0)), "")</f>
        <v/>
      </c>
      <c r="I417" s="20">
        <f>IFERROR(INDEX([1]reposta_chat!$B$2:$B$121, MATCH(_xlfn.CONCAT("*#",[1]analise_resposta!A417,"*"), [1]reposta_chat!$C$2:$C$121, 0)), "")</f>
        <v/>
      </c>
      <c r="J417" s="20">
        <f>IF(H417&lt;&gt;"", IF(AND(C417=H417, D417=I417), "ACERTOU", IF(OR(C417=H417, D417=I417, C417=I417, D417=H417), "PARCIALMENTE", IF(OR(H417="Não há recomendação", I417="Não há recomendação", H417="SEM RECOMENDAÇÃO", I417="SEM RECOMENDAÇÃO"), "NÃO RECOMENDOU", "ERROU"))), "")</f>
        <v/>
      </c>
      <c r="K417" s="21">
        <f>IFERROR(INDEX([1]resposta_rag!$A$2:$A$33, MATCH(_xlfn.CONCAT("*#",[1]analise_resposta!A417,"*"), [1]resposta_rag!$C$2:$C$33, 0)), "")</f>
        <v/>
      </c>
      <c r="L417" s="21" t="n"/>
      <c r="M417" s="21">
        <f>IF(K417&lt;&gt;"",IF(AND(K437,D417=I417),"ACERTOU",IF(OR(C417=K417,D417=L417,C417=L417,D417=K417),"PARCIALMENTE","ERROU")),"")</f>
        <v/>
      </c>
      <c r="N417" s="22">
        <f>IFERROR(INDEX([1]respota_rag_adaptativo!$A$2:$A$853, MATCH(_xlfn.CONCAT("*#",[1]analise_resposta!A417,"*"), [1]respota_rag_adaptativo!$C$2:$C$85, 0)), "")</f>
        <v/>
      </c>
      <c r="O417" s="22" t="n"/>
      <c r="P417" s="22">
        <f>IF(N417&lt;&gt;"", IF(AND(C417=N417, D417=O417), "ACERTOU", IF(OR(C417=N417, D417=O417, C417=O417, D417=N417), "PARCIALMENTE", IF(OR(N417="Não há recomendação", O417="Não há recomendação", N417="SEM RECOMENDAÇÃO", O417="SEM RECOMENDAÇÃO"), "NÃO RECOMENDOU", "ERROU"))), "")</f>
        <v/>
      </c>
      <c r="Q417" s="23">
        <f>IFERROR(INDEX([1]resposta_plan_exec!$A$2:$A$121, MATCH(_xlfn.CONCAT("*",[1]analise_resposta!A417,"*"), [1]resposta_plan_exec!$C$2:$C$121, 0)), "")</f>
        <v/>
      </c>
      <c r="R417" s="23">
        <f>IF([1]analise_resposta!A417="", "",
    _xlfn.LET(_xlpm.resultado, IFERROR(INDEX([1]resposta_plan_exec!$B$2:$B$121,
                           MATCH(_xlfn.CONCAT("*", [1]analise_resposta!A417, "*"),
                                   [1]resposta_plan_exec!$C$2:$C$121, 0)), ""),
        IF(_xlpm.resultado="", "", _xlpm.resultado)))</f>
        <v/>
      </c>
      <c r="S417" s="23" t="n"/>
    </row>
    <row r="418">
      <c r="A418" t="n">
        <v>3522</v>
      </c>
      <c r="B418" s="3" t="inlineStr">
        <is>
          <t>Problema de Cobrança: Cobranças Incorretas na Assinatura</t>
        </is>
      </c>
      <c r="C418" s="3" t="inlineStr">
        <is>
          <t>Gerenciamento Financeiro</t>
        </is>
      </c>
      <c r="D418" s="3" t="inlineStr">
        <is>
          <t>Gerenciamento de Incidentes</t>
        </is>
      </c>
      <c r="F418" s="5">
        <f>IFERROR(INDEX([1]resposta_chat_stream!$B$2:$B$34, MATCH(_xlfn.CONCAT("*#",[1]analise_resposta!A418,"*"), [1]resposta_chat_stream!$C$2:$C$34, 0)), "")</f>
        <v/>
      </c>
      <c r="G418" s="6">
        <f>IF(E418&lt;&gt;"", IF(AND(C418=E418, D418=F418), "ACERTOU", IF(OR(C418=E418, D418=F418, C418=F418, D418=E418), "PARCIALMENTE", IF(OR(E418="Não há recomendação", F418="Não há recomendação", E418="SEM RECOMENDAÇÃO", F418="SEM RECOMENDAÇÃO"), "NÃO RECOMENDOU", "ERROU"))), "")</f>
        <v/>
      </c>
      <c r="H418" s="20">
        <f>IFERROR(INDEX([1]reposta_chat!$A$2:$A$121, MATCH(_xlfn.CONCAT("*#",[1]analise_resposta!A418,"*"), [1]reposta_chat!$C$2:$C$121, 0)), "")</f>
        <v/>
      </c>
      <c r="I418" s="20">
        <f>IFERROR(INDEX([1]reposta_chat!$B$2:$B$121, MATCH(_xlfn.CONCAT("*#",[1]analise_resposta!A418,"*"), [1]reposta_chat!$C$2:$C$121, 0)), "")</f>
        <v/>
      </c>
      <c r="J418" s="20">
        <f>IF(H418&lt;&gt;"", IF(AND(C418=H418, D418=I418), "ACERTOU", IF(OR(C418=H418, D418=I418, C418=I418, D418=H418), "PARCIALMENTE", IF(OR(H418="Não há recomendação", I418="Não há recomendação", H418="SEM RECOMENDAÇÃO", I418="SEM RECOMENDAÇÃO"), "NÃO RECOMENDOU", "ERROU"))), "")</f>
        <v/>
      </c>
      <c r="K418" s="21">
        <f>IFERROR(INDEX([1]resposta_rag!$A$2:$A$33, MATCH(_xlfn.CONCAT("*#",[1]analise_resposta!A418,"*"), [1]resposta_rag!$C$2:$C$33, 0)), "")</f>
        <v/>
      </c>
      <c r="L418" s="21" t="n"/>
      <c r="M418" s="21">
        <f>IF(K418&lt;&gt;"",IF(AND(K438,D418=I418),"ACERTOU",IF(OR(C418=K418,D418=L418,C418=L418,D418=K418),"PARCIALMENTE","ERROU")),"")</f>
        <v/>
      </c>
      <c r="N418" s="22">
        <f>IFERROR(INDEX([1]respota_rag_adaptativo!$A$2:$A$853, MATCH(_xlfn.CONCAT("*#",[1]analise_resposta!A418,"*"), [1]respota_rag_adaptativo!$C$2:$C$85, 0)), "")</f>
        <v/>
      </c>
      <c r="O418" s="22" t="n"/>
      <c r="P418" s="22">
        <f>IF(N418&lt;&gt;"", IF(AND(C418=N418, D418=O418), "ACERTOU", IF(OR(C418=N418, D418=O418, C418=O418, D418=N418), "PARCIALMENTE", IF(OR(N418="Não há recomendação", O418="Não há recomendação", N418="SEM RECOMENDAÇÃO", O418="SEM RECOMENDAÇÃO"), "NÃO RECOMENDOU", "ERROU"))), "")</f>
        <v/>
      </c>
      <c r="Q418" s="23">
        <f>IFERROR(INDEX([1]resposta_plan_exec!$A$2:$A$121, MATCH(_xlfn.CONCAT("*",[1]analise_resposta!A418,"*"), [1]resposta_plan_exec!$C$2:$C$121, 0)), "")</f>
        <v/>
      </c>
      <c r="R418" s="23">
        <f>IF([1]analise_resposta!A418="", "",
    _xlfn.LET(_xlpm.resultado, IFERROR(INDEX([1]resposta_plan_exec!$B$2:$B$121,
                           MATCH(_xlfn.CONCAT("*", [1]analise_resposta!A418, "*"),
                                   [1]resposta_plan_exec!$C$2:$C$121, 0)), ""),
        IF(_xlpm.resultado="", "", _xlpm.resultado)))</f>
        <v/>
      </c>
      <c r="S418" s="23" t="n"/>
    </row>
    <row r="419">
      <c r="A419" t="n">
        <v>3528</v>
      </c>
      <c r="B419" s="3" t="inlineStr">
        <is>
          <t>Assistência Necessária para Problema de Tela do Dell XPS 13</t>
        </is>
      </c>
      <c r="C419" s="3" t="inlineStr">
        <is>
          <t>Gerenciamento de Incidentes</t>
        </is>
      </c>
      <c r="D419" s="3" t="inlineStr">
        <is>
          <t>Gerenciamento de Problemas</t>
        </is>
      </c>
      <c r="F419" s="5">
        <f>IFERROR(INDEX([1]resposta_chat_stream!$B$2:$B$34, MATCH(_xlfn.CONCAT("*#",[1]analise_resposta!A419,"*"), [1]resposta_chat_stream!$C$2:$C$34, 0)), "")</f>
        <v/>
      </c>
      <c r="G419" s="6">
        <f>IF(E419&lt;&gt;"", IF(AND(C419=E419, D419=F419), "ACERTOU", IF(OR(C419=E419, D419=F419, C419=F419, D419=E419), "PARCIALMENTE", IF(OR(E419="Não há recomendação", F419="Não há recomendação", E419="SEM RECOMENDAÇÃO", F419="SEM RECOMENDAÇÃO"), "NÃO RECOMENDOU", "ERROU"))), "")</f>
        <v/>
      </c>
      <c r="H419" s="20">
        <f>IFERROR(INDEX([1]reposta_chat!$A$2:$A$121, MATCH(_xlfn.CONCAT("*#",[1]analise_resposta!A419,"*"), [1]reposta_chat!$C$2:$C$121, 0)), "")</f>
        <v/>
      </c>
      <c r="I419" s="20">
        <f>IFERROR(INDEX([1]reposta_chat!$B$2:$B$121, MATCH(_xlfn.CONCAT("*#",[1]analise_resposta!A419,"*"), [1]reposta_chat!$C$2:$C$121, 0)), "")</f>
        <v/>
      </c>
      <c r="J419" s="20">
        <f>IF(H419&lt;&gt;"", IF(AND(C419=H419, D419=I419), "ACERTOU", IF(OR(C419=H419, D419=I419, C419=I419, D419=H419), "PARCIALMENTE", IF(OR(H419="Não há recomendação", I419="Não há recomendação", H419="SEM RECOMENDAÇÃO", I419="SEM RECOMENDAÇÃO"), "NÃO RECOMENDOU", "ERROU"))), "")</f>
        <v/>
      </c>
      <c r="K419" s="21">
        <f>IFERROR(INDEX([1]resposta_rag!$A$2:$A$33, MATCH(_xlfn.CONCAT("*#",[1]analise_resposta!A419,"*"), [1]resposta_rag!$C$2:$C$33, 0)), "")</f>
        <v/>
      </c>
      <c r="L419" s="21" t="n"/>
      <c r="M419" s="21">
        <f>IF(K419&lt;&gt;"",IF(AND(K439,D419=I419),"ACERTOU",IF(OR(C419=K419,D419=L419,C419=L419,D419=K419),"PARCIALMENTE","ERROU")),"")</f>
        <v/>
      </c>
      <c r="N419" s="22">
        <f>IFERROR(INDEX([1]respota_rag_adaptativo!$A$2:$A$853, MATCH(_xlfn.CONCAT("*#",[1]analise_resposta!A419,"*"), [1]respota_rag_adaptativo!$C$2:$C$85, 0)), "")</f>
        <v/>
      </c>
      <c r="O419" s="22" t="n"/>
      <c r="P419" s="22">
        <f>IF(N419&lt;&gt;"", IF(AND(C419=N419, D419=O419), "ACERTOU", IF(OR(C419=N419, D419=O419, C419=O419, D419=N419), "PARCIALMENTE", IF(OR(N419="Não há recomendação", O419="Não há recomendação", N419="SEM RECOMENDAÇÃO", O419="SEM RECOMENDAÇÃO"), "NÃO RECOMENDOU", "ERROU"))), "")</f>
        <v/>
      </c>
      <c r="Q419" s="23">
        <f>IFERROR(INDEX([1]resposta_plan_exec!$A$2:$A$121, MATCH(_xlfn.CONCAT("*",[1]analise_resposta!A419,"*"), [1]resposta_plan_exec!$C$2:$C$121, 0)), "")</f>
        <v/>
      </c>
      <c r="R419" s="23">
        <f>IF([1]analise_resposta!A419="", "",
    _xlfn.LET(_xlpm.resultado, IFERROR(INDEX([1]resposta_plan_exec!$B$2:$B$121,
                           MATCH(_xlfn.CONCAT("*", [1]analise_resposta!A419, "*"),
                                   [1]resposta_plan_exec!$C$2:$C$121, 0)), ""),
        IF(_xlpm.resultado="", "", _xlpm.resultado)))</f>
        <v/>
      </c>
      <c r="S419" s="23" t="n"/>
    </row>
    <row r="420">
      <c r="A420" t="n">
        <v>3530</v>
      </c>
      <c r="B420" s="3" t="inlineStr">
        <is>
          <t>Problemas com a impressora HP DeskJet 3755</t>
        </is>
      </c>
      <c r="C420" s="3" t="inlineStr">
        <is>
          <t>Gerenciamento de Incidentes</t>
        </is>
      </c>
      <c r="D420" s="3" t="inlineStr">
        <is>
          <t>Gerenciamento de Problemas</t>
        </is>
      </c>
      <c r="F420" s="5">
        <f>IFERROR(INDEX([1]resposta_chat_stream!$B$2:$B$34, MATCH(_xlfn.CONCAT("*#",[1]analise_resposta!A420,"*"), [1]resposta_chat_stream!$C$2:$C$34, 0)), "")</f>
        <v/>
      </c>
      <c r="G420" s="6">
        <f>IF(E420&lt;&gt;"", IF(AND(C420=E420, D420=F420), "ACERTOU", IF(OR(C420=E420, D420=F420, C420=F420, D420=E420), "PARCIALMENTE", IF(OR(E420="Não há recomendação", F420="Não há recomendação", E420="SEM RECOMENDAÇÃO", F420="SEM RECOMENDAÇÃO"), "NÃO RECOMENDOU", "ERROU"))), "")</f>
        <v/>
      </c>
      <c r="H420" s="20">
        <f>IFERROR(INDEX([1]reposta_chat!$A$2:$A$121, MATCH(_xlfn.CONCAT("*#",[1]analise_resposta!A420,"*"), [1]reposta_chat!$C$2:$C$121, 0)), "")</f>
        <v/>
      </c>
      <c r="I420" s="20">
        <f>IFERROR(INDEX([1]reposta_chat!$B$2:$B$121, MATCH(_xlfn.CONCAT("*#",[1]analise_resposta!A420,"*"), [1]reposta_chat!$C$2:$C$121, 0)), "")</f>
        <v/>
      </c>
      <c r="J420" s="20">
        <f>IF(H420&lt;&gt;"", IF(AND(C420=H420, D420=I420), "ACERTOU", IF(OR(C420=H420, D420=I420, C420=I420, D420=H420), "PARCIALMENTE", IF(OR(H420="Não há recomendação", I420="Não há recomendação", H420="SEM RECOMENDAÇÃO", I420="SEM RECOMENDAÇÃO"), "NÃO RECOMENDOU", "ERROU"))), "")</f>
        <v/>
      </c>
      <c r="K420" s="21">
        <f>IFERROR(INDEX([1]resposta_rag!$A$2:$A$33, MATCH(_xlfn.CONCAT("*#",[1]analise_resposta!A420,"*"), [1]resposta_rag!$C$2:$C$33, 0)), "")</f>
        <v/>
      </c>
      <c r="L420" s="21" t="n"/>
      <c r="M420" s="21">
        <f>IF(K420&lt;&gt;"",IF(AND(K440,D420=I420),"ACERTOU",IF(OR(C420=K420,D420=L420,C420=L420,D420=K420),"PARCIALMENTE","ERROU")),"")</f>
        <v/>
      </c>
      <c r="N420" s="22">
        <f>IFERROR(INDEX([1]respota_rag_adaptativo!$A$2:$A$853, MATCH(_xlfn.CONCAT("*#",[1]analise_resposta!A420,"*"), [1]respota_rag_adaptativo!$C$2:$C$85, 0)), "")</f>
        <v/>
      </c>
      <c r="O420" s="22">
        <f>IFERROR(INDEX([1]respota_rag_adaptativo!$B$2:$B$853, MATCH(_xlfn.CONCAT("*#",[1]analise_resposta!A420,"*"), [1]respota_rag_adaptativo!$C$2:$C$85, 0)), "")</f>
        <v/>
      </c>
      <c r="P420" s="22">
        <f>IF(N420&lt;&gt;"", IF(AND(C420=N420, D420=O420), "ACERTOU", IF(OR(C420=N420, D420=O420, C420=O420, D420=N420), "PARCIALMENTE", IF(OR(N420="Não há recomendação", O420="Não há recomendação", N420="SEM RECOMENDAÇÃO", O420="SEM RECOMENDAÇÃO"), "NÃO RECOMENDOU", "ERROU"))), "")</f>
        <v/>
      </c>
      <c r="Q420" s="23">
        <f>IFERROR(INDEX([1]resposta_plan_exec!$A$2:$A$121, MATCH(_xlfn.CONCAT("*",[1]analise_resposta!A420,"*"), [1]resposta_plan_exec!$C$2:$C$121, 0)), "")</f>
        <v/>
      </c>
      <c r="R420" s="23">
        <f>IF([1]analise_resposta!A420="", "",
    _xlfn.LET(_xlpm.resultado, IFERROR(INDEX([1]resposta_plan_exec!$B$2:$B$121,
                           MATCH(_xlfn.CONCAT("*", [1]analise_resposta!A420, "*"),
                                   [1]resposta_plan_exec!$C$2:$C$121, 0)), ""),
        IF(_xlpm.resultado="", "", _xlpm.resultado)))</f>
        <v/>
      </c>
      <c r="S420" s="23" t="n"/>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D619"/>
  <sheetViews>
    <sheetView workbookViewId="0">
      <selection activeCell="A1" sqref="A1"/>
    </sheetView>
  </sheetViews>
  <sheetFormatPr baseColWidth="8" defaultRowHeight="15"/>
  <sheetData>
    <row r="1">
      <c r="A1" t="inlineStr">
        <is>
          <t>Prática Principal</t>
        </is>
      </c>
      <c r="B1" t="inlineStr">
        <is>
          <t>Prática Auxiliar</t>
        </is>
      </c>
      <c r="C1" t="inlineStr">
        <is>
          <t>Tickets</t>
        </is>
      </c>
      <c r="D1" t="inlineStr">
        <is>
          <t>origem</t>
        </is>
      </c>
    </row>
    <row r="2">
      <c r="A2" t="inlineStr">
        <is>
          <t>Gerenciamento de Incidentes</t>
        </is>
      </c>
      <c r="B2" t="inlineStr">
        <is>
          <t>Gerenciamento de Problemas</t>
        </is>
      </c>
      <c r="C2" t="inlineStr">
        <is>
          <t>#3</t>
        </is>
      </c>
      <c r="D2" t="inlineStr">
        <is>
          <t>chat</t>
        </is>
      </c>
    </row>
    <row r="3">
      <c r="A3" t="inlineStr">
        <is>
          <t>Gerenciamento de Incidentes</t>
        </is>
      </c>
      <c r="B3" t="inlineStr">
        <is>
          <t>Gerenciamento de Mudanças</t>
        </is>
      </c>
      <c r="C3" t="inlineStr">
        <is>
          <t>#25</t>
        </is>
      </c>
      <c r="D3" t="inlineStr">
        <is>
          <t>chat</t>
        </is>
      </c>
    </row>
    <row r="4">
      <c r="A4" t="inlineStr">
        <is>
          <t>Gerenciamento de Requisição de Serviço</t>
        </is>
      </c>
      <c r="B4" t="inlineStr">
        <is>
          <t>Gerenciamento de Relacionamento</t>
        </is>
      </c>
      <c r="C4" t="inlineStr">
        <is>
          <t>#42</t>
        </is>
      </c>
      <c r="D4" t="inlineStr">
        <is>
          <t>chat</t>
        </is>
      </c>
    </row>
    <row r="5">
      <c r="A5" t="inlineStr">
        <is>
          <t>Gerenciamento de Incidentes</t>
        </is>
      </c>
      <c r="B5" t="inlineStr">
        <is>
          <t>Gerenciamento de Ativos de TI</t>
        </is>
      </c>
      <c r="C5" t="inlineStr">
        <is>
          <t>#57</t>
        </is>
      </c>
      <c r="D5" t="inlineStr">
        <is>
          <t>chat</t>
        </is>
      </c>
    </row>
    <row r="6">
      <c r="A6" t="inlineStr">
        <is>
          <t>Gerenciamento de Configuração de Serviço</t>
        </is>
      </c>
      <c r="B6" t="inlineStr">
        <is>
          <t>Gerenciamento de Ativos de TI</t>
        </is>
      </c>
      <c r="C6" t="inlineStr">
        <is>
          <t>#62</t>
        </is>
      </c>
      <c r="D6" t="inlineStr">
        <is>
          <t>chat</t>
        </is>
      </c>
    </row>
    <row r="7">
      <c r="A7" t="inlineStr">
        <is>
          <t>Gerenciamento Financeiro de Serviços</t>
        </is>
      </c>
      <c r="B7" t="inlineStr">
        <is>
          <t>Gerenciamento de Relacionamento</t>
        </is>
      </c>
      <c r="C7" t="inlineStr">
        <is>
          <t>#77</t>
        </is>
      </c>
      <c r="D7" t="inlineStr">
        <is>
          <t>chat</t>
        </is>
      </c>
    </row>
    <row r="8">
      <c r="A8" t="inlineStr">
        <is>
          <t>Gerenciamento de Disponibilidade</t>
        </is>
      </c>
      <c r="B8" t="inlineStr">
        <is>
          <t>Gerenciamento de Continuidade de Serviço</t>
        </is>
      </c>
      <c r="C8" t="inlineStr">
        <is>
          <t>#87</t>
        </is>
      </c>
      <c r="D8" t="inlineStr">
        <is>
          <t>chat</t>
        </is>
      </c>
    </row>
    <row r="9">
      <c r="A9" t="inlineStr">
        <is>
          <t>Gerenciamento de Requisição de Serviço</t>
        </is>
      </c>
      <c r="B9" t="inlineStr">
        <is>
          <t>Gerenciamento Financeiro de Serviços</t>
        </is>
      </c>
      <c r="C9" t="inlineStr">
        <is>
          <t>#98</t>
        </is>
      </c>
      <c r="D9" t="inlineStr">
        <is>
          <t>chat</t>
        </is>
      </c>
    </row>
    <row r="10">
      <c r="A10" t="inlineStr">
        <is>
          <t>Gerenciamento de Problemas</t>
        </is>
      </c>
      <c r="B10" t="inlineStr">
        <is>
          <t>Gerenciamento de Capacidade e Desempenho</t>
        </is>
      </c>
      <c r="C10" t="inlineStr">
        <is>
          <t>#104</t>
        </is>
      </c>
      <c r="D10" t="inlineStr">
        <is>
          <t>chat</t>
        </is>
      </c>
    </row>
    <row r="11">
      <c r="A11" t="inlineStr">
        <is>
          <t>Gerenciamento de Problemas</t>
        </is>
      </c>
      <c r="B11" t="inlineStr">
        <is>
          <t>Gerenciamento de Capacidade e Desempenho</t>
        </is>
      </c>
      <c r="C11" t="inlineStr">
        <is>
          <t>#110</t>
        </is>
      </c>
      <c r="D11" t="inlineStr">
        <is>
          <t>chat</t>
        </is>
      </c>
    </row>
    <row r="12">
      <c r="A12" t="inlineStr">
        <is>
          <t>Gerenciamento Financeiro de Serviços</t>
        </is>
      </c>
      <c r="B12" t="inlineStr">
        <is>
          <t>Gerenciamento de Incidentes</t>
        </is>
      </c>
      <c r="C12" t="inlineStr">
        <is>
          <t>#111</t>
        </is>
      </c>
      <c r="D12" t="inlineStr">
        <is>
          <t>chat</t>
        </is>
      </c>
    </row>
    <row r="13">
      <c r="A13" t="inlineStr">
        <is>
          <t>Gerenciamento de Problemas</t>
        </is>
      </c>
      <c r="B13" t="inlineStr">
        <is>
          <t>Gerenciamento de Capacidade e Desempenho</t>
        </is>
      </c>
      <c r="C13" t="inlineStr">
        <is>
          <t>#123</t>
        </is>
      </c>
      <c r="D13" t="inlineStr">
        <is>
          <t>chat</t>
        </is>
      </c>
    </row>
    <row r="14">
      <c r="A14" t="inlineStr">
        <is>
          <t>Gerenciamento de Requisição de Serviço</t>
        </is>
      </c>
      <c r="B14" t="inlineStr">
        <is>
          <t>Gerenciamento de Nível de Serviço</t>
        </is>
      </c>
      <c r="C14" t="inlineStr">
        <is>
          <t>#125</t>
        </is>
      </c>
      <c r="D14" t="inlineStr">
        <is>
          <t>chat</t>
        </is>
      </c>
    </row>
    <row r="15">
      <c r="A15" t="inlineStr">
        <is>
          <t>Gerenciamento de Incidentes</t>
        </is>
      </c>
      <c r="B15" t="inlineStr">
        <is>
          <t>Gerenciamento de Problemas</t>
        </is>
      </c>
      <c r="C15" t="inlineStr">
        <is>
          <t>#123</t>
        </is>
      </c>
      <c r="D15" t="inlineStr">
        <is>
          <t>chat</t>
        </is>
      </c>
    </row>
    <row r="16">
      <c r="A16" t="inlineStr">
        <is>
          <t>Gerenciamento de Requisição de Serviço</t>
        </is>
      </c>
      <c r="B16" t="inlineStr">
        <is>
          <t>Gerenciamento de Nível de Serviço</t>
        </is>
      </c>
      <c r="C16" t="inlineStr">
        <is>
          <t>#125</t>
        </is>
      </c>
      <c r="D16" t="inlineStr">
        <is>
          <t>chat</t>
        </is>
      </c>
    </row>
    <row r="17">
      <c r="A17" t="inlineStr">
        <is>
          <t>Gerenciamento de Incidentes</t>
        </is>
      </c>
      <c r="B17" t="inlineStr">
        <is>
          <t>SEM RECOMENDAÇÃO</t>
        </is>
      </c>
      <c r="C17" t="inlineStr">
        <is>
          <t>#151</t>
        </is>
      </c>
      <c r="D17" t="inlineStr">
        <is>
          <t>chat</t>
        </is>
      </c>
    </row>
    <row r="18">
      <c r="A18" t="inlineStr">
        <is>
          <t>Gerenciamento de Incidentes</t>
        </is>
      </c>
      <c r="B18" t="inlineStr">
        <is>
          <t>Gerenciamento de Nível de Serviço</t>
        </is>
      </c>
      <c r="C18" t="inlineStr">
        <is>
          <t>#162</t>
        </is>
      </c>
      <c r="D18" t="inlineStr">
        <is>
          <t>chat</t>
        </is>
      </c>
    </row>
    <row r="19">
      <c r="A19" t="inlineStr">
        <is>
          <t>Gerenciamento de Incidentes</t>
        </is>
      </c>
      <c r="B19" t="inlineStr">
        <is>
          <t>SEM RECOMENDAÇÃO</t>
        </is>
      </c>
      <c r="C19" t="inlineStr">
        <is>
          <t>#182</t>
        </is>
      </c>
      <c r="D19" t="inlineStr">
        <is>
          <t>chat</t>
        </is>
      </c>
    </row>
    <row r="20">
      <c r="A20" t="inlineStr">
        <is>
          <t>Gerenciamento Financeiro de Serviços</t>
        </is>
      </c>
      <c r="B20" t="inlineStr">
        <is>
          <t>SEM RECOMENDAÇÃO</t>
        </is>
      </c>
      <c r="C20" t="inlineStr">
        <is>
          <t>#183</t>
        </is>
      </c>
      <c r="D20" t="inlineStr">
        <is>
          <t>chat</t>
        </is>
      </c>
    </row>
    <row r="21">
      <c r="A21" t="inlineStr">
        <is>
          <t>Gerenciamento de Incidentes</t>
        </is>
      </c>
      <c r="B21" t="inlineStr">
        <is>
          <t>SEM RECOMENDAÇÃO</t>
        </is>
      </c>
      <c r="C21" t="inlineStr">
        <is>
          <t>#189</t>
        </is>
      </c>
      <c r="D21" t="inlineStr">
        <is>
          <t>chat</t>
        </is>
      </c>
    </row>
    <row r="22">
      <c r="A22" t="inlineStr">
        <is>
          <t>Gerenciamento de Incidentes</t>
        </is>
      </c>
      <c r="B22" t="inlineStr">
        <is>
          <t>SEM RECOMENDAÇÃO</t>
        </is>
      </c>
      <c r="C22" t="inlineStr">
        <is>
          <t>#194</t>
        </is>
      </c>
      <c r="D22" t="inlineStr">
        <is>
          <t>chat</t>
        </is>
      </c>
    </row>
    <row r="23">
      <c r="A23" t="inlineStr">
        <is>
          <t>Gerenciamento de Requisição de Serviço</t>
        </is>
      </c>
      <c r="B23" t="inlineStr">
        <is>
          <t>SEM RECOMENDAÇÃO</t>
        </is>
      </c>
      <c r="C23" t="inlineStr">
        <is>
          <t>#201</t>
        </is>
      </c>
      <c r="D23" t="inlineStr">
        <is>
          <t>chat</t>
        </is>
      </c>
    </row>
    <row r="24">
      <c r="A24" t="inlineStr">
        <is>
          <t>Gerenciamento Financeiro de Serviços</t>
        </is>
      </c>
      <c r="B24" t="inlineStr">
        <is>
          <t>SEM RECOMENDAÇÃO</t>
        </is>
      </c>
      <c r="C24" t="inlineStr">
        <is>
          <t>#203</t>
        </is>
      </c>
      <c r="D24" t="inlineStr">
        <is>
          <t>chat</t>
        </is>
      </c>
    </row>
    <row r="25">
      <c r="A25" t="inlineStr">
        <is>
          <t>Gerenciamento de Requisição de Serviço</t>
        </is>
      </c>
      <c r="B25" t="inlineStr">
        <is>
          <t>SEM RECOMENDAÇÃO</t>
        </is>
      </c>
      <c r="C25" t="inlineStr">
        <is>
          <t>#205</t>
        </is>
      </c>
      <c r="D25" t="inlineStr">
        <is>
          <t>chat</t>
        </is>
      </c>
    </row>
    <row r="26">
      <c r="A26" t="inlineStr">
        <is>
          <t>Gerenciamento de Requisição de Serviço</t>
        </is>
      </c>
      <c r="B26" t="inlineStr">
        <is>
          <t>Gerenciamento de Nível de Serviço</t>
        </is>
      </c>
      <c r="C26" t="inlineStr">
        <is>
          <t>#219</t>
        </is>
      </c>
      <c r="D26" t="inlineStr">
        <is>
          <t>chat</t>
        </is>
      </c>
    </row>
    <row r="27">
      <c r="A27" t="inlineStr">
        <is>
          <t>Gerenciamento de Mudanças</t>
        </is>
      </c>
      <c r="B27" t="inlineStr">
        <is>
          <t>Gerenciamento de Configuração de Serviço</t>
        </is>
      </c>
      <c r="C27" t="inlineStr">
        <is>
          <t>#223</t>
        </is>
      </c>
      <c r="D27" t="inlineStr">
        <is>
          <t>chat</t>
        </is>
      </c>
    </row>
    <row r="28">
      <c r="A28" t="inlineStr">
        <is>
          <t>Gerenciamento de Requisição de Serviço</t>
        </is>
      </c>
      <c r="B28" t="inlineStr">
        <is>
          <t>SEM RECOMENDAÇÃO</t>
        </is>
      </c>
      <c r="C28" t="inlineStr">
        <is>
          <t>#225</t>
        </is>
      </c>
      <c r="D28" t="inlineStr">
        <is>
          <t>chat</t>
        </is>
      </c>
    </row>
    <row r="29">
      <c r="A29" t="inlineStr">
        <is>
          <t>Gerenciamento de Requisição de Serviço</t>
        </is>
      </c>
      <c r="B29" t="inlineStr">
        <is>
          <t>SEM RECOMENDAÇÃO</t>
        </is>
      </c>
      <c r="C29" t="inlineStr">
        <is>
          <t>#228</t>
        </is>
      </c>
      <c r="D29" t="inlineStr">
        <is>
          <t>chat</t>
        </is>
      </c>
    </row>
    <row r="30">
      <c r="A30" t="inlineStr">
        <is>
          <t>Gerenciamento de Acessos</t>
        </is>
      </c>
      <c r="B30" t="inlineStr">
        <is>
          <t>Gerenciamento de Incidentes</t>
        </is>
      </c>
      <c r="C30" t="inlineStr">
        <is>
          <t>#229</t>
        </is>
      </c>
      <c r="D30" t="inlineStr">
        <is>
          <t>chat</t>
        </is>
      </c>
    </row>
    <row r="31">
      <c r="A31" t="inlineStr">
        <is>
          <t>Gerenciamento de Requisição de Serviço</t>
        </is>
      </c>
      <c r="B31" t="inlineStr">
        <is>
          <t>SEM RECOMENDAÇÃO</t>
        </is>
      </c>
      <c r="C31" t="inlineStr">
        <is>
          <t>#230</t>
        </is>
      </c>
      <c r="D31" t="inlineStr">
        <is>
          <t>chat</t>
        </is>
      </c>
    </row>
    <row r="32">
      <c r="A32" t="inlineStr">
        <is>
          <t>Gerenciamento de Incidentes</t>
        </is>
      </c>
      <c r="B32" t="inlineStr">
        <is>
          <t>SEM RECOMENDAÇÃO</t>
        </is>
      </c>
      <c r="C32" t="inlineStr">
        <is>
          <t>#234</t>
        </is>
      </c>
      <c r="D32" t="inlineStr">
        <is>
          <t>chat</t>
        </is>
      </c>
    </row>
    <row r="33">
      <c r="A33" t="inlineStr">
        <is>
          <t>Gerenciamento de Incidentes</t>
        </is>
      </c>
      <c r="B33" t="inlineStr">
        <is>
          <t>Gerenciamento de Problemas</t>
        </is>
      </c>
      <c r="C33" t="inlineStr">
        <is>
          <t>#240</t>
        </is>
      </c>
      <c r="D33" t="inlineStr">
        <is>
          <t>chat</t>
        </is>
      </c>
    </row>
    <row r="34">
      <c r="A34" t="inlineStr">
        <is>
          <t>Gerenciamento de Incidentes</t>
        </is>
      </c>
      <c r="B34" t="inlineStr">
        <is>
          <t>Gerenciamento de Problemas</t>
        </is>
      </c>
      <c r="C34" t="inlineStr">
        <is>
          <t>#151</t>
        </is>
      </c>
      <c r="D34" t="inlineStr">
        <is>
          <t>chat</t>
        </is>
      </c>
    </row>
    <row r="35">
      <c r="A35" t="inlineStr">
        <is>
          <t>Gerenciamento de Incidentes</t>
        </is>
      </c>
      <c r="B35" t="inlineStr">
        <is>
          <t>Gerenciamento de Disponibilidade</t>
        </is>
      </c>
      <c r="C35" t="inlineStr">
        <is>
          <t>#162</t>
        </is>
      </c>
      <c r="D35" t="inlineStr">
        <is>
          <t>chat</t>
        </is>
      </c>
    </row>
    <row r="36">
      <c r="A36" t="inlineStr">
        <is>
          <t>Gerenciamento de Incidentes</t>
        </is>
      </c>
      <c r="B36" t="inlineStr">
        <is>
          <t>Gerenciamento de Problemas</t>
        </is>
      </c>
      <c r="C36" t="inlineStr">
        <is>
          <t>#182</t>
        </is>
      </c>
      <c r="D36" t="inlineStr">
        <is>
          <t>chat</t>
        </is>
      </c>
    </row>
    <row r="37">
      <c r="A37" t="inlineStr">
        <is>
          <t>Gerenciamento Financeiro de Serviços</t>
        </is>
      </c>
      <c r="B37" t="inlineStr">
        <is>
          <t>Gerenciamento de Relacionamento</t>
        </is>
      </c>
      <c r="C37" t="inlineStr">
        <is>
          <t>#183</t>
        </is>
      </c>
      <c r="D37" t="inlineStr">
        <is>
          <t>chat</t>
        </is>
      </c>
    </row>
    <row r="38">
      <c r="A38" t="inlineStr">
        <is>
          <t>Gerenciamento de Incidentes</t>
        </is>
      </c>
      <c r="B38" t="inlineStr">
        <is>
          <t>Gerenciamento de Problemas</t>
        </is>
      </c>
      <c r="C38" t="inlineStr">
        <is>
          <t>#189</t>
        </is>
      </c>
      <c r="D38" t="inlineStr">
        <is>
          <t>chat</t>
        </is>
      </c>
    </row>
    <row r="39">
      <c r="A39" t="inlineStr">
        <is>
          <t>Gerenciamento de Incidentes</t>
        </is>
      </c>
      <c r="B39" t="inlineStr">
        <is>
          <t>Gerenciamento de Problemas</t>
        </is>
      </c>
      <c r="C39" t="inlineStr">
        <is>
          <t>#194</t>
        </is>
      </c>
      <c r="D39" t="inlineStr">
        <is>
          <t>chat</t>
        </is>
      </c>
    </row>
    <row r="40">
      <c r="A40" t="inlineStr">
        <is>
          <t>Gerenciamento de Requisição de Serviço</t>
        </is>
      </c>
      <c r="B40" t="inlineStr">
        <is>
          <t>Gerenciamento de Incidentes</t>
        </is>
      </c>
      <c r="C40" t="inlineStr">
        <is>
          <t>#201</t>
        </is>
      </c>
      <c r="D40" t="inlineStr">
        <is>
          <t>chat</t>
        </is>
      </c>
    </row>
    <row r="41">
      <c r="A41" t="inlineStr">
        <is>
          <t>Gerenciamento Financeiro de Serviços</t>
        </is>
      </c>
      <c r="B41" t="inlineStr">
        <is>
          <t>Gerenciamento de Relacionamento</t>
        </is>
      </c>
      <c r="C41" t="inlineStr">
        <is>
          <t>#203</t>
        </is>
      </c>
      <c r="D41" t="inlineStr">
        <is>
          <t>chat</t>
        </is>
      </c>
    </row>
    <row r="42">
      <c r="A42" t="inlineStr">
        <is>
          <t>Gerenciamento de Requisição de Serviço</t>
        </is>
      </c>
      <c r="B42" t="inlineStr">
        <is>
          <t>SEM RECOMENDAÇÃO</t>
        </is>
      </c>
      <c r="C42" t="inlineStr">
        <is>
          <t>#205</t>
        </is>
      </c>
      <c r="D42" t="inlineStr">
        <is>
          <t>chat</t>
        </is>
      </c>
    </row>
    <row r="43">
      <c r="A43" t="inlineStr">
        <is>
          <t>Gerenciamento de Relacionamento</t>
        </is>
      </c>
      <c r="B43" t="inlineStr">
        <is>
          <t>Gerenciamento de Nível de Serviço</t>
        </is>
      </c>
      <c r="C43" t="inlineStr">
        <is>
          <t>#219</t>
        </is>
      </c>
      <c r="D43" t="inlineStr">
        <is>
          <t>chat</t>
        </is>
      </c>
    </row>
    <row r="44">
      <c r="A44" t="inlineStr">
        <is>
          <t>Gerenciamento de Requisição de Serviço</t>
        </is>
      </c>
      <c r="B44" t="inlineStr">
        <is>
          <t>Gerenciamento de Mudanças</t>
        </is>
      </c>
      <c r="C44" t="inlineStr">
        <is>
          <t>#223</t>
        </is>
      </c>
      <c r="D44" t="inlineStr">
        <is>
          <t>chat</t>
        </is>
      </c>
    </row>
    <row r="45">
      <c r="A45" t="inlineStr">
        <is>
          <t>Gerenciamento de Requisição de Serviço</t>
        </is>
      </c>
      <c r="B45" t="inlineStr">
        <is>
          <t>SEM RECOMENDAÇÃO</t>
        </is>
      </c>
      <c r="C45" t="inlineStr">
        <is>
          <t>#225</t>
        </is>
      </c>
      <c r="D45" t="inlineStr">
        <is>
          <t>chat</t>
        </is>
      </c>
    </row>
    <row r="46">
      <c r="A46" t="inlineStr">
        <is>
          <t>Gerenciamento de Requisição de Serviço</t>
        </is>
      </c>
      <c r="B46" t="inlineStr">
        <is>
          <t>SEM RECOMENDAÇÃO</t>
        </is>
      </c>
      <c r="C46" t="inlineStr">
        <is>
          <t>#228</t>
        </is>
      </c>
      <c r="D46" t="inlineStr">
        <is>
          <t>chat</t>
        </is>
      </c>
    </row>
    <row r="47">
      <c r="A47" t="inlineStr">
        <is>
          <t>Gerenciamento de Incidentes</t>
        </is>
      </c>
      <c r="B47" t="inlineStr">
        <is>
          <t>Gerenciamento de Acessos</t>
        </is>
      </c>
      <c r="C47" t="inlineStr">
        <is>
          <t>#229</t>
        </is>
      </c>
      <c r="D47" t="inlineStr">
        <is>
          <t>chat</t>
        </is>
      </c>
    </row>
    <row r="48">
      <c r="A48" t="inlineStr">
        <is>
          <t>Gerenciamento de Requisição de Serviço</t>
        </is>
      </c>
      <c r="B48" t="inlineStr">
        <is>
          <t>SEM RECOMENDAÇÃO</t>
        </is>
      </c>
      <c r="C48" t="inlineStr">
        <is>
          <t>#230</t>
        </is>
      </c>
      <c r="D48" t="inlineStr">
        <is>
          <t>chat</t>
        </is>
      </c>
    </row>
    <row r="49">
      <c r="A49" t="inlineStr">
        <is>
          <t>Gerenciamento de Incidentes</t>
        </is>
      </c>
      <c r="B49" t="inlineStr">
        <is>
          <t>Gerenciamento de Problemas</t>
        </is>
      </c>
      <c r="C49" t="inlineStr">
        <is>
          <t>#234</t>
        </is>
      </c>
      <c r="D49" t="inlineStr">
        <is>
          <t>chat</t>
        </is>
      </c>
    </row>
    <row r="50">
      <c r="A50" t="inlineStr">
        <is>
          <t>Gerenciamento de Incidentes</t>
        </is>
      </c>
      <c r="B50" t="inlineStr">
        <is>
          <t>Gerenciamento de Problemas</t>
        </is>
      </c>
      <c r="C50" t="inlineStr">
        <is>
          <t>#240</t>
        </is>
      </c>
      <c r="D50" t="inlineStr">
        <is>
          <t>chat</t>
        </is>
      </c>
    </row>
    <row r="51">
      <c r="A51" t="inlineStr">
        <is>
          <t>Gerenciamento de Requisição de Serviço</t>
        </is>
      </c>
      <c r="B51" t="inlineStr">
        <is>
          <t>SEM RECOMENDAÇÃO</t>
        </is>
      </c>
      <c r="C51" t="inlineStr">
        <is>
          <t>#252</t>
        </is>
      </c>
      <c r="D51" t="inlineStr">
        <is>
          <t>chat</t>
        </is>
      </c>
    </row>
    <row r="52">
      <c r="A52" t="inlineStr">
        <is>
          <t>Gerenciamento de Incidentes</t>
        </is>
      </c>
      <c r="B52" t="inlineStr">
        <is>
          <t>Gerenciamento de Mudanças</t>
        </is>
      </c>
      <c r="C52" t="inlineStr">
        <is>
          <t>#257</t>
        </is>
      </c>
      <c r="D52" t="inlineStr">
        <is>
          <t>chat</t>
        </is>
      </c>
    </row>
    <row r="53">
      <c r="A53" t="inlineStr">
        <is>
          <t>Gerenciamento de Incidentes</t>
        </is>
      </c>
      <c r="B53" t="inlineStr">
        <is>
          <t>Gerenciamento de Problemas</t>
        </is>
      </c>
      <c r="C53" t="inlineStr">
        <is>
          <t>#264</t>
        </is>
      </c>
      <c r="D53" t="inlineStr">
        <is>
          <t>chat</t>
        </is>
      </c>
    </row>
    <row r="54">
      <c r="A54" t="inlineStr">
        <is>
          <t>Gerenciamento de Requisição de Serviço</t>
        </is>
      </c>
      <c r="B54" t="inlineStr">
        <is>
          <t>Gerenciamento de Catálogo de Serviço</t>
        </is>
      </c>
      <c r="C54" t="inlineStr">
        <is>
          <t>#252</t>
        </is>
      </c>
      <c r="D54" t="inlineStr">
        <is>
          <t>chat</t>
        </is>
      </c>
    </row>
    <row r="55">
      <c r="A55" t="inlineStr">
        <is>
          <t>Gerenciamento de Incidentes</t>
        </is>
      </c>
      <c r="B55" t="inlineStr">
        <is>
          <t>Gerenciamento de Nível de Serviço</t>
        </is>
      </c>
      <c r="C55" t="inlineStr">
        <is>
          <t>#257</t>
        </is>
      </c>
      <c r="D55" t="inlineStr">
        <is>
          <t>chat</t>
        </is>
      </c>
    </row>
    <row r="56">
      <c r="A56" t="inlineStr">
        <is>
          <t>Gerenciamento de Incidentes</t>
        </is>
      </c>
      <c r="B56" t="inlineStr">
        <is>
          <t>Gerenciamento de Problemas</t>
        </is>
      </c>
      <c r="C56" t="inlineStr">
        <is>
          <t>#264</t>
        </is>
      </c>
      <c r="D56" t="inlineStr">
        <is>
          <t>chat</t>
        </is>
      </c>
    </row>
    <row r="57">
      <c r="A57" t="inlineStr">
        <is>
          <t>Gerenciamento de Incidentes</t>
        </is>
      </c>
      <c r="B57" t="inlineStr">
        <is>
          <t>Gerenciamento de Problemas</t>
        </is>
      </c>
      <c r="C57" t="inlineStr">
        <is>
          <t>#279</t>
        </is>
      </c>
      <c r="D57" t="inlineStr">
        <is>
          <t>chat</t>
        </is>
      </c>
    </row>
    <row r="58">
      <c r="A58" t="inlineStr">
        <is>
          <t>Gerenciamento de Incidentes</t>
        </is>
      </c>
      <c r="B58" t="inlineStr">
        <is>
          <t>Gerenciamento de Problemas</t>
        </is>
      </c>
      <c r="C58" t="inlineStr">
        <is>
          <t>#294</t>
        </is>
      </c>
      <c r="D58" t="inlineStr">
        <is>
          <t>chat</t>
        </is>
      </c>
    </row>
    <row r="59">
      <c r="A59" t="inlineStr">
        <is>
          <t>Gerenciamento de Requisição de Serviço</t>
        </is>
      </c>
      <c r="B59" t="inlineStr">
        <is>
          <t>Gerenciamento de Ativos de TI</t>
        </is>
      </c>
      <c r="C59" t="inlineStr">
        <is>
          <t>#299</t>
        </is>
      </c>
      <c r="D59" t="inlineStr">
        <is>
          <t>chat</t>
        </is>
      </c>
    </row>
    <row r="60">
      <c r="A60" t="inlineStr">
        <is>
          <t>Gerenciamento de Incidentes</t>
        </is>
      </c>
      <c r="B60" t="inlineStr">
        <is>
          <t>Gerenciamento de Disponibilidade</t>
        </is>
      </c>
      <c r="C60" t="inlineStr">
        <is>
          <t>#301</t>
        </is>
      </c>
      <c r="D60" t="inlineStr">
        <is>
          <t>chat</t>
        </is>
      </c>
    </row>
    <row r="61">
      <c r="A61" t="inlineStr">
        <is>
          <t>Gerenciamento de Requisição de Serviço</t>
        </is>
      </c>
      <c r="B61" t="inlineStr">
        <is>
          <t>Gerenciamento de Configuração de Serviço</t>
        </is>
      </c>
      <c r="C61" t="inlineStr">
        <is>
          <t>#305</t>
        </is>
      </c>
      <c r="D61" t="inlineStr">
        <is>
          <t>chat</t>
        </is>
      </c>
    </row>
    <row r="62">
      <c r="A62" t="inlineStr">
        <is>
          <t>Gerenciamento Financeiro de Serviços</t>
        </is>
      </c>
      <c r="B62" t="inlineStr">
        <is>
          <t>Gerenciamento de Relacionamento</t>
        </is>
      </c>
      <c r="C62" t="inlineStr">
        <is>
          <t>#331</t>
        </is>
      </c>
      <c r="D62" t="inlineStr">
        <is>
          <t>chat</t>
        </is>
      </c>
    </row>
    <row r="63">
      <c r="A63" t="inlineStr">
        <is>
          <t>Gerenciamento de Incidentes</t>
        </is>
      </c>
      <c r="B63" t="inlineStr">
        <is>
          <t>Gerenciamento de Problemas</t>
        </is>
      </c>
      <c r="C63" t="inlineStr">
        <is>
          <t>#350</t>
        </is>
      </c>
      <c r="D63" t="inlineStr">
        <is>
          <t>chat</t>
        </is>
      </c>
    </row>
    <row r="64">
      <c r="A64" t="inlineStr">
        <is>
          <t>Gerenciamento de Requisição de Serviço</t>
        </is>
      </c>
      <c r="B64" t="inlineStr">
        <is>
          <t>Gerenciamento de Capacidade e Desempenho</t>
        </is>
      </c>
      <c r="C64" t="inlineStr">
        <is>
          <t>#356</t>
        </is>
      </c>
      <c r="D64" t="inlineStr">
        <is>
          <t>chat</t>
        </is>
      </c>
    </row>
    <row r="65">
      <c r="A65" t="inlineStr">
        <is>
          <t>Gerenciamento de Incidentes</t>
        </is>
      </c>
      <c r="B65" t="inlineStr">
        <is>
          <t>Gerenciamento de Problemas</t>
        </is>
      </c>
      <c r="C65" t="inlineStr">
        <is>
          <t>#364</t>
        </is>
      </c>
      <c r="D65" t="inlineStr">
        <is>
          <t>chat</t>
        </is>
      </c>
    </row>
    <row r="66">
      <c r="A66" t="inlineStr">
        <is>
          <t>Gerenciamento de Incidentes</t>
        </is>
      </c>
      <c r="B66" t="inlineStr">
        <is>
          <t>Gerenciamento de Problemas</t>
        </is>
      </c>
      <c r="C66" t="inlineStr">
        <is>
          <t>#366</t>
        </is>
      </c>
      <c r="D66" t="inlineStr">
        <is>
          <t>chat</t>
        </is>
      </c>
    </row>
    <row r="67">
      <c r="A67" t="inlineStr">
        <is>
          <t>Gerenciamento de Incidentes</t>
        </is>
      </c>
      <c r="B67" t="inlineStr">
        <is>
          <t>Gerenciamento de Disponibilidade</t>
        </is>
      </c>
      <c r="C67" t="inlineStr">
        <is>
          <t>#372</t>
        </is>
      </c>
      <c r="D67" t="inlineStr">
        <is>
          <t>chat</t>
        </is>
      </c>
    </row>
    <row r="68">
      <c r="A68" t="inlineStr">
        <is>
          <t>Gerenciamento de Requisição de Serviço</t>
        </is>
      </c>
      <c r="B68" t="inlineStr">
        <is>
          <t>Gerenciamento Financeiro de Serviços</t>
        </is>
      </c>
      <c r="C68" t="inlineStr">
        <is>
          <t>#376</t>
        </is>
      </c>
      <c r="D68" t="inlineStr">
        <is>
          <t>chat</t>
        </is>
      </c>
    </row>
    <row r="69">
      <c r="A69" t="inlineStr">
        <is>
          <t>Gerenciamento de Incidentes</t>
        </is>
      </c>
      <c r="B69" t="inlineStr">
        <is>
          <t>Gerenciamento de Ativos de TI</t>
        </is>
      </c>
      <c r="C69" t="inlineStr">
        <is>
          <t>#398</t>
        </is>
      </c>
      <c r="D69" t="inlineStr">
        <is>
          <t>chat</t>
        </is>
      </c>
    </row>
    <row r="70">
      <c r="A70" t="inlineStr">
        <is>
          <t>Gerenciamento de Incidentes</t>
        </is>
      </c>
      <c r="B70" t="inlineStr">
        <is>
          <t>Gerenciamento de Problemas</t>
        </is>
      </c>
      <c r="C70" t="inlineStr">
        <is>
          <t>#403</t>
        </is>
      </c>
      <c r="D70" t="inlineStr">
        <is>
          <t>chat</t>
        </is>
      </c>
    </row>
    <row r="71">
      <c r="A71" t="inlineStr">
        <is>
          <t>Gerenciamento de Requisição de Serviço</t>
        </is>
      </c>
      <c r="B71" t="inlineStr">
        <is>
          <t>Gerenciamento de Configuração de Serviço</t>
        </is>
      </c>
      <c r="C71" t="inlineStr">
        <is>
          <t>#405</t>
        </is>
      </c>
      <c r="D71" t="inlineStr">
        <is>
          <t>chat</t>
        </is>
      </c>
    </row>
    <row r="72">
      <c r="A72" t="inlineStr">
        <is>
          <t>Gerenciamento de Requisição de Serviço</t>
        </is>
      </c>
      <c r="B72" t="inlineStr">
        <is>
          <t>Gerenciamento Financeiro de Serviços</t>
        </is>
      </c>
      <c r="C72" t="inlineStr">
        <is>
          <t>#424</t>
        </is>
      </c>
      <c r="D72" t="inlineStr">
        <is>
          <t>chat</t>
        </is>
      </c>
    </row>
    <row r="73">
      <c r="A73" t="inlineStr">
        <is>
          <t>Gerenciamento de Requisição de Serviço</t>
        </is>
      </c>
      <c r="B73" t="inlineStr">
        <is>
          <t>Gerenciamento de Ativos de TI</t>
        </is>
      </c>
      <c r="C73" t="inlineStr">
        <is>
          <t>#451</t>
        </is>
      </c>
      <c r="D73" t="inlineStr">
        <is>
          <t>chat</t>
        </is>
      </c>
    </row>
    <row r="74">
      <c r="A74" t="inlineStr">
        <is>
          <t>Gerenciamento Financeiro de Serviços</t>
        </is>
      </c>
      <c r="B74" t="inlineStr">
        <is>
          <t>Gerenciamento de Relacionamento</t>
        </is>
      </c>
      <c r="C74" t="inlineStr">
        <is>
          <t>#452</t>
        </is>
      </c>
      <c r="D74" t="inlineStr">
        <is>
          <t>chat</t>
        </is>
      </c>
    </row>
    <row r="75">
      <c r="A75" t="inlineStr">
        <is>
          <t>Gerenciamento de Requisição de Serviço</t>
        </is>
      </c>
      <c r="B75" t="inlineStr">
        <is>
          <t>Gerenciamento Financeiro de Serviços</t>
        </is>
      </c>
      <c r="C75" t="inlineStr">
        <is>
          <t>#459</t>
        </is>
      </c>
      <c r="D75" t="inlineStr">
        <is>
          <t>chat</t>
        </is>
      </c>
    </row>
    <row r="76">
      <c r="A76" t="inlineStr">
        <is>
          <t>Gerenciamento Financeiro de Serviços</t>
        </is>
      </c>
      <c r="B76" t="inlineStr">
        <is>
          <t>Gerenciamento de Capacidade e Desempenho</t>
        </is>
      </c>
      <c r="C76" t="inlineStr">
        <is>
          <t>#461</t>
        </is>
      </c>
      <c r="D76" t="inlineStr">
        <is>
          <t>chat</t>
        </is>
      </c>
    </row>
    <row r="77">
      <c r="A77" t="inlineStr">
        <is>
          <t>Gerenciamento de Requisição de Serviço</t>
        </is>
      </c>
      <c r="B77" t="inlineStr">
        <is>
          <t>Gerenciamento de Ativos de TI</t>
        </is>
      </c>
      <c r="C77" t="inlineStr">
        <is>
          <t>#466</t>
        </is>
      </c>
      <c r="D77" t="inlineStr">
        <is>
          <t>chat</t>
        </is>
      </c>
    </row>
    <row r="78">
      <c r="A78" t="inlineStr">
        <is>
          <t>Gerenciamento de Requisição de Serviço</t>
        </is>
      </c>
      <c r="B78" t="inlineStr">
        <is>
          <t>Gerenciamento de Ativos de TI</t>
        </is>
      </c>
      <c r="C78" t="inlineStr">
        <is>
          <t>#468</t>
        </is>
      </c>
      <c r="D78" t="inlineStr">
        <is>
          <t>chat</t>
        </is>
      </c>
    </row>
    <row r="79">
      <c r="A79" t="inlineStr">
        <is>
          <t>Gerenciamento de Incidentes</t>
        </is>
      </c>
      <c r="B79" t="inlineStr">
        <is>
          <t>Gerenciamento de Disponibilidade</t>
        </is>
      </c>
      <c r="C79" t="inlineStr">
        <is>
          <t>#470</t>
        </is>
      </c>
      <c r="D79" t="inlineStr">
        <is>
          <t>chat</t>
        </is>
      </c>
    </row>
    <row r="80">
      <c r="A80" t="inlineStr">
        <is>
          <t>Gerenciamento Financeiro de Serviços</t>
        </is>
      </c>
      <c r="B80" t="inlineStr">
        <is>
          <t>Gerenciamento de Capacidade e Desempenho</t>
        </is>
      </c>
      <c r="C80" t="inlineStr">
        <is>
          <t>#479</t>
        </is>
      </c>
      <c r="D80" t="inlineStr">
        <is>
          <t>chat</t>
        </is>
      </c>
    </row>
    <row r="81">
      <c r="A81" t="inlineStr">
        <is>
          <t>Gerenciamento de Incidentes</t>
        </is>
      </c>
      <c r="B81" t="inlineStr">
        <is>
          <t>Gerenciamento de Continuidade de Serviço</t>
        </is>
      </c>
      <c r="C81" t="inlineStr">
        <is>
          <t>#485</t>
        </is>
      </c>
      <c r="D81" t="inlineStr">
        <is>
          <t>chat</t>
        </is>
      </c>
    </row>
    <row r="82">
      <c r="A82" t="inlineStr">
        <is>
          <t>Gerenciamento de Incidentes</t>
        </is>
      </c>
      <c r="B82" t="inlineStr">
        <is>
          <t>Gerenciamento de Problemas</t>
        </is>
      </c>
      <c r="C82" t="inlineStr">
        <is>
          <t>#492</t>
        </is>
      </c>
      <c r="D82" t="inlineStr">
        <is>
          <t>chat</t>
        </is>
      </c>
    </row>
    <row r="83">
      <c r="A83" t="inlineStr">
        <is>
          <t>Gerenciamento de Incidentes</t>
        </is>
      </c>
      <c r="B83" t="inlineStr">
        <is>
          <t>Gerenciamento de Problemas</t>
        </is>
      </c>
      <c r="C83" t="inlineStr">
        <is>
          <t>#496</t>
        </is>
      </c>
      <c r="D83" t="inlineStr">
        <is>
          <t>chat</t>
        </is>
      </c>
    </row>
    <row r="84">
      <c r="A84" t="inlineStr">
        <is>
          <t>Gerenciamento de Incidentes</t>
        </is>
      </c>
      <c r="B84" t="inlineStr">
        <is>
          <t>Gerenciamento de Problemas</t>
        </is>
      </c>
      <c r="C84" t="inlineStr">
        <is>
          <t>#279</t>
        </is>
      </c>
      <c r="D84" t="inlineStr">
        <is>
          <t>chat</t>
        </is>
      </c>
    </row>
    <row r="85">
      <c r="A85" t="inlineStr">
        <is>
          <t>Gerenciamento de Incidentes</t>
        </is>
      </c>
      <c r="B85" t="inlineStr">
        <is>
          <t>Gerenciamento de Problemas</t>
        </is>
      </c>
      <c r="C85" t="inlineStr">
        <is>
          <t>#294</t>
        </is>
      </c>
      <c r="D85" t="inlineStr">
        <is>
          <t>chat</t>
        </is>
      </c>
    </row>
    <row r="86">
      <c r="A86" t="inlineStr">
        <is>
          <t>Gerenciamento de Requisição de Serviço</t>
        </is>
      </c>
      <c r="B86" t="inlineStr">
        <is>
          <t>Gerenciamento de Ativos de TI</t>
        </is>
      </c>
      <c r="C86" t="inlineStr">
        <is>
          <t>#299</t>
        </is>
      </c>
      <c r="D86" t="inlineStr">
        <is>
          <t>chat</t>
        </is>
      </c>
    </row>
    <row r="87">
      <c r="A87" t="inlineStr">
        <is>
          <t>Gerenciamento de Incidentes</t>
        </is>
      </c>
      <c r="B87" t="inlineStr">
        <is>
          <t>Gerenciamento de Disponibilidade</t>
        </is>
      </c>
      <c r="C87" t="inlineStr">
        <is>
          <t>#301</t>
        </is>
      </c>
      <c r="D87" t="inlineStr">
        <is>
          <t>chat</t>
        </is>
      </c>
    </row>
    <row r="88">
      <c r="A88" t="inlineStr">
        <is>
          <t>Gerenciamento de Requisição de Serviço</t>
        </is>
      </c>
      <c r="B88" t="inlineStr">
        <is>
          <t>Gerenciamento de Configuração de Serviço</t>
        </is>
      </c>
      <c r="C88" t="inlineStr">
        <is>
          <t>#305</t>
        </is>
      </c>
      <c r="D88" t="inlineStr">
        <is>
          <t>chat</t>
        </is>
      </c>
    </row>
    <row r="89">
      <c r="A89" t="inlineStr">
        <is>
          <t>Gerenciamento Financeiro de Serviços</t>
        </is>
      </c>
      <c r="B89" t="inlineStr">
        <is>
          <t>Gerenciamento de Relacionamento</t>
        </is>
      </c>
      <c r="C89" t="inlineStr">
        <is>
          <t>#331</t>
        </is>
      </c>
      <c r="D89" t="inlineStr">
        <is>
          <t>chat</t>
        </is>
      </c>
    </row>
    <row r="90">
      <c r="A90" t="inlineStr">
        <is>
          <t>Gerenciamento de Incidentes</t>
        </is>
      </c>
      <c r="B90" t="inlineStr">
        <is>
          <t>Gerenciamento de Problemas</t>
        </is>
      </c>
      <c r="C90" t="inlineStr">
        <is>
          <t>#350</t>
        </is>
      </c>
      <c r="D90" t="inlineStr">
        <is>
          <t>chat</t>
        </is>
      </c>
    </row>
    <row r="91">
      <c r="A91" t="inlineStr">
        <is>
          <t>Gerenciamento de Requisição de Serviço</t>
        </is>
      </c>
      <c r="B91" t="inlineStr">
        <is>
          <t>Gerenciamento de Capacidade e Desempenho</t>
        </is>
      </c>
      <c r="C91" t="inlineStr">
        <is>
          <t>#356</t>
        </is>
      </c>
      <c r="D91" t="inlineStr">
        <is>
          <t>chat</t>
        </is>
      </c>
    </row>
    <row r="92">
      <c r="A92" t="inlineStr">
        <is>
          <t>Gerenciamento de Incidentes</t>
        </is>
      </c>
      <c r="B92" t="inlineStr">
        <is>
          <t>Gerenciamento de Problemas</t>
        </is>
      </c>
      <c r="C92" t="inlineStr">
        <is>
          <t>#364</t>
        </is>
      </c>
      <c r="D92" t="inlineStr">
        <is>
          <t>chat</t>
        </is>
      </c>
    </row>
    <row r="93">
      <c r="A93" t="inlineStr">
        <is>
          <t>Gerenciamento de Incidentes</t>
        </is>
      </c>
      <c r="B93" t="inlineStr">
        <is>
          <t>Gerenciamento de Problemas</t>
        </is>
      </c>
      <c r="C93" t="inlineStr">
        <is>
          <t>#366</t>
        </is>
      </c>
      <c r="D93" t="inlineStr">
        <is>
          <t>chat</t>
        </is>
      </c>
    </row>
    <row r="94">
      <c r="A94" t="inlineStr">
        <is>
          <t>Gerenciamento de Incidentes</t>
        </is>
      </c>
      <c r="B94" t="inlineStr">
        <is>
          <t>Gerenciamento de Disponibilidade</t>
        </is>
      </c>
      <c r="C94" t="inlineStr">
        <is>
          <t>#372</t>
        </is>
      </c>
      <c r="D94" t="inlineStr">
        <is>
          <t>chat</t>
        </is>
      </c>
    </row>
    <row r="95">
      <c r="A95" t="inlineStr">
        <is>
          <t>Gerenciamento de Requisição de Serviço</t>
        </is>
      </c>
      <c r="B95" t="inlineStr">
        <is>
          <t>Gerenciamento Financeiro de Serviços</t>
        </is>
      </c>
      <c r="C95" t="inlineStr">
        <is>
          <t>#376</t>
        </is>
      </c>
      <c r="D95" t="inlineStr">
        <is>
          <t>chat</t>
        </is>
      </c>
    </row>
    <row r="96">
      <c r="A96" t="inlineStr">
        <is>
          <t>Gerenciamento de Incidentes</t>
        </is>
      </c>
      <c r="B96" t="inlineStr">
        <is>
          <t>Gerenciamento de Ativos de TI</t>
        </is>
      </c>
      <c r="C96" t="inlineStr">
        <is>
          <t>#398</t>
        </is>
      </c>
      <c r="D96" t="inlineStr">
        <is>
          <t>chat</t>
        </is>
      </c>
    </row>
    <row r="97">
      <c r="A97" t="inlineStr">
        <is>
          <t>Gerenciamento de Incidentes</t>
        </is>
      </c>
      <c r="B97" t="inlineStr">
        <is>
          <t>Gerenciamento de Problemas</t>
        </is>
      </c>
      <c r="C97" t="inlineStr">
        <is>
          <t>#403</t>
        </is>
      </c>
      <c r="D97" t="inlineStr">
        <is>
          <t>chat</t>
        </is>
      </c>
    </row>
    <row r="98">
      <c r="A98" t="inlineStr">
        <is>
          <t>Gerenciamento de Requisição de Serviço</t>
        </is>
      </c>
      <c r="B98" t="inlineStr">
        <is>
          <t>Gerenciamento de Configuração de Serviço</t>
        </is>
      </c>
      <c r="C98" t="inlineStr">
        <is>
          <t>#405</t>
        </is>
      </c>
      <c r="D98" t="inlineStr">
        <is>
          <t>chat</t>
        </is>
      </c>
    </row>
    <row r="99">
      <c r="A99" t="inlineStr">
        <is>
          <t>Gerenciamento de Requisição de Serviço</t>
        </is>
      </c>
      <c r="B99" t="inlineStr">
        <is>
          <t>Gerenciamento Financeiro de Serviços</t>
        </is>
      </c>
      <c r="C99" t="inlineStr">
        <is>
          <t>#424</t>
        </is>
      </c>
      <c r="D99" t="inlineStr">
        <is>
          <t>chat</t>
        </is>
      </c>
    </row>
    <row r="100">
      <c r="A100" t="inlineStr">
        <is>
          <t>Gerenciamento de Requisição de Serviço</t>
        </is>
      </c>
      <c r="B100" t="inlineStr">
        <is>
          <t>Gerenciamento de Ativos de TI</t>
        </is>
      </c>
      <c r="C100" t="inlineStr">
        <is>
          <t>#451</t>
        </is>
      </c>
      <c r="D100" t="inlineStr">
        <is>
          <t>chat</t>
        </is>
      </c>
    </row>
    <row r="101">
      <c r="A101" t="inlineStr">
        <is>
          <t>Gerenciamento Financeiro de Serviços</t>
        </is>
      </c>
      <c r="B101" t="inlineStr">
        <is>
          <t>Gerenciamento de Incidentes</t>
        </is>
      </c>
      <c r="C101" t="inlineStr">
        <is>
          <t>#452</t>
        </is>
      </c>
      <c r="D101" t="inlineStr">
        <is>
          <t>chat</t>
        </is>
      </c>
    </row>
    <row r="102">
      <c r="A102" t="inlineStr">
        <is>
          <t>Gerenciamento de Requisição de Serviço</t>
        </is>
      </c>
      <c r="B102" t="inlineStr">
        <is>
          <t>Gerenciamento Financeiro de Serviços</t>
        </is>
      </c>
      <c r="C102" t="inlineStr">
        <is>
          <t>#459</t>
        </is>
      </c>
      <c r="D102" t="inlineStr">
        <is>
          <t>chat</t>
        </is>
      </c>
    </row>
    <row r="103">
      <c r="A103" t="inlineStr">
        <is>
          <t>Gerenciamento de Problemas</t>
        </is>
      </c>
      <c r="B103" t="inlineStr">
        <is>
          <t>Gerenciamento Financeiro de Serviços</t>
        </is>
      </c>
      <c r="C103" t="inlineStr">
        <is>
          <t>#461</t>
        </is>
      </c>
      <c r="D103" t="inlineStr">
        <is>
          <t>chat</t>
        </is>
      </c>
    </row>
    <row r="104">
      <c r="A104" t="inlineStr">
        <is>
          <t>Gerenciamento de Requisição de Serviço</t>
        </is>
      </c>
      <c r="B104" t="inlineStr">
        <is>
          <t>Gerenciamento de Ativos de TI</t>
        </is>
      </c>
      <c r="C104" t="inlineStr">
        <is>
          <t>#466</t>
        </is>
      </c>
      <c r="D104" t="inlineStr">
        <is>
          <t>chat</t>
        </is>
      </c>
    </row>
    <row r="105">
      <c r="A105" t="inlineStr">
        <is>
          <t>Gerenciamento de Requisição de Serviço</t>
        </is>
      </c>
      <c r="B105" t="inlineStr">
        <is>
          <t>Gerenciamento de Ativos de TI</t>
        </is>
      </c>
      <c r="C105" t="inlineStr">
        <is>
          <t>#468</t>
        </is>
      </c>
      <c r="D105" t="inlineStr">
        <is>
          <t>chat</t>
        </is>
      </c>
    </row>
    <row r="106">
      <c r="A106" t="inlineStr">
        <is>
          <t>Gerenciamento de Incidentes</t>
        </is>
      </c>
      <c r="B106" t="inlineStr">
        <is>
          <t>Gerenciamento de Acessos</t>
        </is>
      </c>
      <c r="C106" t="inlineStr">
        <is>
          <t>#470</t>
        </is>
      </c>
      <c r="D106" t="inlineStr">
        <is>
          <t>chat</t>
        </is>
      </c>
    </row>
    <row r="107">
      <c r="A107" t="inlineStr">
        <is>
          <t>Gerenciamento Financeiro de Serviços</t>
        </is>
      </c>
      <c r="B107" t="inlineStr">
        <is>
          <t>Gerenciamento de Capacidade e Desempenho</t>
        </is>
      </c>
      <c r="C107" t="inlineStr">
        <is>
          <t>#479</t>
        </is>
      </c>
      <c r="D107" t="inlineStr">
        <is>
          <t>chat</t>
        </is>
      </c>
    </row>
    <row r="108">
      <c r="A108" t="inlineStr">
        <is>
          <t>Gerenciamento de Incidentes</t>
        </is>
      </c>
      <c r="B108" t="inlineStr">
        <is>
          <t>Gerenciamento de Continuidade de Serviço</t>
        </is>
      </c>
      <c r="C108" t="inlineStr">
        <is>
          <t>#485</t>
        </is>
      </c>
      <c r="D108" t="inlineStr">
        <is>
          <t>chat</t>
        </is>
      </c>
    </row>
    <row r="109">
      <c r="A109" t="inlineStr">
        <is>
          <t>Gerenciamento de Incidentes</t>
        </is>
      </c>
      <c r="B109" t="inlineStr">
        <is>
          <t>Gerenciamento de Problemas</t>
        </is>
      </c>
      <c r="C109" t="inlineStr">
        <is>
          <t>#492</t>
        </is>
      </c>
      <c r="D109" t="inlineStr">
        <is>
          <t>chat</t>
        </is>
      </c>
    </row>
    <row r="110">
      <c r="A110" t="inlineStr">
        <is>
          <t>Gerenciamento de Incidentes</t>
        </is>
      </c>
      <c r="B110" t="inlineStr">
        <is>
          <t>Gerenciamento de Problemas</t>
        </is>
      </c>
      <c r="C110" t="inlineStr">
        <is>
          <t>#496</t>
        </is>
      </c>
      <c r="D110" t="inlineStr">
        <is>
          <t>chat</t>
        </is>
      </c>
    </row>
    <row r="111">
      <c r="A111" t="inlineStr">
        <is>
          <t>Gerenciamento de Incidentes</t>
        </is>
      </c>
      <c r="B111" t="inlineStr">
        <is>
          <t>Gerenciamento de Acessos</t>
        </is>
      </c>
      <c r="C111" t="inlineStr">
        <is>
          <t>#504</t>
        </is>
      </c>
      <c r="D111" t="inlineStr">
        <is>
          <t>chat</t>
        </is>
      </c>
    </row>
    <row r="112">
      <c r="A112" t="inlineStr">
        <is>
          <t>Gerenciamento de Requisição de Serviço</t>
        </is>
      </c>
      <c r="B112" t="inlineStr">
        <is>
          <t>Gerenciamento Financeiro de Serviços</t>
        </is>
      </c>
      <c r="C112" t="inlineStr">
        <is>
          <t>#516</t>
        </is>
      </c>
      <c r="D112" t="inlineStr">
        <is>
          <t>chat</t>
        </is>
      </c>
    </row>
    <row r="113">
      <c r="A113" t="inlineStr">
        <is>
          <t>Gerenciamento de Capacidade e Desempenho</t>
        </is>
      </c>
      <c r="B113" t="inlineStr">
        <is>
          <t>Gerenciamento de Problemas</t>
        </is>
      </c>
      <c r="C113" t="inlineStr">
        <is>
          <t>#537</t>
        </is>
      </c>
      <c r="D113" t="inlineStr">
        <is>
          <t>chat</t>
        </is>
      </c>
    </row>
    <row r="114">
      <c r="A114" t="inlineStr">
        <is>
          <t>Gerenciamento de Incidentes</t>
        </is>
      </c>
      <c r="B114" t="inlineStr">
        <is>
          <t>Gerenciamento de Problemas</t>
        </is>
      </c>
      <c r="C114" t="inlineStr">
        <is>
          <t>#3</t>
        </is>
      </c>
      <c r="D114" t="inlineStr">
        <is>
          <t>chat_stream</t>
        </is>
      </c>
    </row>
    <row r="115">
      <c r="A115" t="inlineStr">
        <is>
          <t>Gerenciamento de Incidentes</t>
        </is>
      </c>
      <c r="B115" t="inlineStr">
        <is>
          <t>Gerenciamento de Mudanças</t>
        </is>
      </c>
      <c r="C115" t="inlineStr">
        <is>
          <t>#25</t>
        </is>
      </c>
      <c r="D115" t="inlineStr">
        <is>
          <t>chat_stream</t>
        </is>
      </c>
    </row>
    <row r="116">
      <c r="A116" t="inlineStr">
        <is>
          <t>Gerenciamento de Requisição de Serviço</t>
        </is>
      </c>
      <c r="B116" t="inlineStr">
        <is>
          <t>Gerenciamento de Relacionamento</t>
        </is>
      </c>
      <c r="C116" t="inlineStr">
        <is>
          <t>#42</t>
        </is>
      </c>
      <c r="D116" t="inlineStr">
        <is>
          <t>chat_stream</t>
        </is>
      </c>
    </row>
    <row r="117">
      <c r="A117" t="inlineStr">
        <is>
          <t>Gerenciamento de Incidentes</t>
        </is>
      </c>
      <c r="B117" t="inlineStr">
        <is>
          <t>Gerenciamento de Ativos de TI</t>
        </is>
      </c>
      <c r="C117" t="inlineStr">
        <is>
          <t>#57</t>
        </is>
      </c>
      <c r="D117" t="inlineStr">
        <is>
          <t>chat_stream</t>
        </is>
      </c>
    </row>
    <row r="118">
      <c r="A118" t="inlineStr">
        <is>
          <t>Gerenciamento de Incidentes</t>
        </is>
      </c>
      <c r="B118" t="inlineStr">
        <is>
          <t>Gerenciamento de Configuração de Serviço</t>
        </is>
      </c>
      <c r="C118" t="inlineStr">
        <is>
          <t>#62</t>
        </is>
      </c>
      <c r="D118" t="inlineStr">
        <is>
          <t>chat_stream</t>
        </is>
      </c>
    </row>
    <row r="119">
      <c r="A119" t="inlineStr">
        <is>
          <t>Gerenciamento Financeiro de Serviços</t>
        </is>
      </c>
      <c r="B119" t="inlineStr">
        <is>
          <t>Gerenciamento de Incidentes</t>
        </is>
      </c>
      <c r="C119" t="inlineStr">
        <is>
          <t>#77</t>
        </is>
      </c>
      <c r="D119" t="inlineStr">
        <is>
          <t>chat_stream</t>
        </is>
      </c>
    </row>
    <row r="120">
      <c r="A120" t="inlineStr">
        <is>
          <t>Gerenciamento de Disponibilidade</t>
        </is>
      </c>
      <c r="B120" t="inlineStr">
        <is>
          <t>Gerenciamento de Continuidade de Serviço</t>
        </is>
      </c>
      <c r="C120" t="inlineStr">
        <is>
          <t>#87</t>
        </is>
      </c>
      <c r="D120" t="inlineStr">
        <is>
          <t>chat_stream</t>
        </is>
      </c>
    </row>
    <row r="121">
      <c r="A121" t="inlineStr">
        <is>
          <t>Gerenciamento de Configuração de Serviço</t>
        </is>
      </c>
      <c r="B121" t="inlineStr">
        <is>
          <t>Gerenciamento de Ativos de TI</t>
        </is>
      </c>
      <c r="C121" t="inlineStr">
        <is>
          <t>#62</t>
        </is>
      </c>
      <c r="D121" t="inlineStr">
        <is>
          <t>chat_stream</t>
        </is>
      </c>
    </row>
    <row r="122">
      <c r="A122" t="inlineStr">
        <is>
          <t>Gerenciamento Financeiro de Serviços</t>
        </is>
      </c>
      <c r="B122" t="inlineStr">
        <is>
          <t>Gerenciamento de Relacionamento</t>
        </is>
      </c>
      <c r="C122" t="inlineStr">
        <is>
          <t>#77</t>
        </is>
      </c>
      <c r="D122" t="inlineStr">
        <is>
          <t>chat_stream</t>
        </is>
      </c>
    </row>
    <row r="123">
      <c r="A123" t="inlineStr">
        <is>
          <t>Gerenciamento de Disponibilidade</t>
        </is>
      </c>
      <c r="B123" t="inlineStr">
        <is>
          <t>Gerenciamento de Continuidade de Serviço</t>
        </is>
      </c>
      <c r="C123" t="inlineStr">
        <is>
          <t>#87</t>
        </is>
      </c>
      <c r="D123" t="inlineStr">
        <is>
          <t>chat_stream</t>
        </is>
      </c>
    </row>
    <row r="124">
      <c r="A124" t="inlineStr">
        <is>
          <t>Gerenciamento Financeiro de Serviços</t>
        </is>
      </c>
      <c r="B124" t="inlineStr">
        <is>
          <t>Gerenciamento de Relacionamento</t>
        </is>
      </c>
      <c r="C124" t="inlineStr">
        <is>
          <t>#98</t>
        </is>
      </c>
      <c r="D124" t="inlineStr">
        <is>
          <t>chat_stream</t>
        </is>
      </c>
    </row>
    <row r="125">
      <c r="A125" t="inlineStr">
        <is>
          <t>Gerenciamento de Problemas</t>
        </is>
      </c>
      <c r="B125" t="inlineStr">
        <is>
          <t>Gerenciamento de Capacidade e Desempenho</t>
        </is>
      </c>
      <c r="C125" t="inlineStr">
        <is>
          <t>#104</t>
        </is>
      </c>
      <c r="D125" t="inlineStr">
        <is>
          <t>chat_stream</t>
        </is>
      </c>
    </row>
    <row r="126">
      <c r="A126" t="inlineStr">
        <is>
          <t>Gerenciamento de Problemas</t>
        </is>
      </c>
      <c r="B126" t="inlineStr">
        <is>
          <t>Gerenciamento de Capacidade e Desempenho</t>
        </is>
      </c>
      <c r="C126" t="inlineStr">
        <is>
          <t>#110</t>
        </is>
      </c>
      <c r="D126" t="inlineStr">
        <is>
          <t>chat_stream</t>
        </is>
      </c>
    </row>
    <row r="127">
      <c r="A127" t="inlineStr">
        <is>
          <t>Gerenciamento Financeiro de Serviços</t>
        </is>
      </c>
      <c r="B127" t="inlineStr">
        <is>
          <t>Gerenciamento de Relacionamento</t>
        </is>
      </c>
      <c r="C127" t="inlineStr">
        <is>
          <t>#111</t>
        </is>
      </c>
      <c r="D127" t="inlineStr">
        <is>
          <t>chat_stream</t>
        </is>
      </c>
    </row>
    <row r="128">
      <c r="A128" t="inlineStr">
        <is>
          <t>Gerenciamento de Requisição de Serviço</t>
        </is>
      </c>
      <c r="B128" t="inlineStr">
        <is>
          <t>Gerenciamento Financeiro de Serviços</t>
        </is>
      </c>
      <c r="C128" t="inlineStr">
        <is>
          <t>#98</t>
        </is>
      </c>
      <c r="D128" t="inlineStr">
        <is>
          <t>chat_stream</t>
        </is>
      </c>
    </row>
    <row r="129">
      <c r="A129" t="inlineStr">
        <is>
          <t>Gerenciamento de Problemas</t>
        </is>
      </c>
      <c r="B129" t="inlineStr">
        <is>
          <t>Gerenciamento de Capacidade e Desempenho</t>
        </is>
      </c>
      <c r="C129" t="inlineStr">
        <is>
          <t>#104</t>
        </is>
      </c>
      <c r="D129" t="inlineStr">
        <is>
          <t>chat_stream</t>
        </is>
      </c>
    </row>
    <row r="130">
      <c r="A130" t="inlineStr">
        <is>
          <t>Gerenciamento de Problemas</t>
        </is>
      </c>
      <c r="B130" t="inlineStr">
        <is>
          <t>Gerenciamento de Capacidade e Desempenho</t>
        </is>
      </c>
      <c r="C130" t="inlineStr">
        <is>
          <t>#110</t>
        </is>
      </c>
      <c r="D130" t="inlineStr">
        <is>
          <t>chat_stream</t>
        </is>
      </c>
    </row>
    <row r="131">
      <c r="A131" t="inlineStr">
        <is>
          <t>Gerenciamento Financeiro de Serviços</t>
        </is>
      </c>
      <c r="B131" t="inlineStr">
        <is>
          <t>Gerenciamento de Incidentes</t>
        </is>
      </c>
      <c r="C131" t="inlineStr">
        <is>
          <t>#111</t>
        </is>
      </c>
      <c r="D131" t="inlineStr">
        <is>
          <t>chat_stream</t>
        </is>
      </c>
    </row>
    <row r="132">
      <c r="A132" t="inlineStr">
        <is>
          <t>Gerenciamento de Problemas</t>
        </is>
      </c>
      <c r="B132" t="inlineStr">
        <is>
          <t>Gerenciamento de Capacidade e Desempenho</t>
        </is>
      </c>
      <c r="C132" t="inlineStr">
        <is>
          <t>#123</t>
        </is>
      </c>
      <c r="D132" t="inlineStr">
        <is>
          <t>chat_stream</t>
        </is>
      </c>
    </row>
    <row r="133">
      <c r="A133" t="inlineStr">
        <is>
          <t>Gerenciamento de Requisição de Serviço</t>
        </is>
      </c>
      <c r="B133" t="inlineStr">
        <is>
          <t>Gerenciamento de Nível de Serviço</t>
        </is>
      </c>
      <c r="C133" t="inlineStr">
        <is>
          <t>#125</t>
        </is>
      </c>
      <c r="D133" t="inlineStr">
        <is>
          <t>chat_stream</t>
        </is>
      </c>
    </row>
    <row r="134">
      <c r="A134" t="inlineStr">
        <is>
          <t>Gerenciamento de Incidentes</t>
        </is>
      </c>
      <c r="B134" t="inlineStr">
        <is>
          <t>Gerenciamento de Problemas</t>
        </is>
      </c>
      <c r="C134" t="inlineStr">
        <is>
          <t>#151</t>
        </is>
      </c>
      <c r="D134" t="inlineStr">
        <is>
          <t>chat_stream</t>
        </is>
      </c>
    </row>
    <row r="135">
      <c r="A135" t="inlineStr">
        <is>
          <t>Gerenciamento de Incidentes</t>
        </is>
      </c>
      <c r="B135" t="inlineStr">
        <is>
          <t>Gerenciamento de Disponibilidade</t>
        </is>
      </c>
      <c r="C135" t="inlineStr">
        <is>
          <t>#162</t>
        </is>
      </c>
      <c r="D135" t="inlineStr">
        <is>
          <t>chat_stream</t>
        </is>
      </c>
    </row>
    <row r="136">
      <c r="A136" t="inlineStr">
        <is>
          <t>Gerenciamento de Incidentes</t>
        </is>
      </c>
      <c r="B136" t="inlineStr">
        <is>
          <t>Gerenciamento de Problemas</t>
        </is>
      </c>
      <c r="C136" t="inlineStr">
        <is>
          <t>#123</t>
        </is>
      </c>
      <c r="D136" t="inlineStr">
        <is>
          <t>chat_stream</t>
        </is>
      </c>
    </row>
    <row r="137">
      <c r="A137" t="inlineStr">
        <is>
          <t>Gerenciamento de Requisição de Serviço</t>
        </is>
      </c>
      <c r="B137" t="inlineStr">
        <is>
          <t>Gerenciamento de Nível de Serviço</t>
        </is>
      </c>
      <c r="C137" t="inlineStr">
        <is>
          <t>#125</t>
        </is>
      </c>
      <c r="D137" t="inlineStr">
        <is>
          <t>chat_stream</t>
        </is>
      </c>
    </row>
    <row r="138">
      <c r="A138" t="inlineStr">
        <is>
          <t>Gerenciamento de Incidentes</t>
        </is>
      </c>
      <c r="B138" t="inlineStr">
        <is>
          <t>Gerenciamento de Problemas</t>
        </is>
      </c>
      <c r="C138" t="inlineStr">
        <is>
          <t>#151</t>
        </is>
      </c>
      <c r="D138" t="inlineStr">
        <is>
          <t>chat_stream</t>
        </is>
      </c>
    </row>
    <row r="139">
      <c r="A139" t="inlineStr">
        <is>
          <t>Gerenciamento de Incidentes</t>
        </is>
      </c>
      <c r="B139" t="inlineStr">
        <is>
          <t>Gerenciamento de Disponibilidade</t>
        </is>
      </c>
      <c r="C139" t="inlineStr">
        <is>
          <t>#162</t>
        </is>
      </c>
      <c r="D139" t="inlineStr">
        <is>
          <t>chat_stream</t>
        </is>
      </c>
    </row>
    <row r="140">
      <c r="A140" t="inlineStr">
        <is>
          <t>Gerenciamento de Incidentes</t>
        </is>
      </c>
      <c r="B140" t="inlineStr">
        <is>
          <t>Gerenciamento de Problemas</t>
        </is>
      </c>
      <c r="C140" t="inlineStr">
        <is>
          <t>#182</t>
        </is>
      </c>
      <c r="D140" t="inlineStr">
        <is>
          <t>chat_stream</t>
        </is>
      </c>
    </row>
    <row r="141">
      <c r="A141" t="inlineStr">
        <is>
          <t>Gerenciamento Financeiro de Serviços</t>
        </is>
      </c>
      <c r="B141" t="inlineStr">
        <is>
          <t>Gerenciamento de Incidentes</t>
        </is>
      </c>
      <c r="C141" t="inlineStr">
        <is>
          <t>#183</t>
        </is>
      </c>
      <c r="D141" t="inlineStr">
        <is>
          <t>chat_stream</t>
        </is>
      </c>
    </row>
    <row r="142">
      <c r="A142" t="inlineStr">
        <is>
          <t>Gerenciamento de Incidentes</t>
        </is>
      </c>
      <c r="B142" t="inlineStr">
        <is>
          <t>Gerenciamento de Problemas</t>
        </is>
      </c>
      <c r="C142" t="inlineStr">
        <is>
          <t>#189</t>
        </is>
      </c>
      <c r="D142" t="inlineStr">
        <is>
          <t>chat_stream</t>
        </is>
      </c>
    </row>
    <row r="143">
      <c r="A143" t="inlineStr">
        <is>
          <t>Gerenciamento de Incidentes</t>
        </is>
      </c>
      <c r="B143" t="inlineStr">
        <is>
          <t>Gerenciamento de Problemas</t>
        </is>
      </c>
      <c r="C143" t="inlineStr">
        <is>
          <t>#194</t>
        </is>
      </c>
      <c r="D143" t="inlineStr">
        <is>
          <t>chat_stream</t>
        </is>
      </c>
    </row>
    <row r="144">
      <c r="A144" t="inlineStr">
        <is>
          <t>Gerenciamento de Incidentes</t>
        </is>
      </c>
      <c r="B144" t="inlineStr">
        <is>
          <t>Gerenciamento de Problemas</t>
        </is>
      </c>
      <c r="C144" t="inlineStr">
        <is>
          <t>#201</t>
        </is>
      </c>
      <c r="D144" t="inlineStr">
        <is>
          <t>chat_stream</t>
        </is>
      </c>
    </row>
    <row r="145">
      <c r="A145" t="inlineStr">
        <is>
          <t>Gerenciamento Financeiro de Serviços</t>
        </is>
      </c>
      <c r="B145" t="inlineStr">
        <is>
          <t>Gerenciamento de Incidentes</t>
        </is>
      </c>
      <c r="C145" t="inlineStr">
        <is>
          <t>#203</t>
        </is>
      </c>
      <c r="D145" t="inlineStr">
        <is>
          <t>chat_stream</t>
        </is>
      </c>
    </row>
    <row r="146">
      <c r="A146" t="inlineStr">
        <is>
          <t>Gerenciamento de Requisição de Serviço</t>
        </is>
      </c>
      <c r="B146" t="inlineStr">
        <is>
          <t>Gerenciamento de Catálogo de Serviço</t>
        </is>
      </c>
      <c r="C146" t="inlineStr">
        <is>
          <t>#205</t>
        </is>
      </c>
      <c r="D146" t="inlineStr">
        <is>
          <t>chat_stream</t>
        </is>
      </c>
    </row>
    <row r="147">
      <c r="A147" t="inlineStr">
        <is>
          <t>Gerenciamento de Relacionamento</t>
        </is>
      </c>
      <c r="B147" t="inlineStr">
        <is>
          <t>Análise de Negócio</t>
        </is>
      </c>
      <c r="C147" t="inlineStr">
        <is>
          <t>#219</t>
        </is>
      </c>
      <c r="D147" t="inlineStr">
        <is>
          <t>chat_stream</t>
        </is>
      </c>
    </row>
    <row r="148">
      <c r="A148" t="inlineStr">
        <is>
          <t>Gerenciamento de Mudanças</t>
        </is>
      </c>
      <c r="B148" t="inlineStr">
        <is>
          <t>Gerenciamento de Configuração de Serviço</t>
        </is>
      </c>
      <c r="C148" t="inlineStr">
        <is>
          <t>#223</t>
        </is>
      </c>
      <c r="D148" t="inlineStr">
        <is>
          <t>chat_stream</t>
        </is>
      </c>
    </row>
    <row r="149">
      <c r="A149" t="inlineStr">
        <is>
          <t>Gerenciamento de Requisição de Serviço</t>
        </is>
      </c>
      <c r="B149" t="inlineStr">
        <is>
          <t>Gerenciamento de Catálogo de Serviço</t>
        </is>
      </c>
      <c r="C149" t="inlineStr">
        <is>
          <t>#225</t>
        </is>
      </c>
      <c r="D149" t="inlineStr">
        <is>
          <t>chat_stream</t>
        </is>
      </c>
    </row>
    <row r="150">
      <c r="A150" t="inlineStr">
        <is>
          <t>Gerenciamento de Requisição de Serviço</t>
        </is>
      </c>
      <c r="B150" t="inlineStr">
        <is>
          <t>Gerenciamento de Catálogo de Serviço</t>
        </is>
      </c>
      <c r="C150" t="inlineStr">
        <is>
          <t>#228</t>
        </is>
      </c>
      <c r="D150" t="inlineStr">
        <is>
          <t>chat_stream</t>
        </is>
      </c>
    </row>
    <row r="151">
      <c r="A151" t="inlineStr">
        <is>
          <t>Gerenciamento de Acessos</t>
        </is>
      </c>
      <c r="B151" t="inlineStr">
        <is>
          <t>Gerenciamento de Incidentes</t>
        </is>
      </c>
      <c r="C151" t="inlineStr">
        <is>
          <t>#229</t>
        </is>
      </c>
      <c r="D151" t="inlineStr">
        <is>
          <t>chat_stream</t>
        </is>
      </c>
    </row>
    <row r="152">
      <c r="A152" t="inlineStr">
        <is>
          <t>Gerenciamento de Requisição de Serviço</t>
        </is>
      </c>
      <c r="B152" t="inlineStr">
        <is>
          <t>Gerenciamento de Ativos de TI</t>
        </is>
      </c>
      <c r="C152" t="inlineStr">
        <is>
          <t>#230</t>
        </is>
      </c>
      <c r="D152" t="inlineStr">
        <is>
          <t>chat_stream</t>
        </is>
      </c>
    </row>
    <row r="153">
      <c r="A153" t="inlineStr">
        <is>
          <t>Gerenciamento de Incidentes</t>
        </is>
      </c>
      <c r="B153" t="inlineStr">
        <is>
          <t>Gerenciamento de Problemas</t>
        </is>
      </c>
      <c r="C153" t="inlineStr">
        <is>
          <t>#234</t>
        </is>
      </c>
      <c r="D153" t="inlineStr">
        <is>
          <t>chat_stream</t>
        </is>
      </c>
    </row>
    <row r="154">
      <c r="A154" t="inlineStr">
        <is>
          <t>Gerenciamento de Incidentes</t>
        </is>
      </c>
      <c r="B154" t="inlineStr">
        <is>
          <t>Gerenciamento de Problemas</t>
        </is>
      </c>
      <c r="C154" t="inlineStr">
        <is>
          <t>#240</t>
        </is>
      </c>
      <c r="D154" t="inlineStr">
        <is>
          <t>chat_stream</t>
        </is>
      </c>
    </row>
    <row r="155">
      <c r="A155" t="inlineStr">
        <is>
          <t>Gerenciamento de Requisição de Serviço</t>
        </is>
      </c>
      <c r="B155" t="inlineStr">
        <is>
          <t>Gerenciamento de Nível de Serviço</t>
        </is>
      </c>
      <c r="C155" t="inlineStr">
        <is>
          <t>#252</t>
        </is>
      </c>
      <c r="D155" t="inlineStr">
        <is>
          <t>chat_stream</t>
        </is>
      </c>
    </row>
    <row r="156">
      <c r="A156" t="inlineStr">
        <is>
          <t>Gerenciamento de Incidentes</t>
        </is>
      </c>
      <c r="B156" t="inlineStr">
        <is>
          <t>Gerenciamento de Nível de Serviço</t>
        </is>
      </c>
      <c r="C156" t="inlineStr">
        <is>
          <t>#257</t>
        </is>
      </c>
      <c r="D156" t="inlineStr">
        <is>
          <t>chat_stream</t>
        </is>
      </c>
    </row>
    <row r="157">
      <c r="A157" t="inlineStr">
        <is>
          <t>Gerenciamento de Incidentes</t>
        </is>
      </c>
      <c r="B157" t="inlineStr">
        <is>
          <t>Gerenciamento de Disponibilidade</t>
        </is>
      </c>
      <c r="C157" t="inlineStr">
        <is>
          <t>#264</t>
        </is>
      </c>
      <c r="D157" t="inlineStr">
        <is>
          <t>chat_stream</t>
        </is>
      </c>
    </row>
    <row r="158">
      <c r="A158" t="inlineStr">
        <is>
          <t>Gerenciamento de Incidentes</t>
        </is>
      </c>
      <c r="B158" t="inlineStr">
        <is>
          <t>Gerenciamento de Problemas</t>
        </is>
      </c>
      <c r="C158" t="inlineStr">
        <is>
          <t>#279</t>
        </is>
      </c>
      <c r="D158" t="inlineStr">
        <is>
          <t>chat_stream</t>
        </is>
      </c>
    </row>
    <row r="159">
      <c r="A159" t="inlineStr">
        <is>
          <t>Gerenciamento de Incidentes</t>
        </is>
      </c>
      <c r="B159" t="inlineStr">
        <is>
          <t>Gerenciamento de Problemas</t>
        </is>
      </c>
      <c r="C159" t="inlineStr">
        <is>
          <t>#294</t>
        </is>
      </c>
      <c r="D159" t="inlineStr">
        <is>
          <t>chat_stream</t>
        </is>
      </c>
    </row>
    <row r="160">
      <c r="A160" t="inlineStr">
        <is>
          <t>Gerenciamento de Incidentes</t>
        </is>
      </c>
      <c r="B160" t="inlineStr">
        <is>
          <t>Gerenciamento de Nível de Serviço</t>
        </is>
      </c>
      <c r="C160" t="inlineStr">
        <is>
          <t>#299</t>
        </is>
      </c>
      <c r="D160" t="inlineStr">
        <is>
          <t>chat_stream</t>
        </is>
      </c>
    </row>
    <row r="161">
      <c r="A161" t="inlineStr">
        <is>
          <t>Gerenciamento de Incidentes</t>
        </is>
      </c>
      <c r="B161" t="inlineStr">
        <is>
          <t>Gerenciamento de Disponibilidade</t>
        </is>
      </c>
      <c r="C161" t="inlineStr">
        <is>
          <t>#301</t>
        </is>
      </c>
      <c r="D161" t="inlineStr">
        <is>
          <t>chat_stream</t>
        </is>
      </c>
    </row>
    <row r="162">
      <c r="A162" t="inlineStr">
        <is>
          <t>Gerenciamento de Incidentes</t>
        </is>
      </c>
      <c r="B162" t="inlineStr">
        <is>
          <t>Gerenciamento de Problemas</t>
        </is>
      </c>
      <c r="C162" t="inlineStr">
        <is>
          <t>#305</t>
        </is>
      </c>
      <c r="D162" t="inlineStr">
        <is>
          <t>chat_stream</t>
        </is>
      </c>
    </row>
    <row r="163">
      <c r="A163" t="inlineStr">
        <is>
          <t>Gerenciamento Financeiro de Serviços</t>
        </is>
      </c>
      <c r="B163" t="inlineStr">
        <is>
          <t>Gerenciamento de Incidentes</t>
        </is>
      </c>
      <c r="C163" t="inlineStr">
        <is>
          <t>#331</t>
        </is>
      </c>
      <c r="D163" t="inlineStr">
        <is>
          <t>chat_stream</t>
        </is>
      </c>
    </row>
    <row r="164">
      <c r="A164" t="inlineStr">
        <is>
          <t>Gerenciamento de Incidentes</t>
        </is>
      </c>
      <c r="B164" t="inlineStr">
        <is>
          <t>Gerenciamento de Problemas</t>
        </is>
      </c>
      <c r="C164" t="inlineStr">
        <is>
          <t>#350</t>
        </is>
      </c>
      <c r="D164" t="inlineStr">
        <is>
          <t>chat_stream</t>
        </is>
      </c>
    </row>
    <row r="165">
      <c r="A165" t="inlineStr">
        <is>
          <t>Gerenciamento de Requisição de Serviço</t>
        </is>
      </c>
      <c r="B165" t="inlineStr">
        <is>
          <t>Gerenciamento de Capacidade e Desempenho</t>
        </is>
      </c>
      <c r="C165" t="inlineStr">
        <is>
          <t>#356</t>
        </is>
      </c>
      <c r="D165" t="inlineStr">
        <is>
          <t>chat_stream</t>
        </is>
      </c>
    </row>
    <row r="166">
      <c r="A166" t="inlineStr">
        <is>
          <t>Gerenciamento de Incidentes</t>
        </is>
      </c>
      <c r="B166" t="inlineStr">
        <is>
          <t>Gerenciamento de Problemas</t>
        </is>
      </c>
      <c r="C166" t="inlineStr">
        <is>
          <t>#364</t>
        </is>
      </c>
      <c r="D166" t="inlineStr">
        <is>
          <t>chat_stream</t>
        </is>
      </c>
    </row>
    <row r="167">
      <c r="A167" t="inlineStr">
        <is>
          <t>Gerenciamento de Incidentes</t>
        </is>
      </c>
      <c r="B167" t="inlineStr">
        <is>
          <t>Gerenciamento de Problemas</t>
        </is>
      </c>
      <c r="C167" t="inlineStr">
        <is>
          <t>#366</t>
        </is>
      </c>
      <c r="D167" t="inlineStr">
        <is>
          <t>chat_stream</t>
        </is>
      </c>
    </row>
    <row r="168">
      <c r="A168" t="inlineStr">
        <is>
          <t>Gerenciamento de Incidentes</t>
        </is>
      </c>
      <c r="B168" t="inlineStr">
        <is>
          <t>Gerenciamento de Problemas</t>
        </is>
      </c>
      <c r="C168" t="inlineStr">
        <is>
          <t>#182</t>
        </is>
      </c>
      <c r="D168" t="inlineStr">
        <is>
          <t>chat_stream</t>
        </is>
      </c>
    </row>
    <row r="169">
      <c r="A169" t="inlineStr">
        <is>
          <t>Gerenciamento Financeiro de Serviços</t>
        </is>
      </c>
      <c r="B169" t="inlineStr">
        <is>
          <t>Gerenciamento de Relacionamento</t>
        </is>
      </c>
      <c r="C169" t="inlineStr">
        <is>
          <t>#183</t>
        </is>
      </c>
      <c r="D169" t="inlineStr">
        <is>
          <t>chat_stream</t>
        </is>
      </c>
    </row>
    <row r="170">
      <c r="A170" t="inlineStr">
        <is>
          <t>Gerenciamento de Incidentes</t>
        </is>
      </c>
      <c r="B170" t="inlineStr">
        <is>
          <t>Gerenciamento de Problemas</t>
        </is>
      </c>
      <c r="C170" t="inlineStr">
        <is>
          <t>#189</t>
        </is>
      </c>
      <c r="D170" t="inlineStr">
        <is>
          <t>chat_stream</t>
        </is>
      </c>
    </row>
    <row r="171">
      <c r="A171" t="inlineStr">
        <is>
          <t>Gerenciamento de Incidentes</t>
        </is>
      </c>
      <c r="B171" t="inlineStr">
        <is>
          <t>Gerenciamento de Problemas</t>
        </is>
      </c>
      <c r="C171" t="inlineStr">
        <is>
          <t>#194</t>
        </is>
      </c>
      <c r="D171" t="inlineStr">
        <is>
          <t>chat_stream</t>
        </is>
      </c>
    </row>
    <row r="172">
      <c r="A172" t="inlineStr">
        <is>
          <t>Gerenciamento de Requisição de Serviço</t>
        </is>
      </c>
      <c r="B172" t="inlineStr">
        <is>
          <t>Gerenciamento de Incidentes</t>
        </is>
      </c>
      <c r="C172" t="inlineStr">
        <is>
          <t>#201</t>
        </is>
      </c>
      <c r="D172" t="inlineStr">
        <is>
          <t>chat_stream</t>
        </is>
      </c>
    </row>
    <row r="173">
      <c r="A173" t="inlineStr">
        <is>
          <t>Gerenciamento Financeiro de Serviços</t>
        </is>
      </c>
      <c r="B173" t="inlineStr">
        <is>
          <t>Gerenciamento de Relacionamento</t>
        </is>
      </c>
      <c r="C173" t="inlineStr">
        <is>
          <t>#203</t>
        </is>
      </c>
      <c r="D173" t="inlineStr">
        <is>
          <t>chat_stream</t>
        </is>
      </c>
    </row>
    <row r="174">
      <c r="A174" t="inlineStr">
        <is>
          <t>Gerenciamento de Requisição de Serviço</t>
        </is>
      </c>
      <c r="B174" t="inlineStr">
        <is>
          <t>SEM RECOMENDAÇÃO</t>
        </is>
      </c>
      <c r="C174" t="inlineStr">
        <is>
          <t>#205</t>
        </is>
      </c>
      <c r="D174" t="inlineStr">
        <is>
          <t>chat_stream</t>
        </is>
      </c>
    </row>
    <row r="175">
      <c r="A175" t="inlineStr">
        <is>
          <t>Gerenciamento de Relacionamento</t>
        </is>
      </c>
      <c r="B175" t="inlineStr">
        <is>
          <t>Análise de Negócio</t>
        </is>
      </c>
      <c r="C175" t="inlineStr">
        <is>
          <t>#219</t>
        </is>
      </c>
      <c r="D175" t="inlineStr">
        <is>
          <t>chat_stream</t>
        </is>
      </c>
    </row>
    <row r="176">
      <c r="A176" t="inlineStr">
        <is>
          <t>Gerenciamento de Requisição de Serviço</t>
        </is>
      </c>
      <c r="B176" t="inlineStr">
        <is>
          <t>Gerenciamento de Mudanças</t>
        </is>
      </c>
      <c r="C176" t="inlineStr">
        <is>
          <t>#223</t>
        </is>
      </c>
      <c r="D176" t="inlineStr">
        <is>
          <t>chat_stream</t>
        </is>
      </c>
    </row>
    <row r="177">
      <c r="A177" t="inlineStr">
        <is>
          <t>Gerenciamento de Requisição de Serviço</t>
        </is>
      </c>
      <c r="B177" t="inlineStr">
        <is>
          <t>SEM RECOMENDAÇÃO</t>
        </is>
      </c>
      <c r="C177" t="inlineStr">
        <is>
          <t>#225</t>
        </is>
      </c>
      <c r="D177" t="inlineStr">
        <is>
          <t>chat_stream</t>
        </is>
      </c>
    </row>
    <row r="178">
      <c r="A178" t="inlineStr">
        <is>
          <t>Gerenciamento de Requisição de Serviço</t>
        </is>
      </c>
      <c r="B178" t="inlineStr">
        <is>
          <t>SEM RECOMENDAÇÃO</t>
        </is>
      </c>
      <c r="C178" t="inlineStr">
        <is>
          <t>#228</t>
        </is>
      </c>
      <c r="D178" t="inlineStr">
        <is>
          <t>chat_stream</t>
        </is>
      </c>
    </row>
    <row r="179">
      <c r="A179" t="inlineStr">
        <is>
          <t>Gerenciamento de Acessos</t>
        </is>
      </c>
      <c r="B179" t="inlineStr">
        <is>
          <t>Gerenciamento de Incidentes</t>
        </is>
      </c>
      <c r="C179" t="inlineStr">
        <is>
          <t>#229</t>
        </is>
      </c>
      <c r="D179" t="inlineStr">
        <is>
          <t>chat_stream</t>
        </is>
      </c>
    </row>
    <row r="180">
      <c r="A180" t="inlineStr">
        <is>
          <t>Gerenciamento de Requisição de Serviço</t>
        </is>
      </c>
      <c r="B180" t="inlineStr">
        <is>
          <t>SEM RECOMENDAÇÃO</t>
        </is>
      </c>
      <c r="C180" t="inlineStr">
        <is>
          <t>#230</t>
        </is>
      </c>
      <c r="D180" t="inlineStr">
        <is>
          <t>chat_stream</t>
        </is>
      </c>
    </row>
    <row r="181">
      <c r="A181" t="inlineStr">
        <is>
          <t>Gerenciamento de Incidentes</t>
        </is>
      </c>
      <c r="B181" t="inlineStr">
        <is>
          <t>Gerenciamento de Problemas</t>
        </is>
      </c>
      <c r="C181" t="inlineStr">
        <is>
          <t>#234</t>
        </is>
      </c>
      <c r="D181" t="inlineStr">
        <is>
          <t>chat_stream</t>
        </is>
      </c>
    </row>
    <row r="182">
      <c r="A182" t="inlineStr">
        <is>
          <t>Gerenciamento de Incidentes</t>
        </is>
      </c>
      <c r="B182" t="inlineStr">
        <is>
          <t>Gerenciamento de Problemas</t>
        </is>
      </c>
      <c r="C182" t="inlineStr">
        <is>
          <t>#240</t>
        </is>
      </c>
      <c r="D182" t="inlineStr">
        <is>
          <t>chat_stream</t>
        </is>
      </c>
    </row>
    <row r="183">
      <c r="A183" t="inlineStr">
        <is>
          <t>Gerenciamento de Requisição de Serviço</t>
        </is>
      </c>
      <c r="B183" t="inlineStr">
        <is>
          <t>Gerenciamento de Catálogo de Serviço</t>
        </is>
      </c>
      <c r="C183" t="inlineStr">
        <is>
          <t>#252</t>
        </is>
      </c>
      <c r="D183" t="inlineStr">
        <is>
          <t>chat_stream</t>
        </is>
      </c>
    </row>
    <row r="184">
      <c r="A184" t="inlineStr">
        <is>
          <t>Gerenciamento de Incidentes</t>
        </is>
      </c>
      <c r="B184" t="inlineStr">
        <is>
          <t>Gerenciamento de Configuração de Serviço</t>
        </is>
      </c>
      <c r="C184" t="inlineStr">
        <is>
          <t>#257</t>
        </is>
      </c>
      <c r="D184" t="inlineStr">
        <is>
          <t>chat_stream</t>
        </is>
      </c>
    </row>
    <row r="185">
      <c r="A185" t="inlineStr">
        <is>
          <t>Gerenciamento de Incidentes</t>
        </is>
      </c>
      <c r="B185" t="inlineStr">
        <is>
          <t>Gerenciamento de Problemas</t>
        </is>
      </c>
      <c r="C185" t="inlineStr">
        <is>
          <t>#264</t>
        </is>
      </c>
      <c r="D185" t="inlineStr">
        <is>
          <t>chat_stream</t>
        </is>
      </c>
    </row>
    <row r="186">
      <c r="A186" t="inlineStr">
        <is>
          <t>Gerenciamento de Incidentes</t>
        </is>
      </c>
      <c r="B186" t="inlineStr">
        <is>
          <t>Gerenciamento de Problemas</t>
        </is>
      </c>
      <c r="C186" t="inlineStr">
        <is>
          <t>#279</t>
        </is>
      </c>
      <c r="D186" t="inlineStr">
        <is>
          <t>chat_stream</t>
        </is>
      </c>
    </row>
    <row r="187">
      <c r="A187" t="inlineStr">
        <is>
          <t>Gerenciamento de Incidentes</t>
        </is>
      </c>
      <c r="B187" t="inlineStr">
        <is>
          <t>Gerenciamento de Problemas</t>
        </is>
      </c>
      <c r="C187" t="inlineStr">
        <is>
          <t>#294</t>
        </is>
      </c>
      <c r="D187" t="inlineStr">
        <is>
          <t>chat_stream</t>
        </is>
      </c>
    </row>
    <row r="188">
      <c r="A188" t="inlineStr">
        <is>
          <t>Gerenciamento de Requisição de Serviço</t>
        </is>
      </c>
      <c r="B188" t="inlineStr">
        <is>
          <t>Gerenciamento de Ativos de TI</t>
        </is>
      </c>
      <c r="C188" t="inlineStr">
        <is>
          <t>#299</t>
        </is>
      </c>
      <c r="D188" t="inlineStr">
        <is>
          <t>chat_stream</t>
        </is>
      </c>
    </row>
    <row r="189">
      <c r="A189" t="inlineStr">
        <is>
          <t>Gerenciamento de Incidentes</t>
        </is>
      </c>
      <c r="B189" t="inlineStr">
        <is>
          <t>Gerenciamento de Disponibilidade</t>
        </is>
      </c>
      <c r="C189" t="inlineStr">
        <is>
          <t>#301</t>
        </is>
      </c>
      <c r="D189" t="inlineStr">
        <is>
          <t>chat_stream</t>
        </is>
      </c>
    </row>
    <row r="190">
      <c r="A190" t="inlineStr">
        <is>
          <t>Gerenciamento de Requisição de Serviço</t>
        </is>
      </c>
      <c r="B190" t="inlineStr">
        <is>
          <t>Gerenciamento de Configuração de Serviço</t>
        </is>
      </c>
      <c r="C190" t="inlineStr">
        <is>
          <t>#305</t>
        </is>
      </c>
      <c r="D190" t="inlineStr">
        <is>
          <t>chat_stream</t>
        </is>
      </c>
    </row>
    <row r="191">
      <c r="A191" t="inlineStr">
        <is>
          <t>Gerenciamento Financeiro de Serviços</t>
        </is>
      </c>
      <c r="B191" t="inlineStr">
        <is>
          <t>Gerenciamento de Relacionamento</t>
        </is>
      </c>
      <c r="C191" t="inlineStr">
        <is>
          <t>#331</t>
        </is>
      </c>
      <c r="D191" t="inlineStr">
        <is>
          <t>chat_stream</t>
        </is>
      </c>
    </row>
    <row r="192">
      <c r="A192" t="inlineStr">
        <is>
          <t>Gerenciamento de Incidentes</t>
        </is>
      </c>
      <c r="B192" t="inlineStr">
        <is>
          <t>Gerenciamento de Problemas</t>
        </is>
      </c>
      <c r="C192" t="inlineStr">
        <is>
          <t>#350</t>
        </is>
      </c>
      <c r="D192" t="inlineStr">
        <is>
          <t>chat_stream</t>
        </is>
      </c>
    </row>
    <row r="193">
      <c r="A193" t="inlineStr">
        <is>
          <t>Gerenciamento de Requisição de Serviço</t>
        </is>
      </c>
      <c r="B193" t="inlineStr">
        <is>
          <t>Gerenciamento de Capacidade e Desempenho</t>
        </is>
      </c>
      <c r="C193" t="inlineStr">
        <is>
          <t>#356</t>
        </is>
      </c>
      <c r="D193" t="inlineStr">
        <is>
          <t>chat_stream</t>
        </is>
      </c>
    </row>
    <row r="194">
      <c r="A194" t="inlineStr">
        <is>
          <t>Gerenciamento de Incidentes</t>
        </is>
      </c>
      <c r="B194" t="inlineStr">
        <is>
          <t>Gerenciamento de Problemas</t>
        </is>
      </c>
      <c r="C194" t="inlineStr">
        <is>
          <t>#364</t>
        </is>
      </c>
      <c r="D194" t="inlineStr">
        <is>
          <t>chat_stream</t>
        </is>
      </c>
    </row>
    <row r="195">
      <c r="A195" t="inlineStr">
        <is>
          <t>Gerenciamento de Incidentes</t>
        </is>
      </c>
      <c r="B195" t="inlineStr">
        <is>
          <t>Gerenciamento de Problemas</t>
        </is>
      </c>
      <c r="C195" t="inlineStr">
        <is>
          <t>#366</t>
        </is>
      </c>
      <c r="D195" t="inlineStr">
        <is>
          <t>chat_stream</t>
        </is>
      </c>
    </row>
    <row r="196">
      <c r="A196" t="inlineStr">
        <is>
          <t>Gerenciamento de Incidentes</t>
        </is>
      </c>
      <c r="B196" t="inlineStr">
        <is>
          <t>Gerenciamento de Problemas</t>
        </is>
      </c>
      <c r="C196" t="inlineStr">
        <is>
          <t>#372</t>
        </is>
      </c>
      <c r="D196" t="inlineStr">
        <is>
          <t>chat_stream</t>
        </is>
      </c>
    </row>
    <row r="197">
      <c r="A197" t="inlineStr">
        <is>
          <t>Gerenciamento de Requisição de Serviço</t>
        </is>
      </c>
      <c r="B197" t="inlineStr">
        <is>
          <t>Gerenciamento de Nível de Serviço</t>
        </is>
      </c>
      <c r="C197" t="inlineStr">
        <is>
          <t>#376</t>
        </is>
      </c>
      <c r="D197" t="inlineStr">
        <is>
          <t>chat_stream</t>
        </is>
      </c>
    </row>
    <row r="198">
      <c r="A198" t="inlineStr">
        <is>
          <t>Gerenciamento de Incidentes</t>
        </is>
      </c>
      <c r="B198" t="inlineStr">
        <is>
          <t>Gerenciamento de Ativos de TI</t>
        </is>
      </c>
      <c r="C198" t="inlineStr">
        <is>
          <t>#398</t>
        </is>
      </c>
      <c r="D198" t="inlineStr">
        <is>
          <t>chat_stream</t>
        </is>
      </c>
    </row>
    <row r="199">
      <c r="A199" t="inlineStr">
        <is>
          <t>Gerenciamento de Incidentes</t>
        </is>
      </c>
      <c r="B199" t="inlineStr">
        <is>
          <t>Gerenciamento de Problemas</t>
        </is>
      </c>
      <c r="C199" t="inlineStr">
        <is>
          <t>#403</t>
        </is>
      </c>
      <c r="D199" t="inlineStr">
        <is>
          <t>chat_stream</t>
        </is>
      </c>
    </row>
    <row r="200">
      <c r="A200" t="inlineStr">
        <is>
          <t>Gerenciamento de Requisição de Serviço</t>
        </is>
      </c>
      <c r="B200" t="inlineStr">
        <is>
          <t>Gerenciamento de Configuração de Serviço</t>
        </is>
      </c>
      <c r="C200" t="inlineStr">
        <is>
          <t>#405</t>
        </is>
      </c>
      <c r="D200" t="inlineStr">
        <is>
          <t>chat_stream</t>
        </is>
      </c>
    </row>
    <row r="201">
      <c r="A201" t="inlineStr">
        <is>
          <t>Gerenciamento de Requisição de Serviço</t>
        </is>
      </c>
      <c r="B201" t="inlineStr">
        <is>
          <t>Gerenciamento de Nível de Serviço</t>
        </is>
      </c>
      <c r="C201" t="inlineStr">
        <is>
          <t>#424</t>
        </is>
      </c>
      <c r="D201" t="inlineStr">
        <is>
          <t>chat_stream</t>
        </is>
      </c>
    </row>
    <row r="202">
      <c r="A202" t="inlineStr">
        <is>
          <t>Gerenciamento de Requisição de Serviço</t>
        </is>
      </c>
      <c r="B202" t="inlineStr">
        <is>
          <t>Gerenciamento de Ativos de TI</t>
        </is>
      </c>
      <c r="C202" t="inlineStr">
        <is>
          <t>#451</t>
        </is>
      </c>
      <c r="D202" t="inlineStr">
        <is>
          <t>chat_stream</t>
        </is>
      </c>
    </row>
    <row r="203">
      <c r="A203" t="inlineStr">
        <is>
          <t>Gerenciamento Financeiro de Serviços</t>
        </is>
      </c>
      <c r="B203" t="inlineStr">
        <is>
          <t>Gerenciamento de Incidentes</t>
        </is>
      </c>
      <c r="C203" t="inlineStr">
        <is>
          <t>#452</t>
        </is>
      </c>
      <c r="D203" t="inlineStr">
        <is>
          <t>chat_stream</t>
        </is>
      </c>
    </row>
    <row r="204">
      <c r="A204" t="inlineStr">
        <is>
          <t>Gerenciamento de Requisição de Serviço</t>
        </is>
      </c>
      <c r="B204" t="inlineStr">
        <is>
          <t>Gerenciamento de Catálogo de Serviço</t>
        </is>
      </c>
      <c r="C204" t="inlineStr">
        <is>
          <t>#459</t>
        </is>
      </c>
      <c r="D204" t="inlineStr">
        <is>
          <t>chat_stream</t>
        </is>
      </c>
    </row>
    <row r="205">
      <c r="A205" t="inlineStr">
        <is>
          <t>Gerenciamento de Requisição de Serviço</t>
        </is>
      </c>
      <c r="B205" t="inlineStr">
        <is>
          <t>Gerenciamento de Capacidade e Desempenho</t>
        </is>
      </c>
      <c r="C205" t="inlineStr">
        <is>
          <t>#461</t>
        </is>
      </c>
      <c r="D205" t="inlineStr">
        <is>
          <t>chat_stream</t>
        </is>
      </c>
    </row>
    <row r="206">
      <c r="A206" t="inlineStr">
        <is>
          <t>Gerenciamento de Requisição de Serviço</t>
        </is>
      </c>
      <c r="B206" t="inlineStr">
        <is>
          <t>Gerenciamento de Ativos de TI</t>
        </is>
      </c>
      <c r="C206" t="inlineStr">
        <is>
          <t>#466</t>
        </is>
      </c>
      <c r="D206" t="inlineStr">
        <is>
          <t>chat_stream</t>
        </is>
      </c>
    </row>
    <row r="207">
      <c r="A207" t="inlineStr">
        <is>
          <t>Gerenciamento de Requisição de Serviço</t>
        </is>
      </c>
      <c r="B207" t="inlineStr">
        <is>
          <t>Gerenciamento de Ativos de TI</t>
        </is>
      </c>
      <c r="C207" t="inlineStr">
        <is>
          <t>#468</t>
        </is>
      </c>
      <c r="D207" t="inlineStr">
        <is>
          <t>chat_stream</t>
        </is>
      </c>
    </row>
    <row r="208">
      <c r="A208" t="inlineStr">
        <is>
          <t>Gerenciamento de Incidentes</t>
        </is>
      </c>
      <c r="B208" t="inlineStr">
        <is>
          <t>Gerenciamento de Problemas</t>
        </is>
      </c>
      <c r="C208" t="inlineStr">
        <is>
          <t>#470</t>
        </is>
      </c>
      <c r="D208" t="inlineStr">
        <is>
          <t>chat_stream</t>
        </is>
      </c>
    </row>
    <row r="209">
      <c r="A209" t="inlineStr">
        <is>
          <t>Gerenciamento de Requisição de Serviço</t>
        </is>
      </c>
      <c r="B209" t="inlineStr">
        <is>
          <t>Gerenciamento Financeiro de Serviços</t>
        </is>
      </c>
      <c r="C209" t="inlineStr">
        <is>
          <t>#479</t>
        </is>
      </c>
      <c r="D209" t="inlineStr">
        <is>
          <t>chat_stream</t>
        </is>
      </c>
    </row>
    <row r="210">
      <c r="A210" t="inlineStr">
        <is>
          <t>Gerenciamento de Incidentes</t>
        </is>
      </c>
      <c r="B210" t="inlineStr">
        <is>
          <t>Gerenciamento de Continuidade de Serviço</t>
        </is>
      </c>
      <c r="C210" t="inlineStr">
        <is>
          <t>#485</t>
        </is>
      </c>
      <c r="D210" t="inlineStr">
        <is>
          <t>chat_stream</t>
        </is>
      </c>
    </row>
    <row r="211">
      <c r="A211" t="inlineStr">
        <is>
          <t>Gerenciamento de Incidentes</t>
        </is>
      </c>
      <c r="B211" t="inlineStr">
        <is>
          <t>Gerenciamento de Problemas</t>
        </is>
      </c>
      <c r="C211" t="inlineStr">
        <is>
          <t>#492</t>
        </is>
      </c>
      <c r="D211" t="inlineStr">
        <is>
          <t>chat_stream</t>
        </is>
      </c>
    </row>
    <row r="212">
      <c r="A212" t="inlineStr">
        <is>
          <t>Gerenciamento de Incidentes</t>
        </is>
      </c>
      <c r="B212" t="inlineStr">
        <is>
          <t>Gerenciamento de Problemas</t>
        </is>
      </c>
      <c r="C212" t="inlineStr">
        <is>
          <t>#496</t>
        </is>
      </c>
      <c r="D212" t="inlineStr">
        <is>
          <t>chat_stream</t>
        </is>
      </c>
    </row>
    <row r="213">
      <c r="A213" t="inlineStr">
        <is>
          <t>Gerenciamento de Incidentes</t>
        </is>
      </c>
      <c r="B213" t="inlineStr">
        <is>
          <t>Gerenciamento de Acessos</t>
        </is>
      </c>
      <c r="C213" t="inlineStr">
        <is>
          <t>#504</t>
        </is>
      </c>
      <c r="D213" t="inlineStr">
        <is>
          <t>chat_stream</t>
        </is>
      </c>
    </row>
    <row r="214">
      <c r="A214" t="inlineStr">
        <is>
          <t>Gerenciamento de Requisição de Serviço</t>
        </is>
      </c>
      <c r="B214" t="inlineStr">
        <is>
          <t>Gerenciamento Financeiro de Serviços</t>
        </is>
      </c>
      <c r="C214" t="inlineStr">
        <is>
          <t>#516</t>
        </is>
      </c>
      <c r="D214" t="inlineStr">
        <is>
          <t>chat_stream</t>
        </is>
      </c>
    </row>
    <row r="215">
      <c r="A215" t="inlineStr">
        <is>
          <t>Gerenciamento de Capacidade e Desempenho</t>
        </is>
      </c>
      <c r="B215" t="inlineStr">
        <is>
          <t>Gerenciamento de Nível de Serviço</t>
        </is>
      </c>
      <c r="C215" t="inlineStr">
        <is>
          <t>#537</t>
        </is>
      </c>
      <c r="D215" t="inlineStr">
        <is>
          <t>chat_stream</t>
        </is>
      </c>
    </row>
    <row r="216">
      <c r="A216" t="inlineStr">
        <is>
          <t>Gerenciamento de Problemas</t>
        </is>
      </c>
      <c r="B216" t="inlineStr">
        <is>
          <t>Gerenciamento de Liberação</t>
        </is>
      </c>
      <c r="C216" t="inlineStr">
        <is>
          <t>#3</t>
        </is>
      </c>
      <c r="D216" t="inlineStr">
        <is>
          <t>rag</t>
        </is>
      </c>
    </row>
    <row r="217">
      <c r="A217" t="inlineStr">
        <is>
          <t>Habilitação de Mudança</t>
        </is>
      </c>
      <c r="B217" t="inlineStr">
        <is>
          <t>Gerenciamento de Liberação</t>
        </is>
      </c>
      <c r="C217" t="inlineStr">
        <is>
          <t>#25</t>
        </is>
      </c>
      <c r="D217" t="inlineStr">
        <is>
          <t>rag</t>
        </is>
      </c>
    </row>
    <row r="218">
      <c r="A218" t="inlineStr">
        <is>
          <t>Gerenciamento de Relacionamento</t>
        </is>
      </c>
      <c r="B218" t="inlineStr">
        <is>
          <t>Gerenciamento de Requisição de Serviço</t>
        </is>
      </c>
      <c r="C218" t="inlineStr">
        <is>
          <t>#42</t>
        </is>
      </c>
      <c r="D218" t="inlineStr">
        <is>
          <t>rag</t>
        </is>
      </c>
    </row>
    <row r="219">
      <c r="A219" t="inlineStr">
        <is>
          <t>Gerenciamento de Ativos de TI</t>
        </is>
      </c>
      <c r="B219" t="inlineStr">
        <is>
          <t>Gerenciamento de Fornecedor</t>
        </is>
      </c>
      <c r="C219" t="inlineStr">
        <is>
          <t>#57</t>
        </is>
      </c>
      <c r="D219" t="inlineStr">
        <is>
          <t>rag</t>
        </is>
      </c>
    </row>
    <row r="220">
      <c r="A220" t="inlineStr">
        <is>
          <t>Gerenciamento de Configuração de Serviço</t>
        </is>
      </c>
      <c r="B220" t="inlineStr">
        <is>
          <t>Gerenciamento de Conhecimento</t>
        </is>
      </c>
      <c r="C220" t="inlineStr">
        <is>
          <t>#62</t>
        </is>
      </c>
      <c r="D220" t="inlineStr">
        <is>
          <t>rag</t>
        </is>
      </c>
    </row>
    <row r="221">
      <c r="A221" t="inlineStr">
        <is>
          <t>Gerenciamento Financeiro de Serviços</t>
        </is>
      </c>
      <c r="B221" t="inlineStr">
        <is>
          <t>Gerenciamento de Nível de Serviço</t>
        </is>
      </c>
      <c r="C221" t="inlineStr">
        <is>
          <t>#77</t>
        </is>
      </c>
      <c r="D221" t="inlineStr">
        <is>
          <t>rag</t>
        </is>
      </c>
    </row>
    <row r="222">
      <c r="A222" t="inlineStr">
        <is>
          <t>Gerenciamento de Disponibilidade</t>
        </is>
      </c>
      <c r="B222" t="inlineStr">
        <is>
          <t>Gerenciamento de Continuidade de Serviço</t>
        </is>
      </c>
      <c r="C222" t="inlineStr">
        <is>
          <t>#87</t>
        </is>
      </c>
      <c r="D222" t="inlineStr">
        <is>
          <t>rag</t>
        </is>
      </c>
    </row>
    <row r="223">
      <c r="A223" t="inlineStr">
        <is>
          <t>Gerenciamento Financeiro de Serviços</t>
        </is>
      </c>
      <c r="B223" t="inlineStr">
        <is>
          <t>Gerenciamento de Capacidade e Desempenho</t>
        </is>
      </c>
      <c r="C223" t="inlineStr">
        <is>
          <t>#98</t>
        </is>
      </c>
      <c r="D223" t="inlineStr">
        <is>
          <t>rag</t>
        </is>
      </c>
    </row>
    <row r="224">
      <c r="A224" t="inlineStr">
        <is>
          <t>Gerenciamento de Disponibilidade</t>
        </is>
      </c>
      <c r="B224" t="inlineStr">
        <is>
          <t>Gerenciamento de Problemas</t>
        </is>
      </c>
      <c r="C224" t="inlineStr">
        <is>
          <t>#104</t>
        </is>
      </c>
      <c r="D224" t="inlineStr">
        <is>
          <t>rag</t>
        </is>
      </c>
    </row>
    <row r="225">
      <c r="A225" t="inlineStr">
        <is>
          <t>Gerenciamento de Problemas</t>
        </is>
      </c>
      <c r="B225" t="inlineStr">
        <is>
          <t>Gerenciamento de Capacidade e Desempenho</t>
        </is>
      </c>
      <c r="C225" t="inlineStr">
        <is>
          <t>#110</t>
        </is>
      </c>
      <c r="D225" t="inlineStr">
        <is>
          <t>rag</t>
        </is>
      </c>
    </row>
    <row r="226">
      <c r="A226" t="inlineStr">
        <is>
          <t>Gerenciamento Financeiro de Serviços</t>
        </is>
      </c>
      <c r="B226" t="inlineStr">
        <is>
          <t>Gerenciamento de Nível de Serviço</t>
        </is>
      </c>
      <c r="C226" t="inlineStr">
        <is>
          <t>#111</t>
        </is>
      </c>
      <c r="D226" t="inlineStr">
        <is>
          <t>rag</t>
        </is>
      </c>
    </row>
    <row r="227">
      <c r="A227" t="inlineStr">
        <is>
          <t>Gerenciamento de Capacidade e Desempenho</t>
        </is>
      </c>
      <c r="B227" t="inlineStr">
        <is>
          <t>Gerenciamento de Problemas</t>
        </is>
      </c>
      <c r="C227" t="inlineStr">
        <is>
          <t>#123</t>
        </is>
      </c>
      <c r="D227" t="inlineStr">
        <is>
          <t>rag</t>
        </is>
      </c>
    </row>
    <row r="228">
      <c r="A228" t="inlineStr">
        <is>
          <t>Gerenciamento de Capacidade e Desempenho</t>
        </is>
      </c>
      <c r="B228" t="inlineStr">
        <is>
          <t>Gerenciamento Financeiro de Serviços</t>
        </is>
      </c>
      <c r="C228" t="inlineStr">
        <is>
          <t>#125</t>
        </is>
      </c>
      <c r="D228" t="inlineStr">
        <is>
          <t>rag</t>
        </is>
      </c>
    </row>
    <row r="229">
      <c r="A229" t="inlineStr">
        <is>
          <t>Gerenciamento de Problemas</t>
        </is>
      </c>
      <c r="B229" t="inlineStr">
        <is>
          <t>Gerenciamento de Incidentes</t>
        </is>
      </c>
      <c r="C229" t="inlineStr">
        <is>
          <t>#151</t>
        </is>
      </c>
      <c r="D229" t="inlineStr">
        <is>
          <t>rag</t>
        </is>
      </c>
    </row>
    <row r="230">
      <c r="A230" t="inlineStr">
        <is>
          <t>Gerenciamento de Disponibilidade</t>
        </is>
      </c>
      <c r="B230" t="inlineStr">
        <is>
          <t>Gerenciamento de Nível de Serviço</t>
        </is>
      </c>
      <c r="C230" t="inlineStr">
        <is>
          <t>#162</t>
        </is>
      </c>
      <c r="D230" t="inlineStr">
        <is>
          <t>rag</t>
        </is>
      </c>
    </row>
    <row r="231">
      <c r="A231" t="inlineStr">
        <is>
          <t>Gerenciamento de Problemas</t>
        </is>
      </c>
      <c r="B231" t="inlineStr">
        <is>
          <t>Gerenciamento de Configuração de Serviço</t>
        </is>
      </c>
      <c r="C231" t="inlineStr">
        <is>
          <t>#182</t>
        </is>
      </c>
      <c r="D231" t="inlineStr">
        <is>
          <t>rag</t>
        </is>
      </c>
    </row>
    <row r="232">
      <c r="A232" t="inlineStr">
        <is>
          <t>Gerenciamento Financeiro de Serviços</t>
        </is>
      </c>
      <c r="B232" t="inlineStr">
        <is>
          <t>Gerenciamento de Relacionamento</t>
        </is>
      </c>
      <c r="C232" t="inlineStr">
        <is>
          <t>#183</t>
        </is>
      </c>
      <c r="D232" t="inlineStr">
        <is>
          <t>rag</t>
        </is>
      </c>
    </row>
    <row r="233">
      <c r="A233" t="inlineStr">
        <is>
          <t>Gerenciamento de Configuração de Serviço</t>
        </is>
      </c>
      <c r="B233" t="inlineStr">
        <is>
          <t>Gerenciamento de Conhecimento</t>
        </is>
      </c>
      <c r="C233" t="inlineStr">
        <is>
          <t>#189</t>
        </is>
      </c>
      <c r="D233" t="inlineStr">
        <is>
          <t>rag</t>
        </is>
      </c>
    </row>
    <row r="234">
      <c r="A234" t="inlineStr">
        <is>
          <t>Gerenciamento de Ativos de TI</t>
        </is>
      </c>
      <c r="B234" t="inlineStr">
        <is>
          <t>Gerenciamento de Fornecedor</t>
        </is>
      </c>
      <c r="C234" t="inlineStr">
        <is>
          <t>#194</t>
        </is>
      </c>
      <c r="D234" t="inlineStr">
        <is>
          <t>rag</t>
        </is>
      </c>
    </row>
    <row r="235">
      <c r="A235" t="inlineStr">
        <is>
          <t>Gerenciamento de Liberação</t>
        </is>
      </c>
      <c r="B235" t="inlineStr">
        <is>
          <t>Gerenciamento de Configuração de Serviço</t>
        </is>
      </c>
      <c r="C235" t="inlineStr">
        <is>
          <t>#201</t>
        </is>
      </c>
      <c r="D235" t="inlineStr">
        <is>
          <t>rag</t>
        </is>
      </c>
    </row>
    <row r="236">
      <c r="A236" t="inlineStr">
        <is>
          <t>Gerenciamento Financeiro de Serviços</t>
        </is>
      </c>
      <c r="B236" t="inlineStr">
        <is>
          <t>Gerenciamento de Relacionamento</t>
        </is>
      </c>
      <c r="C236" t="inlineStr">
        <is>
          <t>#203</t>
        </is>
      </c>
      <c r="D236" t="inlineStr">
        <is>
          <t>rag</t>
        </is>
      </c>
    </row>
    <row r="237">
      <c r="A237" t="inlineStr">
        <is>
          <t>Gerenciamento de Requisição de Serviço</t>
        </is>
      </c>
      <c r="B237" t="inlineStr">
        <is>
          <t>Gerenciamento de Conhecimento</t>
        </is>
      </c>
      <c r="C237" t="inlineStr">
        <is>
          <t>#205</t>
        </is>
      </c>
      <c r="D237" t="inlineStr">
        <is>
          <t>rag</t>
        </is>
      </c>
    </row>
    <row r="238">
      <c r="A238" t="inlineStr">
        <is>
          <t>Gerenciamento de Capacidade e Desempenho</t>
        </is>
      </c>
      <c r="B238" t="inlineStr">
        <is>
          <t>Gerenciamento de Relacionamento</t>
        </is>
      </c>
      <c r="C238" t="inlineStr">
        <is>
          <t>#219</t>
        </is>
      </c>
      <c r="D238" t="inlineStr">
        <is>
          <t>rag</t>
        </is>
      </c>
    </row>
    <row r="239">
      <c r="A239" t="inlineStr">
        <is>
          <t>Habilitação de Mudança</t>
        </is>
      </c>
      <c r="B239" t="inlineStr">
        <is>
          <t>Gerenciamento de Relacionamento</t>
        </is>
      </c>
      <c r="C239" t="inlineStr">
        <is>
          <t>#223</t>
        </is>
      </c>
      <c r="D239" t="inlineStr">
        <is>
          <t>rag</t>
        </is>
      </c>
    </row>
    <row r="240">
      <c r="A240" t="inlineStr">
        <is>
          <t>Gerenciamento de Requisição de Serviço</t>
        </is>
      </c>
      <c r="B240" t="inlineStr">
        <is>
          <t>Gerenciamento de Catálogo de Serviço</t>
        </is>
      </c>
      <c r="C240" t="inlineStr">
        <is>
          <t>#225</t>
        </is>
      </c>
      <c r="D240" t="inlineStr">
        <is>
          <t>rag</t>
        </is>
      </c>
    </row>
    <row r="241">
      <c r="A241" t="inlineStr">
        <is>
          <t>Gerenciamento de Requisição de Serviço</t>
        </is>
      </c>
      <c r="B241" t="inlineStr">
        <is>
          <t>Gerenciamento de Conhecimento</t>
        </is>
      </c>
      <c r="C241" t="inlineStr">
        <is>
          <t>#228</t>
        </is>
      </c>
      <c r="D241" t="inlineStr">
        <is>
          <t>rag</t>
        </is>
      </c>
    </row>
    <row r="242">
      <c r="A242" t="inlineStr">
        <is>
          <t>Gerenciamento de Segurança da Informação</t>
        </is>
      </c>
      <c r="B242" t="inlineStr">
        <is>
          <t>Gerenciamento de Configuração de Serviço</t>
        </is>
      </c>
      <c r="C242" t="inlineStr">
        <is>
          <t>#229</t>
        </is>
      </c>
      <c r="D242" t="inlineStr">
        <is>
          <t>rag</t>
        </is>
      </c>
    </row>
    <row r="243">
      <c r="A243" t="inlineStr">
        <is>
          <t>Gerenciamento de Relacionamento</t>
        </is>
      </c>
      <c r="B243" t="inlineStr">
        <is>
          <t>Gerenciamento de Catálogo de Serviço</t>
        </is>
      </c>
      <c r="C243" t="inlineStr">
        <is>
          <t>#230</t>
        </is>
      </c>
      <c r="D243" t="inlineStr">
        <is>
          <t>rag</t>
        </is>
      </c>
    </row>
    <row r="244">
      <c r="A244" t="inlineStr">
        <is>
          <t>Gerenciamento de Ativos de TI</t>
        </is>
      </c>
      <c r="B244" t="inlineStr">
        <is>
          <t>Gerenciamento de Problemas</t>
        </is>
      </c>
      <c r="C244" t="inlineStr">
        <is>
          <t>#234</t>
        </is>
      </c>
      <c r="D244" t="inlineStr">
        <is>
          <t>rag</t>
        </is>
      </c>
    </row>
    <row r="245">
      <c r="A245" t="inlineStr">
        <is>
          <t>Gerenciamento de Problemas</t>
        </is>
      </c>
      <c r="B245" t="inlineStr">
        <is>
          <t>Gerenciamento de Configuração de Serviço</t>
        </is>
      </c>
      <c r="C245" t="inlineStr">
        <is>
          <t>#240</t>
        </is>
      </c>
      <c r="D245" t="inlineStr">
        <is>
          <t>rag</t>
        </is>
      </c>
    </row>
    <row r="246">
      <c r="A246" t="inlineStr">
        <is>
          <t>Gerenciamento de Requisição de Serviço</t>
        </is>
      </c>
      <c r="B246" t="inlineStr">
        <is>
          <t>Gerenciamento de Catálogo de Serviço</t>
        </is>
      </c>
      <c r="C246" t="inlineStr">
        <is>
          <t>#252</t>
        </is>
      </c>
      <c r="D246" t="inlineStr">
        <is>
          <t>rag</t>
        </is>
      </c>
    </row>
    <row r="247">
      <c r="A247" t="inlineStr">
        <is>
          <t>Gerenciamento de Incidentes</t>
        </is>
      </c>
      <c r="B247" t="inlineStr">
        <is>
          <t>Gerenciamento de Fornecedor</t>
        </is>
      </c>
      <c r="C247" t="inlineStr">
        <is>
          <t>#257</t>
        </is>
      </c>
      <c r="D247" t="inlineStr">
        <is>
          <t>rag</t>
        </is>
      </c>
    </row>
    <row r="248">
      <c r="A248" t="inlineStr">
        <is>
          <t>Gerenciamento de Incidentes</t>
        </is>
      </c>
      <c r="B248" t="inlineStr">
        <is>
          <t>Gerenciamento de Problemas</t>
        </is>
      </c>
      <c r="C248" t="inlineStr">
        <is>
          <t>#264</t>
        </is>
      </c>
      <c r="D248" t="inlineStr">
        <is>
          <t>rag</t>
        </is>
      </c>
    </row>
    <row r="249">
      <c r="A249" t="inlineStr">
        <is>
          <t>Gerenciamento de Problemas</t>
        </is>
      </c>
      <c r="B249" t="inlineStr">
        <is>
          <t>Validação e Teste de Serviço</t>
        </is>
      </c>
      <c r="C249" t="inlineStr">
        <is>
          <t>#279</t>
        </is>
      </c>
      <c r="D249" t="inlineStr">
        <is>
          <t>rag</t>
        </is>
      </c>
    </row>
    <row r="250">
      <c r="A250" t="inlineStr">
        <is>
          <t>Gerenciamento de Problemas</t>
        </is>
      </c>
      <c r="B250" t="inlineStr">
        <is>
          <t>Gerenciamento de Liberação</t>
        </is>
      </c>
      <c r="C250" t="inlineStr">
        <is>
          <t>#294</t>
        </is>
      </c>
      <c r="D250" t="inlineStr">
        <is>
          <t>rag</t>
        </is>
      </c>
    </row>
    <row r="251">
      <c r="A251" t="inlineStr">
        <is>
          <t>Gerenciamento de Incidentes</t>
        </is>
      </c>
      <c r="B251" t="inlineStr">
        <is>
          <t>Gerenciamento de Ativos de TI</t>
        </is>
      </c>
      <c r="C251" t="inlineStr">
        <is>
          <t>#299</t>
        </is>
      </c>
      <c r="D251" t="inlineStr">
        <is>
          <t>rag</t>
        </is>
      </c>
    </row>
    <row r="252">
      <c r="A252" t="inlineStr">
        <is>
          <t>Gerenciamento de Incidentes</t>
        </is>
      </c>
      <c r="B252" t="inlineStr">
        <is>
          <t>Gerenciamento de Disponibilidade</t>
        </is>
      </c>
      <c r="C252" t="inlineStr">
        <is>
          <t>#301</t>
        </is>
      </c>
      <c r="D252" t="inlineStr">
        <is>
          <t>rag</t>
        </is>
      </c>
    </row>
    <row r="253">
      <c r="A253" t="inlineStr">
        <is>
          <t>Gerenciamento de Requisição de Serviço</t>
        </is>
      </c>
      <c r="B253" t="inlineStr">
        <is>
          <t>Central de Serviço</t>
        </is>
      </c>
      <c r="C253" t="inlineStr">
        <is>
          <t>#305</t>
        </is>
      </c>
      <c r="D253" t="inlineStr">
        <is>
          <t>rag</t>
        </is>
      </c>
    </row>
    <row r="254">
      <c r="A254" t="inlineStr">
        <is>
          <t>Gerenciamento Financeiro de Serviços</t>
        </is>
      </c>
      <c r="B254" t="inlineStr">
        <is>
          <t>Gerenciamento de Nível de Serviço</t>
        </is>
      </c>
      <c r="C254" t="inlineStr">
        <is>
          <t>#331</t>
        </is>
      </c>
      <c r="D254" t="inlineStr">
        <is>
          <t>rag</t>
        </is>
      </c>
    </row>
    <row r="255">
      <c r="A255" t="inlineStr">
        <is>
          <t>Gerenciamento de Problemas</t>
        </is>
      </c>
      <c r="B255" t="inlineStr">
        <is>
          <t>Gerenciamento de Incidentes</t>
        </is>
      </c>
      <c r="C255" t="inlineStr">
        <is>
          <t>#350</t>
        </is>
      </c>
      <c r="D255" t="inlineStr">
        <is>
          <t>rag</t>
        </is>
      </c>
    </row>
    <row r="256">
      <c r="A256" t="inlineStr">
        <is>
          <t>Gerenciamento de Requisição de Serviço</t>
        </is>
      </c>
      <c r="B256" t="inlineStr">
        <is>
          <t>Gerenciamento de Capacidade e Desempenho</t>
        </is>
      </c>
      <c r="C256" t="inlineStr">
        <is>
          <t>#356</t>
        </is>
      </c>
      <c r="D256" t="inlineStr">
        <is>
          <t>rag</t>
        </is>
      </c>
    </row>
    <row r="257">
      <c r="A257" t="inlineStr">
        <is>
          <t>Gerenciamento de Configuração de Serviço</t>
        </is>
      </c>
      <c r="B257" t="inlineStr">
        <is>
          <t>Gerenciamento de Incidentes</t>
        </is>
      </c>
      <c r="C257" t="inlineStr">
        <is>
          <t>#364</t>
        </is>
      </c>
      <c r="D257" t="inlineStr">
        <is>
          <t>rag</t>
        </is>
      </c>
    </row>
    <row r="258">
      <c r="A258" t="inlineStr">
        <is>
          <t>Gerenciamento de Problemas</t>
        </is>
      </c>
      <c r="B258" t="inlineStr">
        <is>
          <t>Desenvolvimento e Gerenciamento de Software</t>
        </is>
      </c>
      <c r="C258" t="inlineStr">
        <is>
          <t>#366</t>
        </is>
      </c>
      <c r="D258" t="inlineStr">
        <is>
          <t>rag</t>
        </is>
      </c>
    </row>
    <row r="259">
      <c r="A259" t="inlineStr">
        <is>
          <t>Gerenciamento de Incidentes</t>
        </is>
      </c>
      <c r="B259" t="inlineStr">
        <is>
          <t>Gerenciamento de Disponibilidade</t>
        </is>
      </c>
      <c r="C259" t="inlineStr">
        <is>
          <t>#372</t>
        </is>
      </c>
      <c r="D259" t="inlineStr">
        <is>
          <t>rag</t>
        </is>
      </c>
    </row>
    <row r="260">
      <c r="A260" t="inlineStr">
        <is>
          <t>Habilitação de Mudança</t>
        </is>
      </c>
      <c r="B260" t="inlineStr">
        <is>
          <t>Gerenciamento Financeiro de Serviços</t>
        </is>
      </c>
      <c r="C260" t="inlineStr">
        <is>
          <t>#376</t>
        </is>
      </c>
      <c r="D260" t="inlineStr">
        <is>
          <t>rag</t>
        </is>
      </c>
    </row>
    <row r="261">
      <c r="A261" t="inlineStr">
        <is>
          <t>Gerenciamento de Incidentes</t>
        </is>
      </c>
      <c r="B261" t="inlineStr">
        <is>
          <t>Gerenciamento de Ativos de TI</t>
        </is>
      </c>
      <c r="C261" t="inlineStr">
        <is>
          <t>#398</t>
        </is>
      </c>
      <c r="D261" t="inlineStr">
        <is>
          <t>rag</t>
        </is>
      </c>
    </row>
    <row r="262">
      <c r="A262" t="inlineStr">
        <is>
          <t>Gerenciamento de Problemas</t>
        </is>
      </c>
      <c r="B262" t="inlineStr">
        <is>
          <t>Gerenciamento de Capacidade e Desempenho</t>
        </is>
      </c>
      <c r="C262" t="inlineStr">
        <is>
          <t>#403</t>
        </is>
      </c>
      <c r="D262" t="inlineStr">
        <is>
          <t>rag</t>
        </is>
      </c>
    </row>
    <row r="263">
      <c r="A263" t="inlineStr">
        <is>
          <t>Gerenciamento de Requisição de Serviço</t>
        </is>
      </c>
      <c r="B263" t="inlineStr">
        <is>
          <t>Central de Serviço</t>
        </is>
      </c>
      <c r="C263" t="inlineStr">
        <is>
          <t>#405</t>
        </is>
      </c>
      <c r="D263" t="inlineStr">
        <is>
          <t>rag</t>
        </is>
      </c>
    </row>
    <row r="264">
      <c r="A264" t="inlineStr">
        <is>
          <t>Gerenciamento de Nível de Serviço</t>
        </is>
      </c>
      <c r="B264" t="inlineStr">
        <is>
          <t>Gerenciamento Financeiro de Serviços</t>
        </is>
      </c>
      <c r="C264" t="inlineStr">
        <is>
          <t>#424</t>
        </is>
      </c>
      <c r="D264" t="inlineStr">
        <is>
          <t>rag</t>
        </is>
      </c>
    </row>
    <row r="265">
      <c r="A265" t="inlineStr">
        <is>
          <t>Gerenciamento de Incidentes</t>
        </is>
      </c>
      <c r="B265" t="inlineStr">
        <is>
          <t>Gerenciamento de Fornecedor</t>
        </is>
      </c>
      <c r="C265" t="inlineStr">
        <is>
          <t>#451</t>
        </is>
      </c>
      <c r="D265" t="inlineStr">
        <is>
          <t>rag</t>
        </is>
      </c>
    </row>
    <row r="266">
      <c r="A266" t="inlineStr">
        <is>
          <t>Gerenciamento Financeiro de Serviços</t>
        </is>
      </c>
      <c r="B266" t="inlineStr">
        <is>
          <t>Gerenciamento de Segurança da Informação</t>
        </is>
      </c>
      <c r="C266" t="inlineStr">
        <is>
          <t>#452</t>
        </is>
      </c>
      <c r="D266" t="inlineStr">
        <is>
          <t>rag</t>
        </is>
      </c>
    </row>
    <row r="267">
      <c r="A267" t="inlineStr">
        <is>
          <t>Gerenciamento de Requisição de Serviço</t>
        </is>
      </c>
      <c r="B267" t="inlineStr">
        <is>
          <t>Habilitação de Mudança</t>
        </is>
      </c>
      <c r="C267" t="inlineStr">
        <is>
          <t>#459</t>
        </is>
      </c>
      <c r="D267" t="inlineStr">
        <is>
          <t>rag</t>
        </is>
      </c>
    </row>
    <row r="268">
      <c r="A268" t="inlineStr">
        <is>
          <t>Gerenciamento Financeiro de Serviços</t>
        </is>
      </c>
      <c r="B268" t="inlineStr">
        <is>
          <t>Gerenciamento de Capacidade e Desempenho</t>
        </is>
      </c>
      <c r="C268" t="inlineStr">
        <is>
          <t>#461</t>
        </is>
      </c>
      <c r="D268" t="inlineStr">
        <is>
          <t>rag</t>
        </is>
      </c>
    </row>
    <row r="269">
      <c r="A269" t="inlineStr">
        <is>
          <t>Gerenciamento de Requisição de Serviço</t>
        </is>
      </c>
      <c r="B269" t="inlineStr">
        <is>
          <t>Gerenciamento de Relacionamento</t>
        </is>
      </c>
      <c r="C269" t="inlineStr">
        <is>
          <t>#466</t>
        </is>
      </c>
      <c r="D269" t="inlineStr">
        <is>
          <t>rag</t>
        </is>
      </c>
    </row>
    <row r="270">
      <c r="A270" t="inlineStr">
        <is>
          <t>Gerenciamento de Requisição de Serviço</t>
        </is>
      </c>
      <c r="B270" t="inlineStr">
        <is>
          <t>Gerenciamento de Fornecedor</t>
        </is>
      </c>
      <c r="C270" t="inlineStr">
        <is>
          <t>#468</t>
        </is>
      </c>
      <c r="D270" t="inlineStr">
        <is>
          <t>rag</t>
        </is>
      </c>
    </row>
    <row r="271">
      <c r="A271" t="inlineStr">
        <is>
          <t>Gerenciamento de Incidentes</t>
        </is>
      </c>
      <c r="B271" t="inlineStr">
        <is>
          <t>Gerenciamento de Problemas</t>
        </is>
      </c>
      <c r="C271" t="inlineStr">
        <is>
          <t>#470</t>
        </is>
      </c>
      <c r="D271" t="inlineStr">
        <is>
          <t>rag</t>
        </is>
      </c>
    </row>
    <row r="272">
      <c r="A272" t="inlineStr">
        <is>
          <t>Gerenciamento Financeiro de Serviços</t>
        </is>
      </c>
      <c r="B272" t="inlineStr">
        <is>
          <t>Gerenciamento de Capacidade e Desempenho</t>
        </is>
      </c>
      <c r="C272" t="inlineStr">
        <is>
          <t>#479</t>
        </is>
      </c>
      <c r="D272" t="inlineStr">
        <is>
          <t>rag</t>
        </is>
      </c>
    </row>
    <row r="273">
      <c r="A273" t="inlineStr">
        <is>
          <t>Gerenciamento de Incidentes</t>
        </is>
      </c>
      <c r="B273" t="inlineStr">
        <is>
          <t>Gerenciamento de Continuidade de Serviço</t>
        </is>
      </c>
      <c r="C273" t="inlineStr">
        <is>
          <t>#485</t>
        </is>
      </c>
      <c r="D273" t="inlineStr">
        <is>
          <t>rag</t>
        </is>
      </c>
    </row>
    <row r="274">
      <c r="A274" t="inlineStr">
        <is>
          <t>Gerenciamento de Problemas</t>
        </is>
      </c>
      <c r="B274" t="inlineStr">
        <is>
          <t>Gerenciamento de Infraestrutura e Plataforma</t>
        </is>
      </c>
      <c r="C274" t="inlineStr">
        <is>
          <t>#492</t>
        </is>
      </c>
      <c r="D274" t="inlineStr">
        <is>
          <t>rag</t>
        </is>
      </c>
    </row>
    <row r="275">
      <c r="A275" t="inlineStr">
        <is>
          <t>Gerenciamento de Problemas</t>
        </is>
      </c>
      <c r="B275" t="inlineStr">
        <is>
          <t>Gerenciamento de Incidentes</t>
        </is>
      </c>
      <c r="C275" t="inlineStr">
        <is>
          <t>#496</t>
        </is>
      </c>
      <c r="D275" t="inlineStr">
        <is>
          <t>rag</t>
        </is>
      </c>
    </row>
    <row r="276">
      <c r="A276" t="inlineStr">
        <is>
          <t>Gerenciamento de Problemas</t>
        </is>
      </c>
      <c r="B276" t="inlineStr">
        <is>
          <t>Gerenciamento de Configuração de Serviço</t>
        </is>
      </c>
      <c r="C276" t="inlineStr">
        <is>
          <t>#504</t>
        </is>
      </c>
      <c r="D276" t="inlineStr">
        <is>
          <t>rag</t>
        </is>
      </c>
    </row>
    <row r="277">
      <c r="A277" t="inlineStr">
        <is>
          <t>Gerenciamento Financeiro de Serviços</t>
        </is>
      </c>
      <c r="B277" t="inlineStr">
        <is>
          <t>Gerenciamento de Capacidade e Desempenho</t>
        </is>
      </c>
      <c r="C277" t="inlineStr">
        <is>
          <t>#516</t>
        </is>
      </c>
      <c r="D277" t="inlineStr">
        <is>
          <t>rag</t>
        </is>
      </c>
    </row>
    <row r="278">
      <c r="A278" t="inlineStr">
        <is>
          <t>Gerenciamento de Capacidade e Desempenho</t>
        </is>
      </c>
      <c r="B278" t="inlineStr">
        <is>
          <t>Gerenciamento de Nível de Serviço</t>
        </is>
      </c>
      <c r="C278" t="inlineStr">
        <is>
          <t>#537</t>
        </is>
      </c>
      <c r="D278" t="inlineStr">
        <is>
          <t>rag</t>
        </is>
      </c>
    </row>
    <row r="279">
      <c r="A279" t="inlineStr">
        <is>
          <t>Gerenciamento de Liberação</t>
        </is>
      </c>
      <c r="B279" t="inlineStr">
        <is>
          <t>Gerenciamento de Disponibilidade</t>
        </is>
      </c>
      <c r="C279" t="inlineStr">
        <is>
          <t>#546</t>
        </is>
      </c>
      <c r="D279" t="inlineStr">
        <is>
          <t>rag</t>
        </is>
      </c>
    </row>
    <row r="280">
      <c r="A280" t="inlineStr">
        <is>
          <t>Gerenciamento de Capacidade e Desempenho</t>
        </is>
      </c>
      <c r="B280" t="inlineStr">
        <is>
          <t>Gerenciamento de Ativos de TI</t>
        </is>
      </c>
      <c r="C280" t="inlineStr">
        <is>
          <t>#547</t>
        </is>
      </c>
      <c r="D280" t="inlineStr">
        <is>
          <t>rag</t>
        </is>
      </c>
    </row>
    <row r="281">
      <c r="A281" t="inlineStr">
        <is>
          <t>Gerenciamento de Fornecedor</t>
        </is>
      </c>
      <c r="B281" t="inlineStr">
        <is>
          <t>Gerenciamento de Ativos de TI</t>
        </is>
      </c>
      <c r="C281" t="inlineStr">
        <is>
          <t>#579</t>
        </is>
      </c>
      <c r="D281" t="inlineStr">
        <is>
          <t>rag</t>
        </is>
      </c>
    </row>
    <row r="282">
      <c r="A282" t="inlineStr">
        <is>
          <t>Gerenciamento de Problemas</t>
        </is>
      </c>
      <c r="B282" t="inlineStr">
        <is>
          <t>Gerenciamento de Configuração de Serviço</t>
        </is>
      </c>
      <c r="C282" t="inlineStr">
        <is>
          <t>#580</t>
        </is>
      </c>
      <c r="D282" t="inlineStr">
        <is>
          <t>rag</t>
        </is>
      </c>
    </row>
    <row r="283">
      <c r="A283" t="inlineStr">
        <is>
          <t>Gerenciamento de Capacidade e Desempenho</t>
        </is>
      </c>
      <c r="B283" t="inlineStr">
        <is>
          <t>Habilitação de Mudança</t>
        </is>
      </c>
      <c r="C283" t="inlineStr">
        <is>
          <t>#585</t>
        </is>
      </c>
      <c r="D283" t="inlineStr">
        <is>
          <t>rag</t>
        </is>
      </c>
    </row>
    <row r="284">
      <c r="A284" t="inlineStr">
        <is>
          <t>Gerenciamento Financeiro de Serviços</t>
        </is>
      </c>
      <c r="B284" t="inlineStr">
        <is>
          <t>Gerenciamento de Catálogo de Serviço</t>
        </is>
      </c>
      <c r="C284" t="inlineStr">
        <is>
          <t>#620</t>
        </is>
      </c>
      <c r="D284" t="inlineStr">
        <is>
          <t>rag</t>
        </is>
      </c>
    </row>
    <row r="285">
      <c r="A285" t="inlineStr">
        <is>
          <t>Gerenciamento de Catálogo de Serviço</t>
        </is>
      </c>
      <c r="B285" t="inlineStr">
        <is>
          <t>Gerenciamento de Relacionamento</t>
        </is>
      </c>
      <c r="C285" t="inlineStr">
        <is>
          <t>#634</t>
        </is>
      </c>
      <c r="D285" t="inlineStr">
        <is>
          <t>rag</t>
        </is>
      </c>
    </row>
    <row r="286">
      <c r="A286" t="inlineStr">
        <is>
          <t>Gerenciamento de Problemas</t>
        </is>
      </c>
      <c r="B286" t="inlineStr">
        <is>
          <t>Gerenciamento de Fornecedor</t>
        </is>
      </c>
      <c r="C286" t="inlineStr">
        <is>
          <t>#650</t>
        </is>
      </c>
      <c r="D286" t="inlineStr">
        <is>
          <t>rag</t>
        </is>
      </c>
    </row>
    <row r="287">
      <c r="A287" t="inlineStr">
        <is>
          <t>Habilitação de Mudança</t>
        </is>
      </c>
      <c r="B287" t="inlineStr">
        <is>
          <t>Gerenciamento de Liberação</t>
        </is>
      </c>
      <c r="C287" t="inlineStr">
        <is>
          <t>#656</t>
        </is>
      </c>
      <c r="D287" t="inlineStr">
        <is>
          <t>rag</t>
        </is>
      </c>
    </row>
    <row r="288">
      <c r="A288" t="inlineStr">
        <is>
          <t>Gerenciamento de Disponibilidade</t>
        </is>
      </c>
      <c r="B288" t="inlineStr">
        <is>
          <t>Gerenciamento de Continuidade de Serviço</t>
        </is>
      </c>
      <c r="C288" t="inlineStr">
        <is>
          <t>#658</t>
        </is>
      </c>
      <c r="D288" t="inlineStr">
        <is>
          <t>rag</t>
        </is>
      </c>
    </row>
    <row r="289">
      <c r="A289" t="inlineStr">
        <is>
          <t>Habilitação de Mudança</t>
        </is>
      </c>
      <c r="B289" t="inlineStr">
        <is>
          <t>Gerenciamento de Problemas</t>
        </is>
      </c>
      <c r="C289" t="inlineStr">
        <is>
          <t>#663</t>
        </is>
      </c>
      <c r="D289" t="inlineStr">
        <is>
          <t>rag</t>
        </is>
      </c>
    </row>
    <row r="290">
      <c r="A290" t="inlineStr">
        <is>
          <t>Gerenciamento de Disponibilidade</t>
        </is>
      </c>
      <c r="B290" t="inlineStr">
        <is>
          <t>Gerenciamento de Liberação</t>
        </is>
      </c>
      <c r="C290" t="inlineStr">
        <is>
          <t>#664</t>
        </is>
      </c>
      <c r="D290" t="inlineStr">
        <is>
          <t>rag</t>
        </is>
      </c>
    </row>
    <row r="291">
      <c r="A291" t="inlineStr">
        <is>
          <t>Gerenciamento de Ativos de TI</t>
        </is>
      </c>
      <c r="B291" t="inlineStr">
        <is>
          <t>Gerenciamento de Fornecedor</t>
        </is>
      </c>
      <c r="C291" t="inlineStr">
        <is>
          <t>#670</t>
        </is>
      </c>
      <c r="D291" t="inlineStr">
        <is>
          <t>rag</t>
        </is>
      </c>
    </row>
    <row r="292">
      <c r="A292" t="inlineStr">
        <is>
          <t>Gerenciamento de Disponibilidade</t>
        </is>
      </c>
      <c r="B292" t="inlineStr">
        <is>
          <t>Gerenciamento de Nível de Serviço</t>
        </is>
      </c>
      <c r="C292" t="inlineStr">
        <is>
          <t>#674</t>
        </is>
      </c>
      <c r="D292" t="inlineStr">
        <is>
          <t>rag</t>
        </is>
      </c>
    </row>
    <row r="293">
      <c r="A293" t="inlineStr">
        <is>
          <t>Gerenciamento de Capacidade e Desempenho</t>
        </is>
      </c>
      <c r="B293" t="inlineStr">
        <is>
          <t>Gerenciamento Financeiro de Serviços</t>
        </is>
      </c>
      <c r="C293" t="inlineStr">
        <is>
          <t>#683</t>
        </is>
      </c>
      <c r="D293" t="inlineStr">
        <is>
          <t>rag</t>
        </is>
      </c>
    </row>
    <row r="294">
      <c r="A294" t="inlineStr">
        <is>
          <t>Gerenciamento de Disponibilidade</t>
        </is>
      </c>
      <c r="B294" t="inlineStr">
        <is>
          <t>Gerenciamento de Problemas</t>
        </is>
      </c>
      <c r="C294" t="inlineStr">
        <is>
          <t>#698</t>
        </is>
      </c>
      <c r="D294" t="inlineStr">
        <is>
          <t>rag</t>
        </is>
      </c>
    </row>
    <row r="295">
      <c r="A295" t="inlineStr">
        <is>
          <t>Gerenciamento de Problemas</t>
        </is>
      </c>
      <c r="B295" t="inlineStr">
        <is>
          <t>Gerenciamento de Configuração de Serviço</t>
        </is>
      </c>
      <c r="C295" t="inlineStr">
        <is>
          <t>#706</t>
        </is>
      </c>
      <c r="D295" t="inlineStr">
        <is>
          <t>rag</t>
        </is>
      </c>
    </row>
    <row r="296">
      <c r="A296" t="inlineStr">
        <is>
          <t>Melhoria Contínua</t>
        </is>
      </c>
      <c r="B296" t="inlineStr">
        <is>
          <t>Gerenciamento de Configuração de Serviço</t>
        </is>
      </c>
      <c r="C296" t="inlineStr">
        <is>
          <t>#707</t>
        </is>
      </c>
      <c r="D296" t="inlineStr">
        <is>
          <t>rag</t>
        </is>
      </c>
    </row>
    <row r="297">
      <c r="A297" t="inlineStr">
        <is>
          <t>Gerenciamento de Catálogo de Serviço</t>
        </is>
      </c>
      <c r="B297" t="inlineStr">
        <is>
          <t>Gerenciamento de Relacionamento</t>
        </is>
      </c>
      <c r="C297" t="inlineStr">
        <is>
          <t>#709</t>
        </is>
      </c>
      <c r="D297" t="inlineStr">
        <is>
          <t>rag</t>
        </is>
      </c>
    </row>
    <row r="298">
      <c r="A298" t="inlineStr">
        <is>
          <t>Gerenciamento de Fornecedor</t>
        </is>
      </c>
      <c r="B298" t="inlineStr">
        <is>
          <t>Gerenciamento de Ativos de TI</t>
        </is>
      </c>
      <c r="C298" t="inlineStr">
        <is>
          <t>#710</t>
        </is>
      </c>
      <c r="D298" t="inlineStr">
        <is>
          <t>rag</t>
        </is>
      </c>
    </row>
    <row r="299">
      <c r="A299" t="inlineStr">
        <is>
          <t>Gerenciamento de Liberação</t>
        </is>
      </c>
      <c r="B299" t="inlineStr">
        <is>
          <t>Gerenciamento de Configuração de Serviço</t>
        </is>
      </c>
      <c r="C299" t="inlineStr">
        <is>
          <t>#720</t>
        </is>
      </c>
      <c r="D299" t="inlineStr">
        <is>
          <t>rag</t>
        </is>
      </c>
    </row>
    <row r="300">
      <c r="A300" t="inlineStr">
        <is>
          <t>Gerenciamento de Segurança da Informação</t>
        </is>
      </c>
      <c r="B300" t="inlineStr">
        <is>
          <t>Gerenciamento de Configuração de Serviço</t>
        </is>
      </c>
      <c r="C300" t="inlineStr">
        <is>
          <t>#752</t>
        </is>
      </c>
      <c r="D300" t="inlineStr">
        <is>
          <t>rag</t>
        </is>
      </c>
    </row>
    <row r="301">
      <c r="A301" t="inlineStr">
        <is>
          <t>Gerenciamento de Fornecedor</t>
        </is>
      </c>
      <c r="B301" t="inlineStr">
        <is>
          <t>Gerenciamento de Ativos de TI</t>
        </is>
      </c>
      <c r="C301" t="inlineStr">
        <is>
          <t>#756</t>
        </is>
      </c>
      <c r="D301" t="inlineStr">
        <is>
          <t>rag</t>
        </is>
      </c>
    </row>
    <row r="302">
      <c r="A302" t="inlineStr">
        <is>
          <t>Gerenciamento de Problemas</t>
        </is>
      </c>
      <c r="B302" t="inlineStr">
        <is>
          <t>Gerenciamento de Capacidade e Desempenho</t>
        </is>
      </c>
      <c r="C302" t="inlineStr">
        <is>
          <t>#757</t>
        </is>
      </c>
      <c r="D302" t="inlineStr">
        <is>
          <t>rag</t>
        </is>
      </c>
    </row>
    <row r="303">
      <c r="A303" t="inlineStr">
        <is>
          <t>Gerenciamento de Relacionamento</t>
        </is>
      </c>
      <c r="B303" t="inlineStr">
        <is>
          <t>Gerenciamento de Requisição de Serviço</t>
        </is>
      </c>
      <c r="C303" t="inlineStr">
        <is>
          <t>#764</t>
        </is>
      </c>
      <c r="D303" t="inlineStr">
        <is>
          <t>rag</t>
        </is>
      </c>
    </row>
    <row r="304">
      <c r="A304" t="inlineStr">
        <is>
          <t>Gerenciamento de Problemas</t>
        </is>
      </c>
      <c r="B304" t="inlineStr">
        <is>
          <t>Gerenciamento de Liberação</t>
        </is>
      </c>
      <c r="C304" t="inlineStr">
        <is>
          <t>#768</t>
        </is>
      </c>
      <c r="D304" t="inlineStr">
        <is>
          <t>rag</t>
        </is>
      </c>
    </row>
    <row r="305">
      <c r="A305" t="inlineStr">
        <is>
          <t>Gerenciamento de Configuração de Serviço</t>
        </is>
      </c>
      <c r="B305" t="inlineStr">
        <is>
          <t>Gerenciamento de Catálogo de Serviço</t>
        </is>
      </c>
      <c r="C305" t="inlineStr">
        <is>
          <t>#783</t>
        </is>
      </c>
      <c r="D305" t="inlineStr">
        <is>
          <t>rag</t>
        </is>
      </c>
    </row>
    <row r="306">
      <c r="A306" t="inlineStr">
        <is>
          <t>Gerenciamento de Problemas</t>
        </is>
      </c>
      <c r="B306" t="inlineStr">
        <is>
          <t>Gerenciamento de Liberação</t>
        </is>
      </c>
      <c r="C306" t="inlineStr">
        <is>
          <t>#787</t>
        </is>
      </c>
      <c r="D306" t="inlineStr">
        <is>
          <t>rag</t>
        </is>
      </c>
    </row>
    <row r="307">
      <c r="A307" t="inlineStr">
        <is>
          <t>Gerenciamento de Problemas</t>
        </is>
      </c>
      <c r="B307" t="inlineStr">
        <is>
          <t>Gerenciamento de Configuração de Serviço</t>
        </is>
      </c>
      <c r="C307" t="inlineStr">
        <is>
          <t>#788</t>
        </is>
      </c>
      <c r="D307" t="inlineStr">
        <is>
          <t>rag</t>
        </is>
      </c>
    </row>
    <row r="308">
      <c r="A308" t="inlineStr">
        <is>
          <t>Gerenciamento de Problemas</t>
        </is>
      </c>
      <c r="B308" t="inlineStr">
        <is>
          <t>Gerenciamento de Capacidade e Desempenho</t>
        </is>
      </c>
      <c r="C308" t="inlineStr">
        <is>
          <t>#794</t>
        </is>
      </c>
      <c r="D308" t="inlineStr">
        <is>
          <t>rag</t>
        </is>
      </c>
    </row>
    <row r="309">
      <c r="A309" t="inlineStr">
        <is>
          <t>Gerenciamento de Requisição de Serviço</t>
        </is>
      </c>
      <c r="B309" t="inlineStr">
        <is>
          <t>Gerenciamento de Catálogo de Serviço</t>
        </is>
      </c>
      <c r="C309" t="inlineStr">
        <is>
          <t>#800</t>
        </is>
      </c>
      <c r="D309" t="inlineStr">
        <is>
          <t>rag</t>
        </is>
      </c>
    </row>
    <row r="310">
      <c r="A310" t="inlineStr">
        <is>
          <t>Gerenciamento de Incidentes</t>
        </is>
      </c>
      <c r="B310" t="inlineStr">
        <is>
          <t>Gerenciamento de Ativos de TI</t>
        </is>
      </c>
      <c r="C310" t="inlineStr">
        <is>
          <t>#801</t>
        </is>
      </c>
      <c r="D310" t="inlineStr">
        <is>
          <t>rag</t>
        </is>
      </c>
    </row>
    <row r="311">
      <c r="A311" t="inlineStr">
        <is>
          <t>Gerenciamento de Problemas</t>
        </is>
      </c>
      <c r="B311" t="inlineStr">
        <is>
          <t>Gerenciamento de Ativos de TI</t>
        </is>
      </c>
      <c r="C311" t="inlineStr">
        <is>
          <t>#807</t>
        </is>
      </c>
      <c r="D311" t="inlineStr">
        <is>
          <t>rag</t>
        </is>
      </c>
    </row>
    <row r="312">
      <c r="A312" t="inlineStr">
        <is>
          <t>Gerenciamento Financeiro de Serviços</t>
        </is>
      </c>
      <c r="B312" t="inlineStr">
        <is>
          <t>Gerenciamento de Relacionamento</t>
        </is>
      </c>
      <c r="C312" t="inlineStr">
        <is>
          <t>#824</t>
        </is>
      </c>
      <c r="D312" t="inlineStr">
        <is>
          <t>rag</t>
        </is>
      </c>
    </row>
    <row r="313">
      <c r="A313" t="inlineStr">
        <is>
          <t>Gerenciamento de Relacionamento</t>
        </is>
      </c>
      <c r="B313" t="inlineStr">
        <is>
          <t>Gerenciamento de Catálogo de Serviço</t>
        </is>
      </c>
      <c r="C313" t="inlineStr">
        <is>
          <t>#825</t>
        </is>
      </c>
      <c r="D313" t="inlineStr">
        <is>
          <t>rag</t>
        </is>
      </c>
    </row>
    <row r="314">
      <c r="A314" t="inlineStr">
        <is>
          <t>Gerenciamento de Nível de Serviço</t>
        </is>
      </c>
      <c r="B314" t="inlineStr">
        <is>
          <t>Gerenciamento de Problemas</t>
        </is>
      </c>
      <c r="C314" t="inlineStr">
        <is>
          <t>#830</t>
        </is>
      </c>
      <c r="D314" t="inlineStr">
        <is>
          <t>rag</t>
        </is>
      </c>
    </row>
    <row r="315">
      <c r="A315" t="inlineStr">
        <is>
          <t>Gerenciamento de Requisição de Serviço</t>
        </is>
      </c>
      <c r="B315" t="inlineStr">
        <is>
          <t>Habilitação de Mudança</t>
        </is>
      </c>
      <c r="C315" t="inlineStr">
        <is>
          <t>#837</t>
        </is>
      </c>
      <c r="D315" t="inlineStr">
        <is>
          <t>rag</t>
        </is>
      </c>
    </row>
    <row r="316">
      <c r="A316" t="inlineStr">
        <is>
          <t>Gerenciamento de Problemas</t>
        </is>
      </c>
      <c r="B316" t="inlineStr">
        <is>
          <t>Gerenciamento de Capacidade e Desempenho</t>
        </is>
      </c>
      <c r="C316" t="inlineStr">
        <is>
          <t>#852</t>
        </is>
      </c>
      <c r="D316" t="inlineStr">
        <is>
          <t>rag</t>
        </is>
      </c>
    </row>
    <row r="317">
      <c r="A317" t="inlineStr">
        <is>
          <t>Gerenciamento de Disponibilidade</t>
        </is>
      </c>
      <c r="B317" t="inlineStr">
        <is>
          <t>Gerenciamento de Incidentes</t>
        </is>
      </c>
      <c r="C317" t="inlineStr">
        <is>
          <t>#863</t>
        </is>
      </c>
      <c r="D317" t="inlineStr">
        <is>
          <t>rag</t>
        </is>
      </c>
    </row>
    <row r="318">
      <c r="A318" t="inlineStr">
        <is>
          <t>Gerenciamento de Catálogo de Serviço</t>
        </is>
      </c>
      <c r="B318" t="inlineStr">
        <is>
          <t>Gerenciamento de Relacionamento</t>
        </is>
      </c>
      <c r="C318" t="inlineStr">
        <is>
          <t>#866</t>
        </is>
      </c>
      <c r="D318" t="inlineStr">
        <is>
          <t>rag</t>
        </is>
      </c>
    </row>
    <row r="319">
      <c r="A319" t="inlineStr">
        <is>
          <t>Gerenciamento Financeiro de Serviços</t>
        </is>
      </c>
      <c r="B319" t="inlineStr">
        <is>
          <t>Gerenciamento de Incidentes</t>
        </is>
      </c>
      <c r="C319" t="inlineStr">
        <is>
          <t>#872</t>
        </is>
      </c>
      <c r="D319" t="inlineStr">
        <is>
          <t>rag</t>
        </is>
      </c>
    </row>
    <row r="320">
      <c r="A320" t="inlineStr">
        <is>
          <t>Gerenciamento de Problemas</t>
        </is>
      </c>
      <c r="B320" t="inlineStr">
        <is>
          <t>Gerenciamento de Ativos de TI</t>
        </is>
      </c>
      <c r="C320" t="inlineStr">
        <is>
          <t>#873</t>
        </is>
      </c>
      <c r="D320" t="inlineStr">
        <is>
          <t>rag</t>
        </is>
      </c>
    </row>
    <row r="321">
      <c r="A321" t="inlineStr">
        <is>
          <t>Gerenciamento de Problemas</t>
        </is>
      </c>
      <c r="B321" t="inlineStr">
        <is>
          <t>Gerenciamento de Ativos de TI</t>
        </is>
      </c>
      <c r="C321" t="inlineStr">
        <is>
          <t>#890</t>
        </is>
      </c>
      <c r="D321" t="inlineStr">
        <is>
          <t>rag</t>
        </is>
      </c>
    </row>
    <row r="322">
      <c r="A322" t="inlineStr">
        <is>
          <t>Gerenciamento de Problemas</t>
        </is>
      </c>
      <c r="B322" t="inlineStr">
        <is>
          <t>Gerenciamento de Liberação</t>
        </is>
      </c>
      <c r="C322" t="inlineStr">
        <is>
          <t>#895</t>
        </is>
      </c>
      <c r="D322" t="inlineStr">
        <is>
          <t>rag</t>
        </is>
      </c>
    </row>
    <row r="323">
      <c r="A323" t="inlineStr">
        <is>
          <t>Gerenciamento de Problemas</t>
        </is>
      </c>
      <c r="B323" t="inlineStr">
        <is>
          <t>Gerenciamento de Configuração de Serviço</t>
        </is>
      </c>
      <c r="C323" t="inlineStr">
        <is>
          <t>#896</t>
        </is>
      </c>
      <c r="D323" t="inlineStr">
        <is>
          <t>rag</t>
        </is>
      </c>
    </row>
    <row r="324">
      <c r="A324" t="inlineStr">
        <is>
          <t>Gerenciamento de Configuração de Serviço</t>
        </is>
      </c>
      <c r="B324" t="inlineStr">
        <is>
          <t>Gerenciamento de Segurança da Informação</t>
        </is>
      </c>
      <c r="C324" t="inlineStr">
        <is>
          <t>#909</t>
        </is>
      </c>
      <c r="D324" t="inlineStr">
        <is>
          <t>rag</t>
        </is>
      </c>
    </row>
    <row r="325">
      <c r="A325" t="inlineStr">
        <is>
          <t>Gerenciamento de Disponibilidade</t>
        </is>
      </c>
      <c r="B325" t="inlineStr">
        <is>
          <t>Gerenciamento de Continuidade de Serviço</t>
        </is>
      </c>
      <c r="C325" t="inlineStr">
        <is>
          <t>#932</t>
        </is>
      </c>
      <c r="D325" t="inlineStr">
        <is>
          <t>rag</t>
        </is>
      </c>
    </row>
    <row r="326">
      <c r="A326" t="inlineStr">
        <is>
          <t>Gerenciamento de Problemas</t>
        </is>
      </c>
      <c r="B326" t="inlineStr">
        <is>
          <t>Gerenciamento de Ativos de TI</t>
        </is>
      </c>
      <c r="C326" t="inlineStr">
        <is>
          <t>#935</t>
        </is>
      </c>
      <c r="D326" t="inlineStr">
        <is>
          <t>rag</t>
        </is>
      </c>
    </row>
    <row r="327">
      <c r="A327" t="inlineStr">
        <is>
          <t>Gerenciamento de Segurança da Informação</t>
        </is>
      </c>
      <c r="B327" t="inlineStr">
        <is>
          <t>Gerenciamento de Monitoração e Eventos</t>
        </is>
      </c>
      <c r="C327" t="inlineStr">
        <is>
          <t>#948</t>
        </is>
      </c>
      <c r="D327" t="inlineStr">
        <is>
          <t>rag</t>
        </is>
      </c>
    </row>
    <row r="328">
      <c r="A328" t="inlineStr">
        <is>
          <t>Gerenciamento Financeiro de Serviços</t>
        </is>
      </c>
      <c r="B328" t="inlineStr">
        <is>
          <t>Gerenciamento de Nível de Serviço</t>
        </is>
      </c>
      <c r="C328" t="inlineStr">
        <is>
          <t>#960</t>
        </is>
      </c>
      <c r="D328" t="inlineStr">
        <is>
          <t>rag</t>
        </is>
      </c>
    </row>
    <row r="329">
      <c r="A329" t="inlineStr">
        <is>
          <t>Gerenciamento Financeiro de Serviços</t>
        </is>
      </c>
      <c r="B329" t="inlineStr">
        <is>
          <t>Gerenciamento de Requisição de Serviço</t>
        </is>
      </c>
      <c r="C329" t="inlineStr">
        <is>
          <t>#967</t>
        </is>
      </c>
      <c r="D329" t="inlineStr">
        <is>
          <t>rag</t>
        </is>
      </c>
    </row>
    <row r="330">
      <c r="A330" t="inlineStr">
        <is>
          <t>Gerenciamento de Disponibilidade</t>
        </is>
      </c>
      <c r="B330" t="inlineStr">
        <is>
          <t>Gerenciamento de Problemas</t>
        </is>
      </c>
      <c r="C330" t="inlineStr">
        <is>
          <t>#977</t>
        </is>
      </c>
      <c r="D330" t="inlineStr">
        <is>
          <t>rag</t>
        </is>
      </c>
    </row>
    <row r="331">
      <c r="A331" t="inlineStr">
        <is>
          <t>Gerenciamento de Disponibilidade</t>
        </is>
      </c>
      <c r="B331" t="inlineStr">
        <is>
          <t>Gerenciamento de Incidentes</t>
        </is>
      </c>
      <c r="C331" t="inlineStr">
        <is>
          <t>#992</t>
        </is>
      </c>
      <c r="D331" t="inlineStr">
        <is>
          <t>rag</t>
        </is>
      </c>
    </row>
    <row r="332">
      <c r="A332" t="inlineStr">
        <is>
          <t>Habilitação de Mudança</t>
        </is>
      </c>
      <c r="B332" t="inlineStr">
        <is>
          <t>Gerenciamento de Relacionamento</t>
        </is>
      </c>
      <c r="C332" t="inlineStr">
        <is>
          <t>#994</t>
        </is>
      </c>
      <c r="D332" t="inlineStr">
        <is>
          <t>rag</t>
        </is>
      </c>
    </row>
    <row r="333">
      <c r="A333" t="inlineStr">
        <is>
          <t>Gerenciamento de Continuidade de Serviço</t>
        </is>
      </c>
      <c r="B333" t="inlineStr">
        <is>
          <t>Gerenciamento de Disponibilidade</t>
        </is>
      </c>
      <c r="C333" t="inlineStr">
        <is>
          <t>#997</t>
        </is>
      </c>
      <c r="D333" t="inlineStr">
        <is>
          <t>rag</t>
        </is>
      </c>
    </row>
    <row r="334">
      <c r="A334" t="inlineStr">
        <is>
          <t>Gerenciamento de Problemas</t>
        </is>
      </c>
      <c r="B334" t="inlineStr">
        <is>
          <t>Gerenciamento de Ativos de TI</t>
        </is>
      </c>
      <c r="C334" t="inlineStr">
        <is>
          <t>#1000</t>
        </is>
      </c>
      <c r="D334" t="inlineStr">
        <is>
          <t>rag</t>
        </is>
      </c>
    </row>
    <row r="335">
      <c r="A335" t="inlineStr">
        <is>
          <t>Gerenciamento de Problemas</t>
        </is>
      </c>
      <c r="B335" t="inlineStr">
        <is>
          <t>Gerenciamento de Configuração de Serviço</t>
        </is>
      </c>
      <c r="C335" t="inlineStr">
        <is>
          <t>#1001</t>
        </is>
      </c>
      <c r="D335" t="inlineStr">
        <is>
          <t>rag</t>
        </is>
      </c>
    </row>
    <row r="336">
      <c r="A336" t="inlineStr">
        <is>
          <t>Gerenciamento Financeiro de Serviços</t>
        </is>
      </c>
      <c r="B336" t="inlineStr">
        <is>
          <t>Gerenciamento de Relacionamento</t>
        </is>
      </c>
      <c r="C336" t="inlineStr">
        <is>
          <t>#1008</t>
        </is>
      </c>
      <c r="D336" t="inlineStr">
        <is>
          <t>rag</t>
        </is>
      </c>
    </row>
    <row r="337">
      <c r="A337" t="inlineStr">
        <is>
          <t>Gerenciamento de Problemas</t>
        </is>
      </c>
      <c r="B337" t="inlineStr">
        <is>
          <t>Habilitação de Mudança</t>
        </is>
      </c>
      <c r="C337" t="inlineStr">
        <is>
          <t>#1010</t>
        </is>
      </c>
      <c r="D337" t="inlineStr">
        <is>
          <t>rag</t>
        </is>
      </c>
    </row>
    <row r="338">
      <c r="A338" t="inlineStr">
        <is>
          <t>Gerenciamento de Nível de Serviço</t>
        </is>
      </c>
      <c r="B338" t="inlineStr">
        <is>
          <t>Gerenciamento de Configuração de Serviço</t>
        </is>
      </c>
      <c r="C338" t="inlineStr">
        <is>
          <t>#1014</t>
        </is>
      </c>
      <c r="D338" t="inlineStr">
        <is>
          <t>rag</t>
        </is>
      </c>
    </row>
    <row r="339">
      <c r="A339" t="inlineStr">
        <is>
          <t>Gerenciamento de Problemas</t>
        </is>
      </c>
      <c r="B339" t="inlineStr">
        <is>
          <t>Gerenciamento de Capacidade e Desempenho</t>
        </is>
      </c>
      <c r="C339" t="inlineStr">
        <is>
          <t>#1029</t>
        </is>
      </c>
      <c r="D339" t="inlineStr">
        <is>
          <t>rag</t>
        </is>
      </c>
    </row>
    <row r="340">
      <c r="A340" t="inlineStr">
        <is>
          <t>Gerenciamento de Requisição de Serviço</t>
        </is>
      </c>
      <c r="B340" t="inlineStr">
        <is>
          <t>Gerenciamento de Conhecimento</t>
        </is>
      </c>
      <c r="C340" t="inlineStr">
        <is>
          <t>#1031</t>
        </is>
      </c>
      <c r="D340" t="inlineStr">
        <is>
          <t>rag</t>
        </is>
      </c>
    </row>
    <row r="341">
      <c r="A341" t="inlineStr">
        <is>
          <t>Gerenciamento de Disponibilidade</t>
        </is>
      </c>
      <c r="B341" t="inlineStr">
        <is>
          <t>Monitoração e Gerenciamento de Eventos</t>
        </is>
      </c>
      <c r="C341" t="inlineStr">
        <is>
          <t>#1034</t>
        </is>
      </c>
      <c r="D341" t="inlineStr">
        <is>
          <t>rag</t>
        </is>
      </c>
    </row>
    <row r="342">
      <c r="A342" t="inlineStr">
        <is>
          <t>Gerenciamento de Incidentes</t>
        </is>
      </c>
      <c r="B342" t="inlineStr">
        <is>
          <t>Gerenciamento de Configuração de Serviço</t>
        </is>
      </c>
      <c r="C342" t="inlineStr">
        <is>
          <t>#1062</t>
        </is>
      </c>
      <c r="D342" t="inlineStr">
        <is>
          <t>rag</t>
        </is>
      </c>
    </row>
    <row r="343">
      <c r="A343" t="inlineStr">
        <is>
          <t>Gerenciamento Financeiro de Serviços</t>
        </is>
      </c>
      <c r="B343" t="inlineStr">
        <is>
          <t>Gerenciamento de Nível de Serviço</t>
        </is>
      </c>
      <c r="C343" t="inlineStr">
        <is>
          <t>#1067</t>
        </is>
      </c>
      <c r="D343" t="inlineStr">
        <is>
          <t>rag</t>
        </is>
      </c>
    </row>
    <row r="344">
      <c r="A344" t="inlineStr">
        <is>
          <t>Gerenciamento de Problemas</t>
        </is>
      </c>
      <c r="B344" t="inlineStr">
        <is>
          <t>Gerenciamento de Ativos de TI</t>
        </is>
      </c>
      <c r="C344" t="inlineStr">
        <is>
          <t>#1068</t>
        </is>
      </c>
      <c r="D344" t="inlineStr">
        <is>
          <t>rag</t>
        </is>
      </c>
    </row>
    <row r="345">
      <c r="A345" t="inlineStr">
        <is>
          <t>Gerenciamento de Problemas</t>
        </is>
      </c>
      <c r="B345" t="inlineStr">
        <is>
          <t>Gerenciamento de Capacidade e Desempenho</t>
        </is>
      </c>
      <c r="C345" t="inlineStr">
        <is>
          <t>#1080</t>
        </is>
      </c>
      <c r="D345" t="inlineStr">
        <is>
          <t>rag</t>
        </is>
      </c>
    </row>
    <row r="346">
      <c r="A346" t="inlineStr">
        <is>
          <t>Gerenciamento de Liberação</t>
        </is>
      </c>
      <c r="B346" t="inlineStr">
        <is>
          <t>Gerenciamento de Requisição de Serviço</t>
        </is>
      </c>
      <c r="C346" t="inlineStr">
        <is>
          <t>#1107</t>
        </is>
      </c>
      <c r="D346" t="inlineStr">
        <is>
          <t>rag</t>
        </is>
      </c>
    </row>
    <row r="347">
      <c r="A347" t="inlineStr">
        <is>
          <t>Gerenciamento de Requisição de Serviço</t>
        </is>
      </c>
      <c r="B347" t="inlineStr">
        <is>
          <t>Gerenciamento de Relacionamento</t>
        </is>
      </c>
      <c r="C347" t="inlineStr">
        <is>
          <t>#1128</t>
        </is>
      </c>
      <c r="D347" t="inlineStr">
        <is>
          <t>rag</t>
        </is>
      </c>
    </row>
    <row r="348">
      <c r="A348" t="inlineStr">
        <is>
          <t>Gerenciamento de Continuidade de Serviço de TI</t>
        </is>
      </c>
      <c r="B348" t="inlineStr">
        <is>
          <t>Gerenciamento de Segurança da Informação</t>
        </is>
      </c>
      <c r="C348" t="inlineStr">
        <is>
          <t>#1129</t>
        </is>
      </c>
      <c r="D348" t="inlineStr">
        <is>
          <t>rag</t>
        </is>
      </c>
    </row>
    <row r="349">
      <c r="A349" t="inlineStr">
        <is>
          <t>Gerenciamento de Problemas</t>
        </is>
      </c>
      <c r="B349" t="inlineStr">
        <is>
          <t>Gerenciamento de Capacidade e Desempenho</t>
        </is>
      </c>
      <c r="C349" t="inlineStr">
        <is>
          <t>#1141</t>
        </is>
      </c>
      <c r="D349" t="inlineStr">
        <is>
          <t>rag</t>
        </is>
      </c>
    </row>
    <row r="350">
      <c r="A350" t="inlineStr">
        <is>
          <t>Gerenciamento de Incidentes</t>
        </is>
      </c>
      <c r="B350" t="inlineStr">
        <is>
          <t>Gerenciamento de Configuração de Serviço</t>
        </is>
      </c>
      <c r="C350" t="inlineStr">
        <is>
          <t>#1148</t>
        </is>
      </c>
      <c r="D350" t="inlineStr">
        <is>
          <t>rag</t>
        </is>
      </c>
    </row>
    <row r="351">
      <c r="A351" t="inlineStr">
        <is>
          <t>Habilitação de Mudança</t>
        </is>
      </c>
      <c r="B351" t="inlineStr">
        <is>
          <t>Gerenciamento de Liberação</t>
        </is>
      </c>
      <c r="C351" t="inlineStr">
        <is>
          <t>#1150</t>
        </is>
      </c>
      <c r="D351" t="inlineStr">
        <is>
          <t>rag</t>
        </is>
      </c>
    </row>
    <row r="352">
      <c r="A352" t="inlineStr">
        <is>
          <t>Gerenciamento de Requisição de Serviço</t>
        </is>
      </c>
      <c r="B352" t="inlineStr">
        <is>
          <t>Gerenciamento de Conhecimento</t>
        </is>
      </c>
      <c r="C352" t="inlineStr">
        <is>
          <t>#1155</t>
        </is>
      </c>
      <c r="D352" t="inlineStr">
        <is>
          <t>rag</t>
        </is>
      </c>
    </row>
    <row r="353">
      <c r="A353" t="inlineStr">
        <is>
          <t>Gerenciamento de Problemas</t>
        </is>
      </c>
      <c r="B353" t="inlineStr">
        <is>
          <t>Gerenciamento de Ativos de TI</t>
        </is>
      </c>
      <c r="C353" t="inlineStr">
        <is>
          <t>#1161</t>
        </is>
      </c>
      <c r="D353" t="inlineStr">
        <is>
          <t>rag</t>
        </is>
      </c>
    </row>
    <row r="354">
      <c r="A354" t="inlineStr">
        <is>
          <t>Gerenciamento Financeiro de Serviços</t>
        </is>
      </c>
      <c r="B354" t="inlineStr">
        <is>
          <t>Gerenciamento de Relacionamento</t>
        </is>
      </c>
      <c r="C354" t="inlineStr">
        <is>
          <t>#1182</t>
        </is>
      </c>
      <c r="D354" t="inlineStr">
        <is>
          <t>rag</t>
        </is>
      </c>
    </row>
    <row r="355">
      <c r="A355" t="inlineStr">
        <is>
          <t>Gerenciamento de Disponibilidade</t>
        </is>
      </c>
      <c r="B355" t="inlineStr">
        <is>
          <t>Monitoração e Gerenciamento de Eventos</t>
        </is>
      </c>
      <c r="C355" t="inlineStr">
        <is>
          <t>#1203</t>
        </is>
      </c>
      <c r="D355" t="inlineStr">
        <is>
          <t>rag</t>
        </is>
      </c>
    </row>
    <row r="356">
      <c r="A356" t="inlineStr">
        <is>
          <t>Gerenciamento Financeiro de Serviços</t>
        </is>
      </c>
      <c r="B356" t="inlineStr">
        <is>
          <t>Gerenciamento de Capacidade e Desempenho</t>
        </is>
      </c>
      <c r="C356" t="inlineStr">
        <is>
          <t>#1205</t>
        </is>
      </c>
      <c r="D356" t="inlineStr">
        <is>
          <t>rag</t>
        </is>
      </c>
    </row>
    <row r="357">
      <c r="A357" t="inlineStr">
        <is>
          <t>Gerenciamento de Nível de Serviço</t>
        </is>
      </c>
      <c r="B357" t="inlineStr">
        <is>
          <t>Gerenciamento de Capacidade e Desempenho</t>
        </is>
      </c>
      <c r="C357" t="inlineStr">
        <is>
          <t>#1208</t>
        </is>
      </c>
      <c r="D357" t="inlineStr">
        <is>
          <t>rag</t>
        </is>
      </c>
    </row>
    <row r="358">
      <c r="A358" t="inlineStr">
        <is>
          <t>Habilitação de Mudança</t>
        </is>
      </c>
      <c r="B358" t="inlineStr">
        <is>
          <t>Gerenciamento Financeiro de Serviços</t>
        </is>
      </c>
      <c r="C358" t="inlineStr">
        <is>
          <t>#1216</t>
        </is>
      </c>
      <c r="D358" t="inlineStr">
        <is>
          <t>rag</t>
        </is>
      </c>
    </row>
    <row r="359">
      <c r="A359" t="inlineStr">
        <is>
          <t>Gerenciamento Financeiro de Serviços</t>
        </is>
      </c>
      <c r="B359" t="inlineStr">
        <is>
          <t>Gerenciamento de Relacionamento</t>
        </is>
      </c>
      <c r="C359" t="inlineStr">
        <is>
          <t>#1221</t>
        </is>
      </c>
      <c r="D359" t="inlineStr">
        <is>
          <t>rag</t>
        </is>
      </c>
    </row>
    <row r="360">
      <c r="A360" t="inlineStr">
        <is>
          <t>Gerenciamento de Nível de Serviço</t>
        </is>
      </c>
      <c r="B360" t="inlineStr">
        <is>
          <t>Gerenciamento de Problemas</t>
        </is>
      </c>
      <c r="C360" t="inlineStr">
        <is>
          <t>#1222</t>
        </is>
      </c>
      <c r="D360" t="inlineStr">
        <is>
          <t>rag</t>
        </is>
      </c>
    </row>
    <row r="361">
      <c r="A361" t="inlineStr">
        <is>
          <t>Gerenciamento de Requisição de Serviço</t>
        </is>
      </c>
      <c r="B361" t="inlineStr">
        <is>
          <t>Gerenciamento de Ativos de TI</t>
        </is>
      </c>
      <c r="C361" t="inlineStr">
        <is>
          <t>#1226</t>
        </is>
      </c>
      <c r="D361" t="inlineStr">
        <is>
          <t>rag</t>
        </is>
      </c>
    </row>
    <row r="362">
      <c r="A362" t="inlineStr">
        <is>
          <t>Gerenciamento de Requisição de Serviço</t>
        </is>
      </c>
      <c r="B362" t="inlineStr">
        <is>
          <t>Gerenciamento de Conhecimento</t>
        </is>
      </c>
      <c r="C362" t="inlineStr">
        <is>
          <t>#1234</t>
        </is>
      </c>
      <c r="D362" t="inlineStr">
        <is>
          <t>rag</t>
        </is>
      </c>
    </row>
    <row r="363">
      <c r="A363" t="inlineStr">
        <is>
          <t>Gerenciamento de Ativos de TI</t>
        </is>
      </c>
      <c r="B363" t="inlineStr">
        <is>
          <t>Gerenciamento de Requisição de Serviço</t>
        </is>
      </c>
      <c r="C363" t="inlineStr">
        <is>
          <t>#1238</t>
        </is>
      </c>
      <c r="D363" t="inlineStr">
        <is>
          <t>rag</t>
        </is>
      </c>
    </row>
    <row r="364">
      <c r="A364" t="inlineStr">
        <is>
          <t>Gerenciamento de Problemas</t>
        </is>
      </c>
      <c r="B364" t="inlineStr">
        <is>
          <t>Gerenciamento de Capacidade e Desempenho</t>
        </is>
      </c>
      <c r="C364" t="inlineStr">
        <is>
          <t>#1242</t>
        </is>
      </c>
      <c r="D364" t="inlineStr">
        <is>
          <t>rag</t>
        </is>
      </c>
    </row>
    <row r="365">
      <c r="A365" t="inlineStr">
        <is>
          <t>Gerenciamento Financeiro de Serviços</t>
        </is>
      </c>
      <c r="B365" t="inlineStr">
        <is>
          <t>Gerenciamento de Relacionamento</t>
        </is>
      </c>
      <c r="C365" t="inlineStr">
        <is>
          <t>#1262</t>
        </is>
      </c>
      <c r="D365" t="inlineStr">
        <is>
          <t>rag</t>
        </is>
      </c>
    </row>
    <row r="366">
      <c r="A366" t="inlineStr">
        <is>
          <t>Gerenciamento de Requisição de Serviço</t>
        </is>
      </c>
      <c r="B366" t="inlineStr">
        <is>
          <t>Gerenciamento de Configuração de Serviço</t>
        </is>
      </c>
      <c r="C366" t="inlineStr">
        <is>
          <t>#1277</t>
        </is>
      </c>
      <c r="D366" t="inlineStr">
        <is>
          <t>rag</t>
        </is>
      </c>
    </row>
    <row r="367">
      <c r="A367" t="inlineStr">
        <is>
          <t>Gerenciamento de Monitoração e Eventos</t>
        </is>
      </c>
      <c r="B367" t="inlineStr">
        <is>
          <t>Gerenciamento de Disponibilidade</t>
        </is>
      </c>
      <c r="C367" t="inlineStr">
        <is>
          <t>#1292</t>
        </is>
      </c>
      <c r="D367" t="inlineStr">
        <is>
          <t>rag</t>
        </is>
      </c>
    </row>
    <row r="368">
      <c r="A368" t="inlineStr">
        <is>
          <t>Gerenciamento de Disponibilidade</t>
        </is>
      </c>
      <c r="B368" t="inlineStr">
        <is>
          <t>Gerenciamento de Problemas</t>
        </is>
      </c>
      <c r="C368" t="inlineStr">
        <is>
          <t>#1295</t>
        </is>
      </c>
      <c r="D368" t="inlineStr">
        <is>
          <t>rag</t>
        </is>
      </c>
    </row>
    <row r="369">
      <c r="A369" t="inlineStr">
        <is>
          <t>Habilitação de Mudança</t>
        </is>
      </c>
      <c r="B369" t="inlineStr">
        <is>
          <t>Gerenciamento de Liberação</t>
        </is>
      </c>
      <c r="C369" t="inlineStr">
        <is>
          <t>#1298</t>
        </is>
      </c>
      <c r="D369" t="inlineStr">
        <is>
          <t>rag</t>
        </is>
      </c>
    </row>
    <row r="370">
      <c r="A370" t="inlineStr">
        <is>
          <t>Gerenciamento de Requisição de Serviço</t>
        </is>
      </c>
      <c r="B370" t="inlineStr">
        <is>
          <t>Gerenciamento de Catálogo de Serviço</t>
        </is>
      </c>
      <c r="C370" t="inlineStr">
        <is>
          <t>#1304</t>
        </is>
      </c>
      <c r="D370" t="inlineStr">
        <is>
          <t>rag</t>
        </is>
      </c>
    </row>
    <row r="371">
      <c r="A371" t="inlineStr">
        <is>
          <t>Gerenciamento de Problemas</t>
        </is>
      </c>
      <c r="B371" t="inlineStr">
        <is>
          <t>Gerenciamento de Ativos de TI</t>
        </is>
      </c>
      <c r="C371" t="inlineStr">
        <is>
          <t>#1322</t>
        </is>
      </c>
      <c r="D371" t="inlineStr">
        <is>
          <t>rag</t>
        </is>
      </c>
    </row>
    <row r="372">
      <c r="A372" t="inlineStr">
        <is>
          <t>Gerenciamento de Problemas</t>
        </is>
      </c>
      <c r="B372" t="inlineStr">
        <is>
          <t>Gerenciamento de Configuração de Serviço</t>
        </is>
      </c>
      <c r="C372" t="inlineStr">
        <is>
          <t>#1337</t>
        </is>
      </c>
      <c r="D372" t="inlineStr">
        <is>
          <t>rag</t>
        </is>
      </c>
    </row>
    <row r="373">
      <c r="A373" t="inlineStr">
        <is>
          <t>Gerenciamento de Requisição de Serviço</t>
        </is>
      </c>
      <c r="B373" t="inlineStr">
        <is>
          <t>Gerenciamento de Conhecimento</t>
        </is>
      </c>
      <c r="C373" t="inlineStr">
        <is>
          <t>#1349</t>
        </is>
      </c>
      <c r="D373" t="inlineStr">
        <is>
          <t>rag</t>
        </is>
      </c>
    </row>
    <row r="374">
      <c r="A374" t="inlineStr">
        <is>
          <t>Gerenciamento de Catálogo de Serviço</t>
        </is>
      </c>
      <c r="B374" t="inlineStr">
        <is>
          <t>Gerenciamento de Ativos de TI</t>
        </is>
      </c>
      <c r="C374" t="inlineStr">
        <is>
          <t>#1354</t>
        </is>
      </c>
      <c r="D374" t="inlineStr">
        <is>
          <t>rag</t>
        </is>
      </c>
    </row>
    <row r="375">
      <c r="A375" t="inlineStr">
        <is>
          <t>Gerenciamento de Problemas</t>
        </is>
      </c>
      <c r="B375" t="inlineStr">
        <is>
          <t>Gerenciamento de Ativos de TI</t>
        </is>
      </c>
      <c r="C375" t="inlineStr">
        <is>
          <t>#1359</t>
        </is>
      </c>
      <c r="D375" t="inlineStr">
        <is>
          <t>rag</t>
        </is>
      </c>
    </row>
    <row r="376">
      <c r="A376" t="inlineStr">
        <is>
          <t>Gerenciamento de Capacidade e Desempenho</t>
        </is>
      </c>
      <c r="B376" t="inlineStr">
        <is>
          <t>Gerenciamento de Problemas</t>
        </is>
      </c>
      <c r="C376" t="inlineStr">
        <is>
          <t>#1373</t>
        </is>
      </c>
      <c r="D376" t="inlineStr">
        <is>
          <t>rag</t>
        </is>
      </c>
    </row>
    <row r="377">
      <c r="A377" t="inlineStr">
        <is>
          <t>Gerenciamento de Capacidade e Desempenho</t>
        </is>
      </c>
      <c r="B377" t="inlineStr">
        <is>
          <t>Gerenciamento de Problemas</t>
        </is>
      </c>
      <c r="C377" t="inlineStr">
        <is>
          <t>#1390</t>
        </is>
      </c>
      <c r="D377" t="inlineStr">
        <is>
          <t>rag</t>
        </is>
      </c>
    </row>
    <row r="378">
      <c r="A378" t="inlineStr">
        <is>
          <t>Gerenciamento de Relacionamento</t>
        </is>
      </c>
      <c r="B378" t="inlineStr">
        <is>
          <t>Gerenciamento de Catálogo de Serviço</t>
        </is>
      </c>
      <c r="C378" t="inlineStr">
        <is>
          <t>#1420</t>
        </is>
      </c>
      <c r="D378" t="inlineStr">
        <is>
          <t>rag</t>
        </is>
      </c>
    </row>
    <row r="379">
      <c r="A379" t="inlineStr">
        <is>
          <t>Gerenciamento de Continuidade de Serviço</t>
        </is>
      </c>
      <c r="B379" t="inlineStr">
        <is>
          <t>Gerenciamento de Monitoração e Eventos</t>
        </is>
      </c>
      <c r="C379" t="inlineStr">
        <is>
          <t>#1426</t>
        </is>
      </c>
      <c r="D379" t="inlineStr">
        <is>
          <t>rag</t>
        </is>
      </c>
    </row>
    <row r="380">
      <c r="A380" t="inlineStr">
        <is>
          <t>Gerenciamento de Requisição de Serviço</t>
        </is>
      </c>
      <c r="B380" t="inlineStr">
        <is>
          <t>Gerenciamento de Conhecimento</t>
        </is>
      </c>
      <c r="C380" t="inlineStr">
        <is>
          <t>#1432</t>
        </is>
      </c>
      <c r="D380" t="inlineStr">
        <is>
          <t>rag</t>
        </is>
      </c>
    </row>
    <row r="381">
      <c r="A381" t="inlineStr">
        <is>
          <t>Gerenciamento de Ativos de TI</t>
        </is>
      </c>
      <c r="B381" t="inlineStr">
        <is>
          <t>Gerenciamento de Fornecedor</t>
        </is>
      </c>
      <c r="C381" t="inlineStr">
        <is>
          <t>#1443</t>
        </is>
      </c>
      <c r="D381" t="inlineStr">
        <is>
          <t>rag</t>
        </is>
      </c>
    </row>
    <row r="382">
      <c r="A382" t="inlineStr">
        <is>
          <t>Gerenciamento de Problemas</t>
        </is>
      </c>
      <c r="B382" t="inlineStr">
        <is>
          <t>Gerenciamento de Capacidade e Desempenho</t>
        </is>
      </c>
      <c r="C382" t="inlineStr">
        <is>
          <t>#1461</t>
        </is>
      </c>
      <c r="D382" t="inlineStr">
        <is>
          <t>rag</t>
        </is>
      </c>
    </row>
    <row r="383">
      <c r="A383" t="inlineStr">
        <is>
          <t>Gerenciamento de Continuidade de Serviço</t>
        </is>
      </c>
      <c r="B383" t="inlineStr">
        <is>
          <t>Gerenciamento de Monitoração e Eventos</t>
        </is>
      </c>
      <c r="C383" t="inlineStr">
        <is>
          <t>#1462</t>
        </is>
      </c>
      <c r="D383" t="inlineStr">
        <is>
          <t>rag</t>
        </is>
      </c>
    </row>
    <row r="384">
      <c r="A384" t="inlineStr">
        <is>
          <t>Gerenciamento Financeiro de Serviços</t>
        </is>
      </c>
      <c r="B384" t="inlineStr">
        <is>
          <t>Gerenciamento de Relacionamento</t>
        </is>
      </c>
      <c r="C384" t="inlineStr">
        <is>
          <t>#1484</t>
        </is>
      </c>
      <c r="D384" t="inlineStr">
        <is>
          <t>rag</t>
        </is>
      </c>
    </row>
    <row r="385">
      <c r="A385" t="inlineStr">
        <is>
          <t>Gerenciamento de Problemas</t>
        </is>
      </c>
      <c r="B385" t="inlineStr">
        <is>
          <t>Gerenciamento de Liberação</t>
        </is>
      </c>
      <c r="C385" t="inlineStr">
        <is>
          <t>#1486</t>
        </is>
      </c>
      <c r="D385" t="inlineStr">
        <is>
          <t>rag</t>
        </is>
      </c>
    </row>
    <row r="386">
      <c r="A386" t="inlineStr">
        <is>
          <t>Gerenciamento de Problemas</t>
        </is>
      </c>
      <c r="B386" t="inlineStr">
        <is>
          <t>Gerenciamento de Ativos de TI</t>
        </is>
      </c>
      <c r="C386" t="inlineStr">
        <is>
          <t>#1487</t>
        </is>
      </c>
      <c r="D386" t="inlineStr">
        <is>
          <t>rag</t>
        </is>
      </c>
    </row>
    <row r="387">
      <c r="A387" t="inlineStr">
        <is>
          <t>Desenvolvimento e Gerenciamento de Software</t>
        </is>
      </c>
      <c r="B387" t="inlineStr">
        <is>
          <t>Gerenciamento de Problemas</t>
        </is>
      </c>
      <c r="C387" t="inlineStr">
        <is>
          <t>#1497</t>
        </is>
      </c>
      <c r="D387" t="inlineStr">
        <is>
          <t>rag</t>
        </is>
      </c>
    </row>
    <row r="388">
      <c r="A388" t="inlineStr">
        <is>
          <t>Gerenciamento de Continuidade de Serviço</t>
        </is>
      </c>
      <c r="B388" t="inlineStr">
        <is>
          <t>Gerenciamento de Fornecedor</t>
        </is>
      </c>
      <c r="C388" t="inlineStr">
        <is>
          <t>#1512</t>
        </is>
      </c>
      <c r="D388" t="inlineStr">
        <is>
          <t>rag</t>
        </is>
      </c>
    </row>
    <row r="389">
      <c r="A389" t="inlineStr">
        <is>
          <t>Gerenciamento de Problemas</t>
        </is>
      </c>
      <c r="B389" t="inlineStr">
        <is>
          <t>Gerenciamento de Configuração de Serviço</t>
        </is>
      </c>
      <c r="C389" t="inlineStr">
        <is>
          <t>#1518</t>
        </is>
      </c>
      <c r="D389" t="inlineStr">
        <is>
          <t>rag</t>
        </is>
      </c>
    </row>
    <row r="390">
      <c r="A390" t="inlineStr">
        <is>
          <t>Gerenciamento de Problemas</t>
        </is>
      </c>
      <c r="B390" t="inlineStr">
        <is>
          <t>Gerenciamento de Monitoração e Eventos</t>
        </is>
      </c>
      <c r="C390" t="inlineStr">
        <is>
          <t>#1536</t>
        </is>
      </c>
      <c r="D390" t="inlineStr">
        <is>
          <t>rag</t>
        </is>
      </c>
    </row>
    <row r="391">
      <c r="A391" t="inlineStr">
        <is>
          <t>Gerenciamento Financeiro de Serviços</t>
        </is>
      </c>
      <c r="B391" t="inlineStr">
        <is>
          <t>Gerenciamento de Relacionamento</t>
        </is>
      </c>
      <c r="C391" t="inlineStr">
        <is>
          <t>#1553</t>
        </is>
      </c>
      <c r="D391" t="inlineStr">
        <is>
          <t>rag</t>
        </is>
      </c>
    </row>
    <row r="392">
      <c r="A392" t="inlineStr">
        <is>
          <t>Gerenciamento de Capacidade e Desempenho</t>
        </is>
      </c>
      <c r="B392" t="inlineStr">
        <is>
          <t>Gerenciamento de Monitoração e Eventos</t>
        </is>
      </c>
      <c r="C392" t="inlineStr">
        <is>
          <t>#1565</t>
        </is>
      </c>
      <c r="D392" t="inlineStr">
        <is>
          <t>rag</t>
        </is>
      </c>
    </row>
    <row r="393">
      <c r="A393" t="inlineStr">
        <is>
          <t>Gerenciamento de Requisição de Serviço</t>
        </is>
      </c>
      <c r="B393" t="inlineStr">
        <is>
          <t>Gerenciamento de Conhecimento</t>
        </is>
      </c>
      <c r="C393" t="inlineStr">
        <is>
          <t>#1573</t>
        </is>
      </c>
      <c r="D393" t="inlineStr">
        <is>
          <t>rag</t>
        </is>
      </c>
    </row>
    <row r="394">
      <c r="A394" t="inlineStr">
        <is>
          <t>Gerenciamento de Requisição de Serviço</t>
        </is>
      </c>
      <c r="B394" t="inlineStr">
        <is>
          <t>Habilitação de Mudança</t>
        </is>
      </c>
      <c r="C394" t="inlineStr">
        <is>
          <t>#1577</t>
        </is>
      </c>
      <c r="D394" t="inlineStr">
        <is>
          <t>rag</t>
        </is>
      </c>
    </row>
    <row r="395">
      <c r="A395" t="inlineStr">
        <is>
          <t>Gerenciamento de Requisição de Serviço</t>
        </is>
      </c>
      <c r="B395" t="inlineStr">
        <is>
          <t>Habilitação de Mudança</t>
        </is>
      </c>
      <c r="C395" t="inlineStr">
        <is>
          <t>#1595</t>
        </is>
      </c>
      <c r="D395" t="inlineStr">
        <is>
          <t>rag</t>
        </is>
      </c>
    </row>
    <row r="396">
      <c r="A396" t="inlineStr">
        <is>
          <t>Gerenciamento de Problemas</t>
        </is>
      </c>
      <c r="B396" t="inlineStr">
        <is>
          <t>Gerenciamento de Capacidade e Desempenho</t>
        </is>
      </c>
      <c r="C396" t="inlineStr">
        <is>
          <t>#1600</t>
        </is>
      </c>
      <c r="D396" t="inlineStr">
        <is>
          <t>rag</t>
        </is>
      </c>
    </row>
    <row r="397">
      <c r="A397" t="inlineStr">
        <is>
          <t>Gerenciamento de Conhecimento</t>
        </is>
      </c>
      <c r="B397" t="inlineStr">
        <is>
          <t>Gerenciamento de Requisição de Serviço</t>
        </is>
      </c>
      <c r="C397" t="inlineStr">
        <is>
          <t>#1606</t>
        </is>
      </c>
      <c r="D397" t="inlineStr">
        <is>
          <t>rag</t>
        </is>
      </c>
    </row>
    <row r="398">
      <c r="A398" t="inlineStr">
        <is>
          <t>Gerenciamento de Disponibilidade</t>
        </is>
      </c>
      <c r="B398" t="inlineStr">
        <is>
          <t>Monitoração e Gerenciamento de Eventos</t>
        </is>
      </c>
      <c r="C398" t="inlineStr">
        <is>
          <t>#1614</t>
        </is>
      </c>
      <c r="D398" t="inlineStr">
        <is>
          <t>rag</t>
        </is>
      </c>
    </row>
    <row r="399">
      <c r="A399" t="inlineStr">
        <is>
          <t>Gerenciamento de Problemas</t>
        </is>
      </c>
      <c r="B399" t="inlineStr">
        <is>
          <t>Gerenciamento de Liberação</t>
        </is>
      </c>
      <c r="C399" t="inlineStr">
        <is>
          <t>#1627</t>
        </is>
      </c>
      <c r="D399" t="inlineStr">
        <is>
          <t>rag</t>
        </is>
      </c>
    </row>
    <row r="400">
      <c r="A400" t="inlineStr">
        <is>
          <t>Gerenciamento de Relacionamento</t>
        </is>
      </c>
      <c r="B400" t="inlineStr">
        <is>
          <t>Gerenciamento Financeiro de Serviços</t>
        </is>
      </c>
      <c r="C400" t="inlineStr">
        <is>
          <t>#1629</t>
        </is>
      </c>
      <c r="D400" t="inlineStr">
        <is>
          <t>rag</t>
        </is>
      </c>
    </row>
    <row r="401">
      <c r="A401" t="inlineStr">
        <is>
          <t>Gerenciamento de Disponibilidade</t>
        </is>
      </c>
      <c r="B401" t="inlineStr">
        <is>
          <t>Gerenciamento de Incidentes</t>
        </is>
      </c>
      <c r="C401" t="inlineStr">
        <is>
          <t>#1641</t>
        </is>
      </c>
      <c r="D401" t="inlineStr">
        <is>
          <t>rag</t>
        </is>
      </c>
    </row>
    <row r="402">
      <c r="A402" t="inlineStr">
        <is>
          <t>Gerenciamento de Requisição de Serviço</t>
        </is>
      </c>
      <c r="B402" t="inlineStr">
        <is>
          <t>Gerenciamento de Segurança da Informação</t>
        </is>
      </c>
      <c r="C402" t="inlineStr">
        <is>
          <t>#1647</t>
        </is>
      </c>
      <c r="D402" t="inlineStr">
        <is>
          <t>rag</t>
        </is>
      </c>
    </row>
    <row r="403">
      <c r="A403" t="inlineStr">
        <is>
          <t>Gerenciamento de Incidentes</t>
        </is>
      </c>
      <c r="B403" t="inlineStr">
        <is>
          <t>Gerenciamento de Identidade e Acesso</t>
        </is>
      </c>
      <c r="C403" t="inlineStr">
        <is>
          <t>#1651</t>
        </is>
      </c>
      <c r="D403" t="inlineStr">
        <is>
          <t>rag</t>
        </is>
      </c>
    </row>
    <row r="404">
      <c r="A404" t="inlineStr">
        <is>
          <t>Gerenciamento de Ativos de TI</t>
        </is>
      </c>
      <c r="B404" t="inlineStr">
        <is>
          <t>Gerenciamento de Problemas</t>
        </is>
      </c>
      <c r="C404" t="inlineStr">
        <is>
          <t>#1658</t>
        </is>
      </c>
      <c r="D404" t="inlineStr">
        <is>
          <t>rag</t>
        </is>
      </c>
    </row>
    <row r="405">
      <c r="A405" t="inlineStr">
        <is>
          <t>Gerenciamento de Problemas</t>
        </is>
      </c>
      <c r="B405" t="inlineStr">
        <is>
          <t>Gerenciamento de Ativos de TI</t>
        </is>
      </c>
      <c r="C405" t="inlineStr">
        <is>
          <t>#1660</t>
        </is>
      </c>
      <c r="D405" t="inlineStr">
        <is>
          <t>rag</t>
        </is>
      </c>
    </row>
    <row r="406">
      <c r="A406" t="inlineStr">
        <is>
          <t>Gerenciamento de Requisição de Serviço</t>
        </is>
      </c>
      <c r="B406" t="inlineStr">
        <is>
          <t>Gerenciamento de Segurança da Informação</t>
        </is>
      </c>
      <c r="C406" t="inlineStr">
        <is>
          <t>#1661</t>
        </is>
      </c>
      <c r="D406" t="inlineStr">
        <is>
          <t>rag</t>
        </is>
      </c>
    </row>
    <row r="407">
      <c r="A407" t="inlineStr">
        <is>
          <t>Gerenciamento de Problemas</t>
        </is>
      </c>
      <c r="B407" t="inlineStr">
        <is>
          <t>Gerenciamento de Ativos de TI</t>
        </is>
      </c>
      <c r="C407" t="inlineStr">
        <is>
          <t>#1667</t>
        </is>
      </c>
      <c r="D407" t="inlineStr">
        <is>
          <t>rag</t>
        </is>
      </c>
    </row>
    <row r="408">
      <c r="A408" t="inlineStr">
        <is>
          <t>Gerenciamento de Conhecimento</t>
        </is>
      </c>
      <c r="B408" t="inlineStr">
        <is>
          <t>Gerenciamento de Requisição de Serviço</t>
        </is>
      </c>
      <c r="C408" t="inlineStr">
        <is>
          <t>#1674</t>
        </is>
      </c>
      <c r="D408" t="inlineStr">
        <is>
          <t>rag</t>
        </is>
      </c>
    </row>
    <row r="409">
      <c r="A409" t="inlineStr">
        <is>
          <t>Habilitação de Mudança</t>
        </is>
      </c>
      <c r="B409" t="inlineStr">
        <is>
          <t>Gerenciamento de Configuração de Serviço</t>
        </is>
      </c>
      <c r="C409" t="inlineStr">
        <is>
          <t>#1685</t>
        </is>
      </c>
      <c r="D409" t="inlineStr">
        <is>
          <t>rag</t>
        </is>
      </c>
    </row>
    <row r="410">
      <c r="A410" t="inlineStr">
        <is>
          <t>Gerenciamento Financeiro de Serviços</t>
        </is>
      </c>
      <c r="B410" t="inlineStr">
        <is>
          <t>Gerenciamento de Capacidade e Desempenho</t>
        </is>
      </c>
      <c r="C410" t="inlineStr">
        <is>
          <t>#1703</t>
        </is>
      </c>
      <c r="D410" t="inlineStr">
        <is>
          <t>rag</t>
        </is>
      </c>
    </row>
    <row r="411">
      <c r="A411" t="inlineStr">
        <is>
          <t>Gerenciamento de Relacionamento</t>
        </is>
      </c>
      <c r="B411" t="inlineStr">
        <is>
          <t>Gerenciamento Financeiro de Serviços</t>
        </is>
      </c>
      <c r="C411" t="inlineStr">
        <is>
          <t>#1713</t>
        </is>
      </c>
      <c r="D411" t="inlineStr">
        <is>
          <t>rag</t>
        </is>
      </c>
    </row>
    <row r="412">
      <c r="A412" t="inlineStr">
        <is>
          <t>Gerenciamento de Problemas</t>
        </is>
      </c>
      <c r="B412" t="inlineStr">
        <is>
          <t>Gerenciamento de Incidentes</t>
        </is>
      </c>
      <c r="C412" t="inlineStr">
        <is>
          <t>#1718</t>
        </is>
      </c>
      <c r="D412" t="inlineStr">
        <is>
          <t>rag</t>
        </is>
      </c>
    </row>
    <row r="413">
      <c r="A413" t="inlineStr">
        <is>
          <t>Gerenciamento de Catálogo de Serviço</t>
        </is>
      </c>
      <c r="B413" t="inlineStr">
        <is>
          <t>Gerenciamento de Relacionamento</t>
        </is>
      </c>
      <c r="C413" t="inlineStr">
        <is>
          <t>#1723</t>
        </is>
      </c>
      <c r="D413" t="inlineStr">
        <is>
          <t>rag</t>
        </is>
      </c>
    </row>
    <row r="414">
      <c r="A414" t="inlineStr">
        <is>
          <t>Gerenciamento de Problemas</t>
        </is>
      </c>
      <c r="B414" t="inlineStr">
        <is>
          <t>Gerenciamento de Nível de Serviço</t>
        </is>
      </c>
      <c r="C414" t="inlineStr">
        <is>
          <t>#1741</t>
        </is>
      </c>
      <c r="D414" t="inlineStr">
        <is>
          <t>rag</t>
        </is>
      </c>
    </row>
    <row r="415">
      <c r="A415" t="inlineStr">
        <is>
          <t>Gerenciamento Financeiro de Serviços</t>
        </is>
      </c>
      <c r="B415" t="inlineStr">
        <is>
          <t>Gerenciamento de Riscos</t>
        </is>
      </c>
      <c r="C415" t="inlineStr">
        <is>
          <t>#1746</t>
        </is>
      </c>
      <c r="D415" t="inlineStr">
        <is>
          <t>rag</t>
        </is>
      </c>
    </row>
    <row r="416">
      <c r="A416" t="inlineStr">
        <is>
          <t>Gerenciamento de Disponibilidade</t>
        </is>
      </c>
      <c r="B416" t="inlineStr">
        <is>
          <t>Gerenciamento de Continuidade de Serviço</t>
        </is>
      </c>
      <c r="C416" t="inlineStr">
        <is>
          <t>#1777</t>
        </is>
      </c>
      <c r="D416" t="inlineStr">
        <is>
          <t>rag</t>
        </is>
      </c>
    </row>
    <row r="417">
      <c r="A417" t="inlineStr">
        <is>
          <t>Gerenciamento de Ativos de TI</t>
        </is>
      </c>
      <c r="B417" t="inlineStr">
        <is>
          <t>Gerenciamento de Fornecedor</t>
        </is>
      </c>
      <c r="C417" t="inlineStr">
        <is>
          <t>#1778</t>
        </is>
      </c>
      <c r="D417" t="inlineStr">
        <is>
          <t>rag</t>
        </is>
      </c>
    </row>
    <row r="418">
      <c r="A418" t="inlineStr">
        <is>
          <t>Gerenciamento de Problemas</t>
        </is>
      </c>
      <c r="B418" t="inlineStr">
        <is>
          <t>Gerenciamento de Disponibilidade</t>
        </is>
      </c>
      <c r="C418" t="inlineStr">
        <is>
          <t>#1780</t>
        </is>
      </c>
      <c r="D418" t="inlineStr">
        <is>
          <t>rag</t>
        </is>
      </c>
    </row>
    <row r="419">
      <c r="A419" t="inlineStr">
        <is>
          <t>Gerenciamento Financeiro de Serviços</t>
        </is>
      </c>
      <c r="B419" t="inlineStr">
        <is>
          <t>Gerenciamento de Relacionamento</t>
        </is>
      </c>
      <c r="C419" t="inlineStr">
        <is>
          <t>#1786</t>
        </is>
      </c>
      <c r="D419" t="inlineStr">
        <is>
          <t>rag</t>
        </is>
      </c>
    </row>
    <row r="420">
      <c r="A420" t="inlineStr">
        <is>
          <t>Gerenciamento de Requisição de Serviço</t>
        </is>
      </c>
      <c r="B420" t="inlineStr">
        <is>
          <t>Gerenciamento de Ativos de TI</t>
        </is>
      </c>
      <c r="C420" t="inlineStr">
        <is>
          <t>#1798</t>
        </is>
      </c>
      <c r="D420" t="inlineStr">
        <is>
          <t>rag</t>
        </is>
      </c>
    </row>
    <row r="421">
      <c r="A421" t="inlineStr">
        <is>
          <t>Gerenciamento de Problemas</t>
        </is>
      </c>
      <c r="B421" t="inlineStr">
        <is>
          <t>Gerenciamento de Capacidade e Desempenho</t>
        </is>
      </c>
      <c r="C421" t="inlineStr">
        <is>
          <t>#1817</t>
        </is>
      </c>
      <c r="D421" t="inlineStr">
        <is>
          <t>rag</t>
        </is>
      </c>
    </row>
    <row r="422">
      <c r="A422" t="inlineStr">
        <is>
          <t>Gerenciamento de Problemas</t>
        </is>
      </c>
      <c r="B422" t="inlineStr">
        <is>
          <t>Gerenciamento de Nível de Serviço</t>
        </is>
      </c>
      <c r="C422" t="inlineStr">
        <is>
          <t>#1818</t>
        </is>
      </c>
      <c r="D422" t="inlineStr">
        <is>
          <t>rag</t>
        </is>
      </c>
    </row>
    <row r="423">
      <c r="A423" t="inlineStr">
        <is>
          <t>Gerenciamento de Incidentes</t>
        </is>
      </c>
      <c r="B423" t="inlineStr">
        <is>
          <t>Gerenciamento de Conhecimento</t>
        </is>
      </c>
      <c r="C423" t="inlineStr">
        <is>
          <t>#1829</t>
        </is>
      </c>
      <c r="D423" t="inlineStr">
        <is>
          <t>rag</t>
        </is>
      </c>
    </row>
    <row r="424">
      <c r="A424" t="inlineStr">
        <is>
          <t>Gerenciamento de Problemas</t>
        </is>
      </c>
      <c r="B424" t="inlineStr">
        <is>
          <t>Habilitação de Mudança</t>
        </is>
      </c>
      <c r="C424" t="inlineStr">
        <is>
          <t>#1832</t>
        </is>
      </c>
      <c r="D424" t="inlineStr">
        <is>
          <t>rag</t>
        </is>
      </c>
    </row>
    <row r="425">
      <c r="A425" t="inlineStr">
        <is>
          <t>Habilitação de Mudança</t>
        </is>
      </c>
      <c r="B425" t="inlineStr">
        <is>
          <t>Gerenciamento de Liberação</t>
        </is>
      </c>
      <c r="C425" t="inlineStr">
        <is>
          <t>#1833</t>
        </is>
      </c>
      <c r="D425" t="inlineStr">
        <is>
          <t>rag</t>
        </is>
      </c>
    </row>
    <row r="426">
      <c r="A426" t="inlineStr">
        <is>
          <t>Gerenciamento Financeiro de Serviços</t>
        </is>
      </c>
      <c r="B426" t="inlineStr">
        <is>
          <t>Validação e Teste de Serviço</t>
        </is>
      </c>
      <c r="C426" t="inlineStr">
        <is>
          <t>#1835</t>
        </is>
      </c>
      <c r="D426" t="inlineStr">
        <is>
          <t>rag</t>
        </is>
      </c>
    </row>
    <row r="427">
      <c r="A427" t="inlineStr">
        <is>
          <t>Gerenciamento de Requisição de Serviço</t>
        </is>
      </c>
      <c r="B427" t="inlineStr">
        <is>
          <t>Gerenciamento de Relacionamento</t>
        </is>
      </c>
      <c r="C427" t="inlineStr">
        <is>
          <t>#1846</t>
        </is>
      </c>
      <c r="D427" t="inlineStr">
        <is>
          <t>rag</t>
        </is>
      </c>
    </row>
    <row r="428">
      <c r="A428" t="inlineStr">
        <is>
          <t>Gerenciamento de Problemas</t>
        </is>
      </c>
      <c r="B428" t="inlineStr">
        <is>
          <t>Gerenciamento de Liberação</t>
        </is>
      </c>
      <c r="C428" t="inlineStr">
        <is>
          <t>#1854</t>
        </is>
      </c>
      <c r="D428" t="inlineStr">
        <is>
          <t>rag</t>
        </is>
      </c>
    </row>
    <row r="429">
      <c r="A429" t="inlineStr">
        <is>
          <t>Gerenciamento de Problemas</t>
        </is>
      </c>
      <c r="B429" t="inlineStr">
        <is>
          <t>Habilitação de Mudança</t>
        </is>
      </c>
      <c r="C429" t="inlineStr">
        <is>
          <t>#1858</t>
        </is>
      </c>
      <c r="D429" t="inlineStr">
        <is>
          <t>rag</t>
        </is>
      </c>
    </row>
    <row r="430">
      <c r="A430" t="inlineStr">
        <is>
          <t>Gerenciamento de Projetos</t>
        </is>
      </c>
      <c r="B430" t="inlineStr">
        <is>
          <t>Desenho de Serviço</t>
        </is>
      </c>
      <c r="C430" t="inlineStr">
        <is>
          <t>#1866</t>
        </is>
      </c>
      <c r="D430" t="inlineStr">
        <is>
          <t>rag</t>
        </is>
      </c>
    </row>
    <row r="431">
      <c r="A431" t="inlineStr">
        <is>
          <t>Gerenciamento de Catálogo de Serviço</t>
        </is>
      </c>
      <c r="B431" t="inlineStr">
        <is>
          <t>Gerenciamento de Relacionamento</t>
        </is>
      </c>
      <c r="C431" t="inlineStr">
        <is>
          <t>#1878</t>
        </is>
      </c>
      <c r="D431" t="inlineStr">
        <is>
          <t>rag</t>
        </is>
      </c>
    </row>
    <row r="432">
      <c r="A432" t="inlineStr">
        <is>
          <t>Gerenciamento de Problemas</t>
        </is>
      </c>
      <c r="B432" t="inlineStr">
        <is>
          <t>Gerenciamento de Fornecedor</t>
        </is>
      </c>
      <c r="C432" t="inlineStr">
        <is>
          <t>#1880</t>
        </is>
      </c>
      <c r="D432" t="inlineStr">
        <is>
          <t>rag</t>
        </is>
      </c>
    </row>
    <row r="433">
      <c r="A433" t="inlineStr">
        <is>
          <t>Gerenciamento de Problemas</t>
        </is>
      </c>
      <c r="B433" t="inlineStr">
        <is>
          <t>Validação e Teste de Serviço</t>
        </is>
      </c>
      <c r="C433" t="inlineStr">
        <is>
          <t>#1891</t>
        </is>
      </c>
      <c r="D433" t="inlineStr">
        <is>
          <t>rag</t>
        </is>
      </c>
    </row>
    <row r="434">
      <c r="A434" t="inlineStr">
        <is>
          <t>Gerenciamento de Disponibilidade</t>
        </is>
      </c>
      <c r="B434" t="inlineStr">
        <is>
          <t>Gerenciamento de Incidentes</t>
        </is>
      </c>
      <c r="C434" t="inlineStr">
        <is>
          <t>#1898</t>
        </is>
      </c>
      <c r="D434" t="inlineStr">
        <is>
          <t>rag</t>
        </is>
      </c>
    </row>
    <row r="435">
      <c r="A435" t="inlineStr">
        <is>
          <t>Gerenciamento de Problemas</t>
        </is>
      </c>
      <c r="B435" t="inlineStr">
        <is>
          <t>Desenvolvimento e Gerenciamento de Software</t>
        </is>
      </c>
      <c r="C435" t="inlineStr">
        <is>
          <t>#1919</t>
        </is>
      </c>
      <c r="D435" t="inlineStr">
        <is>
          <t>rag</t>
        </is>
      </c>
    </row>
    <row r="436">
      <c r="A436" t="inlineStr">
        <is>
          <t>Gerenciamento de Capacidade e Desempenho</t>
        </is>
      </c>
      <c r="B436" t="inlineStr">
        <is>
          <t>Gerenciamento de Problemas</t>
        </is>
      </c>
      <c r="C436" t="inlineStr">
        <is>
          <t>#1924</t>
        </is>
      </c>
      <c r="D436" t="inlineStr">
        <is>
          <t>rag</t>
        </is>
      </c>
    </row>
    <row r="437">
      <c r="A437" t="inlineStr">
        <is>
          <t>Gerenciamento de Problemas</t>
        </is>
      </c>
      <c r="B437" t="inlineStr">
        <is>
          <t>Gerenciamento de Configuração de Serviço</t>
        </is>
      </c>
      <c r="C437" t="inlineStr">
        <is>
          <t>#1926</t>
        </is>
      </c>
      <c r="D437" t="inlineStr">
        <is>
          <t>rag</t>
        </is>
      </c>
    </row>
    <row r="438">
      <c r="A438" t="inlineStr">
        <is>
          <t>Gerenciamento de Fornecedor</t>
        </is>
      </c>
      <c r="B438" t="inlineStr">
        <is>
          <t>Gerenciamento de Problemas</t>
        </is>
      </c>
      <c r="C438" t="inlineStr">
        <is>
          <t>#1930</t>
        </is>
      </c>
      <c r="D438" t="inlineStr">
        <is>
          <t>rag</t>
        </is>
      </c>
    </row>
    <row r="439">
      <c r="A439" t="inlineStr">
        <is>
          <t>Gerenciamento de Conhecimento</t>
        </is>
      </c>
      <c r="B439" t="inlineStr">
        <is>
          <t>Desenvolvimento e Gerenciamento de Software</t>
        </is>
      </c>
      <c r="C439" t="inlineStr">
        <is>
          <t>#1937</t>
        </is>
      </c>
      <c r="D439" t="inlineStr">
        <is>
          <t>rag</t>
        </is>
      </c>
    </row>
    <row r="440">
      <c r="A440" t="inlineStr">
        <is>
          <t>Gerenciamento de Catálogo de Serviço</t>
        </is>
      </c>
      <c r="B440" t="inlineStr">
        <is>
          <t>Central de Serviço</t>
        </is>
      </c>
      <c r="C440" t="inlineStr">
        <is>
          <t>#1941</t>
        </is>
      </c>
      <c r="D440" t="inlineStr">
        <is>
          <t>rag</t>
        </is>
      </c>
    </row>
    <row r="441">
      <c r="A441" t="inlineStr">
        <is>
          <t>Gerenciamento de Problemas</t>
        </is>
      </c>
      <c r="B441" t="inlineStr">
        <is>
          <t>Validação e Teste de Serviço</t>
        </is>
      </c>
      <c r="C441" t="inlineStr">
        <is>
          <t>#1948</t>
        </is>
      </c>
      <c r="D441" t="inlineStr">
        <is>
          <t>rag</t>
        </is>
      </c>
    </row>
    <row r="442">
      <c r="A442" t="inlineStr">
        <is>
          <t>Gerenciamento de Problemas</t>
        </is>
      </c>
      <c r="B442" t="inlineStr">
        <is>
          <t>Gerenciamento de Fornecedor</t>
        </is>
      </c>
      <c r="C442" t="inlineStr">
        <is>
          <t>#1960</t>
        </is>
      </c>
      <c r="D442" t="inlineStr">
        <is>
          <t>rag</t>
        </is>
      </c>
    </row>
    <row r="443">
      <c r="A443" t="inlineStr">
        <is>
          <t>Habilitação de Mudança</t>
        </is>
      </c>
      <c r="B443" t="inlineStr">
        <is>
          <t>Gerenciamento de Configuração de Serviço</t>
        </is>
      </c>
      <c r="C443" t="inlineStr">
        <is>
          <t>#1961</t>
        </is>
      </c>
      <c r="D443" t="inlineStr">
        <is>
          <t>rag</t>
        </is>
      </c>
    </row>
    <row r="444">
      <c r="A444" t="inlineStr">
        <is>
          <t>Gerenciamento Financeiro de Serviços</t>
        </is>
      </c>
      <c r="B444" t="inlineStr">
        <is>
          <t>Gerenciamento de Capacidade e Desempenho</t>
        </is>
      </c>
      <c r="C444" t="inlineStr">
        <is>
          <t>#1969</t>
        </is>
      </c>
      <c r="D444" t="inlineStr">
        <is>
          <t>rag</t>
        </is>
      </c>
    </row>
    <row r="445">
      <c r="A445" t="inlineStr">
        <is>
          <t>Gerenciamento de Disponibilidade</t>
        </is>
      </c>
      <c r="B445" t="inlineStr">
        <is>
          <t>Gerenciamento de Problemas</t>
        </is>
      </c>
      <c r="C445" t="inlineStr">
        <is>
          <t>#1985</t>
        </is>
      </c>
      <c r="D445" t="inlineStr">
        <is>
          <t>rag</t>
        </is>
      </c>
    </row>
    <row r="446">
      <c r="A446" t="inlineStr">
        <is>
          <t>Gerenciamento de Infraestrutura e Plataforma</t>
        </is>
      </c>
      <c r="B446" t="inlineStr">
        <is>
          <t>Habilitação de Mudança</t>
        </is>
      </c>
      <c r="C446" t="inlineStr">
        <is>
          <t>#2018</t>
        </is>
      </c>
      <c r="D446" t="inlineStr">
        <is>
          <t>rag</t>
        </is>
      </c>
    </row>
    <row r="447">
      <c r="A447" t="inlineStr">
        <is>
          <t>Gerenciamento de Problemas</t>
        </is>
      </c>
      <c r="B447" t="inlineStr">
        <is>
          <t>Gerenciamento de Fornecedor</t>
        </is>
      </c>
      <c r="C447" t="inlineStr">
        <is>
          <t>#2023</t>
        </is>
      </c>
      <c r="D447" t="inlineStr">
        <is>
          <t>rag</t>
        </is>
      </c>
    </row>
    <row r="448">
      <c r="A448" t="inlineStr">
        <is>
          <t>Gerenciamento de Relacionamento</t>
        </is>
      </c>
      <c r="B448" t="inlineStr">
        <is>
          <t>Gerenciamento Financeiro de Serviços</t>
        </is>
      </c>
      <c r="C448" t="inlineStr">
        <is>
          <t>#2032</t>
        </is>
      </c>
      <c r="D448" t="inlineStr">
        <is>
          <t>rag</t>
        </is>
      </c>
    </row>
    <row r="449">
      <c r="A449" t="inlineStr">
        <is>
          <t>Gerenciamento de Infraestrutura e Plataforma</t>
        </is>
      </c>
      <c r="B449" t="inlineStr">
        <is>
          <t>Gerenciamento de Problemas</t>
        </is>
      </c>
      <c r="C449" t="inlineStr">
        <is>
          <t>#2054</t>
        </is>
      </c>
      <c r="D449" t="inlineStr">
        <is>
          <t>rag</t>
        </is>
      </c>
    </row>
    <row r="450">
      <c r="A450" t="inlineStr">
        <is>
          <t>Habilitação de Mudança</t>
        </is>
      </c>
      <c r="B450" t="inlineStr">
        <is>
          <t>Gerenciamento de Segurança da Informação</t>
        </is>
      </c>
      <c r="C450" t="inlineStr">
        <is>
          <t>#2061</t>
        </is>
      </c>
      <c r="D450" t="inlineStr">
        <is>
          <t>rag</t>
        </is>
      </c>
    </row>
    <row r="451">
      <c r="A451" t="inlineStr">
        <is>
          <t>Validação e Teste de Serviço</t>
        </is>
      </c>
      <c r="B451" t="inlineStr">
        <is>
          <t>Gerenciamento de Fornecedor</t>
        </is>
      </c>
      <c r="C451" t="inlineStr">
        <is>
          <t>#2080</t>
        </is>
      </c>
      <c r="D451" t="inlineStr">
        <is>
          <t>rag</t>
        </is>
      </c>
    </row>
    <row r="452">
      <c r="A452" t="inlineStr">
        <is>
          <t>Gerenciamento de Configuração de Serviço</t>
        </is>
      </c>
      <c r="B452" t="inlineStr">
        <is>
          <t>Gerenciamento de Problemas</t>
        </is>
      </c>
      <c r="C452" t="inlineStr">
        <is>
          <t>#2115</t>
        </is>
      </c>
      <c r="D452" t="inlineStr">
        <is>
          <t>rag</t>
        </is>
      </c>
    </row>
    <row r="453">
      <c r="A453" t="inlineStr">
        <is>
          <t>Gerenciamento de Capacidade e Desempenho</t>
        </is>
      </c>
      <c r="B453" t="inlineStr">
        <is>
          <t>Gerenciamento de Problemas</t>
        </is>
      </c>
      <c r="C453" t="inlineStr">
        <is>
          <t>#2125</t>
        </is>
      </c>
      <c r="D453" t="inlineStr">
        <is>
          <t>rag</t>
        </is>
      </c>
    </row>
    <row r="454">
      <c r="A454" t="inlineStr">
        <is>
          <t>Gerenciamento de Continuidade de Serviço</t>
        </is>
      </c>
      <c r="B454" t="inlineStr">
        <is>
          <t>Gerenciamento de Disponibilidade</t>
        </is>
      </c>
      <c r="C454" t="inlineStr">
        <is>
          <t>#2143</t>
        </is>
      </c>
      <c r="D454" t="inlineStr">
        <is>
          <t>rag</t>
        </is>
      </c>
    </row>
    <row r="455">
      <c r="A455" t="inlineStr">
        <is>
          <t>Gerenciamento Financeiro de Serviços</t>
        </is>
      </c>
      <c r="B455" t="inlineStr">
        <is>
          <t>Validação e Teste de Serviço</t>
        </is>
      </c>
      <c r="C455" t="inlineStr">
        <is>
          <t>#2149</t>
        </is>
      </c>
      <c r="D455" t="inlineStr">
        <is>
          <t>rag</t>
        </is>
      </c>
    </row>
    <row r="456">
      <c r="A456" t="inlineStr">
        <is>
          <t>Gerenciamento de Requisição de Serviço</t>
        </is>
      </c>
      <c r="B456" t="inlineStr">
        <is>
          <t>Gerenciamento de Relacionamento</t>
        </is>
      </c>
      <c r="C456" t="inlineStr">
        <is>
          <t>#2175</t>
        </is>
      </c>
      <c r="D456" t="inlineStr">
        <is>
          <t>rag</t>
        </is>
      </c>
    </row>
    <row r="457">
      <c r="A457" t="inlineStr">
        <is>
          <t>Gerenciamento de Requisição de Serviço</t>
        </is>
      </c>
      <c r="B457" t="inlineStr">
        <is>
          <t>Habilitação de Mudança</t>
        </is>
      </c>
      <c r="C457" t="inlineStr">
        <is>
          <t>#2184</t>
        </is>
      </c>
      <c r="D457" t="inlineStr">
        <is>
          <t>rag</t>
        </is>
      </c>
    </row>
    <row r="458">
      <c r="A458" t="inlineStr">
        <is>
          <t>Gerenciamento de Incidentes</t>
        </is>
      </c>
      <c r="B458" t="inlineStr">
        <is>
          <t>Gerenciamento Financeiro de Serviços</t>
        </is>
      </c>
      <c r="C458" t="inlineStr">
        <is>
          <t>#2189</t>
        </is>
      </c>
      <c r="D458" t="inlineStr">
        <is>
          <t>rag</t>
        </is>
      </c>
    </row>
    <row r="459">
      <c r="A459" t="inlineStr">
        <is>
          <t>Gerenciamento de Requisição de Serviço</t>
        </is>
      </c>
      <c r="B459" t="inlineStr">
        <is>
          <t>Gerenciamento de Capacidade e Desempenho</t>
        </is>
      </c>
      <c r="C459" t="inlineStr">
        <is>
          <t>#2195</t>
        </is>
      </c>
      <c r="D459" t="inlineStr">
        <is>
          <t>rag</t>
        </is>
      </c>
    </row>
    <row r="460">
      <c r="A460" t="inlineStr">
        <is>
          <t>Gerenciamento de Requisição de Serviço</t>
        </is>
      </c>
      <c r="B460" t="inlineStr">
        <is>
          <t>Desenvolvimento e Gerenciamento de Software</t>
        </is>
      </c>
      <c r="C460" t="inlineStr">
        <is>
          <t>#2204</t>
        </is>
      </c>
      <c r="D460" t="inlineStr">
        <is>
          <t>rag</t>
        </is>
      </c>
    </row>
    <row r="461">
      <c r="A461" t="inlineStr">
        <is>
          <t>Gerenciamento Financeiro de Serviços</t>
        </is>
      </c>
      <c r="B461" t="inlineStr">
        <is>
          <t>Gerenciamento de Incidentes</t>
        </is>
      </c>
      <c r="C461" t="inlineStr">
        <is>
          <t>#2207</t>
        </is>
      </c>
      <c r="D461" t="inlineStr">
        <is>
          <t>rag</t>
        </is>
      </c>
    </row>
    <row r="462">
      <c r="A462" t="inlineStr">
        <is>
          <t>Gerenciamento de Incidentes</t>
        </is>
      </c>
      <c r="B462" t="inlineStr">
        <is>
          <t>Gerenciamento de Disponibilidade</t>
        </is>
      </c>
      <c r="C462" t="inlineStr">
        <is>
          <t>#2209</t>
        </is>
      </c>
      <c r="D462" t="inlineStr">
        <is>
          <t>rag</t>
        </is>
      </c>
    </row>
    <row r="463">
      <c r="A463" t="inlineStr">
        <is>
          <t>Gerenciamento Financeiro de Serviços</t>
        </is>
      </c>
      <c r="B463" t="inlineStr">
        <is>
          <t>Gerenciamento de Requisição de Serviço</t>
        </is>
      </c>
      <c r="C463" t="inlineStr">
        <is>
          <t>#2213</t>
        </is>
      </c>
      <c r="D463" t="inlineStr">
        <is>
          <t>rag</t>
        </is>
      </c>
    </row>
    <row r="464">
      <c r="A464" t="inlineStr">
        <is>
          <t>Gerenciamento de Incidentes</t>
        </is>
      </c>
      <c r="B464" t="inlineStr">
        <is>
          <t>Habilitação de Mudança</t>
        </is>
      </c>
      <c r="C464" t="inlineStr">
        <is>
          <t>#2228</t>
        </is>
      </c>
      <c r="D464" t="inlineStr">
        <is>
          <t>rag</t>
        </is>
      </c>
    </row>
    <row r="465">
      <c r="A465" t="inlineStr">
        <is>
          <t>Gerenciamento de Requisição de Serviço</t>
        </is>
      </c>
      <c r="B465" t="inlineStr">
        <is>
          <t>Gerenciamento Financeiro de Serviços</t>
        </is>
      </c>
      <c r="C465" t="inlineStr">
        <is>
          <t>#2235</t>
        </is>
      </c>
      <c r="D465" t="inlineStr">
        <is>
          <t>rag</t>
        </is>
      </c>
    </row>
    <row r="466">
      <c r="A466" t="inlineStr">
        <is>
          <t>Gerenciamento de Incidentes</t>
        </is>
      </c>
      <c r="B466" t="inlineStr">
        <is>
          <t>Gerenciamento de Problemas</t>
        </is>
      </c>
      <c r="C466" t="inlineStr">
        <is>
          <t>#2291</t>
        </is>
      </c>
      <c r="D466" t="inlineStr">
        <is>
          <t>rag</t>
        </is>
      </c>
    </row>
    <row r="467">
      <c r="A467" t="inlineStr">
        <is>
          <t>Gerenciamento de Requisição de Serviço</t>
        </is>
      </c>
      <c r="B467" t="inlineStr">
        <is>
          <t>Melhoria Contínua</t>
        </is>
      </c>
      <c r="C467" t="inlineStr">
        <is>
          <t>#2293</t>
        </is>
      </c>
      <c r="D467" t="inlineStr">
        <is>
          <t>rag</t>
        </is>
      </c>
    </row>
    <row r="468">
      <c r="A468" t="inlineStr">
        <is>
          <t>Gerenciamento de Problemas</t>
        </is>
      </c>
      <c r="B468" t="inlineStr">
        <is>
          <t>Gerenciamento de Incidentes</t>
        </is>
      </c>
      <c r="C468" t="inlineStr">
        <is>
          <t>#2295</t>
        </is>
      </c>
      <c r="D468" t="inlineStr">
        <is>
          <t>rag</t>
        </is>
      </c>
    </row>
    <row r="469">
      <c r="A469" t="inlineStr">
        <is>
          <t>Gerenciamento de Problemas</t>
        </is>
      </c>
      <c r="B469" t="inlineStr">
        <is>
          <t>Central de Serviço</t>
        </is>
      </c>
      <c r="C469" t="inlineStr">
        <is>
          <t>#2296</t>
        </is>
      </c>
      <c r="D469" t="inlineStr">
        <is>
          <t>rag</t>
        </is>
      </c>
    </row>
    <row r="470">
      <c r="A470" t="inlineStr">
        <is>
          <t>Gerenciamento Financeiro de Serviços</t>
        </is>
      </c>
      <c r="B470" t="inlineStr">
        <is>
          <t>Gerenciamento de Requisição de Serviço</t>
        </is>
      </c>
      <c r="C470" t="inlineStr">
        <is>
          <t>#2307</t>
        </is>
      </c>
      <c r="D470" t="inlineStr">
        <is>
          <t>rag</t>
        </is>
      </c>
    </row>
    <row r="471">
      <c r="A471" t="inlineStr">
        <is>
          <t>Gerenciamento de Incidentes</t>
        </is>
      </c>
      <c r="B471" t="inlineStr">
        <is>
          <t>Gerenciamento de Problemas</t>
        </is>
      </c>
      <c r="C471" t="inlineStr">
        <is>
          <t>#2308</t>
        </is>
      </c>
      <c r="D471" t="inlineStr">
        <is>
          <t>rag</t>
        </is>
      </c>
    </row>
    <row r="472">
      <c r="A472" t="inlineStr">
        <is>
          <t>Gerenciamento de Incidentes</t>
        </is>
      </c>
      <c r="B472" t="inlineStr">
        <is>
          <t>Gerenciamento de Continuidade de Serviço</t>
        </is>
      </c>
      <c r="C472" t="inlineStr">
        <is>
          <t>#2319</t>
        </is>
      </c>
      <c r="D472" t="inlineStr">
        <is>
          <t>rag</t>
        </is>
      </c>
    </row>
    <row r="473">
      <c r="A473" t="inlineStr">
        <is>
          <t>Habilitação de Mudança</t>
        </is>
      </c>
      <c r="B473" t="inlineStr">
        <is>
          <t>Gerenciamento Financeiro de Serviços</t>
        </is>
      </c>
      <c r="C473" t="inlineStr">
        <is>
          <t>#2338</t>
        </is>
      </c>
      <c r="D473" t="inlineStr">
        <is>
          <t>rag</t>
        </is>
      </c>
    </row>
    <row r="474">
      <c r="A474" t="inlineStr">
        <is>
          <t>Gerenciamento de Requisição de Serviço</t>
        </is>
      </c>
      <c r="B474" t="inlineStr">
        <is>
          <t>Central de Serviço</t>
        </is>
      </c>
      <c r="C474" t="inlineStr">
        <is>
          <t>#2339</t>
        </is>
      </c>
      <c r="D474" t="inlineStr">
        <is>
          <t>rag</t>
        </is>
      </c>
    </row>
    <row r="475">
      <c r="A475" t="inlineStr">
        <is>
          <t>Gerenciamento de Requisição de Serviço</t>
        </is>
      </c>
      <c r="B475" t="inlineStr">
        <is>
          <t>Gerenciamento de Catálogo de Serviço</t>
        </is>
      </c>
      <c r="C475" t="inlineStr">
        <is>
          <t>#2346</t>
        </is>
      </c>
      <c r="D475" t="inlineStr">
        <is>
          <t>rag</t>
        </is>
      </c>
    </row>
    <row r="476">
      <c r="A476" t="inlineStr">
        <is>
          <t>Gerenciamento de Capacidade e Desempenho</t>
        </is>
      </c>
      <c r="B476" t="inlineStr">
        <is>
          <t>Gerenciamento de Problemas</t>
        </is>
      </c>
      <c r="C476" t="inlineStr">
        <is>
          <t>#2352</t>
        </is>
      </c>
      <c r="D476" t="inlineStr">
        <is>
          <t>rag</t>
        </is>
      </c>
    </row>
    <row r="477">
      <c r="A477" t="inlineStr">
        <is>
          <t>Gerenciamento de Problemas</t>
        </is>
      </c>
      <c r="B477" t="inlineStr">
        <is>
          <t>Gerenciamento de Incidentes</t>
        </is>
      </c>
      <c r="C477" t="inlineStr">
        <is>
          <t>#2360</t>
        </is>
      </c>
      <c r="D477" t="inlineStr">
        <is>
          <t>rag</t>
        </is>
      </c>
    </row>
    <row r="478">
      <c r="A478" t="inlineStr">
        <is>
          <t>Gerenciamento de Incidentes</t>
        </is>
      </c>
      <c r="B478" t="inlineStr">
        <is>
          <t>Gerenciamento de Ativos de TI</t>
        </is>
      </c>
      <c r="C478" t="inlineStr">
        <is>
          <t>#2361</t>
        </is>
      </c>
      <c r="D478" t="inlineStr">
        <is>
          <t>rag</t>
        </is>
      </c>
    </row>
    <row r="479">
      <c r="A479" t="inlineStr">
        <is>
          <t>Gerenciamento de Incidentes</t>
        </is>
      </c>
      <c r="B479" t="inlineStr">
        <is>
          <t>Desenvolvimento e Gerenciamento de Software</t>
        </is>
      </c>
      <c r="C479" t="inlineStr">
        <is>
          <t>#2362</t>
        </is>
      </c>
      <c r="D479" t="inlineStr">
        <is>
          <t>rag</t>
        </is>
      </c>
    </row>
    <row r="480">
      <c r="A480" t="inlineStr">
        <is>
          <t>Gerenciamento de Incidentes</t>
        </is>
      </c>
      <c r="B480" t="inlineStr">
        <is>
          <t>Gerenciamento de Continuidade de Serviço</t>
        </is>
      </c>
      <c r="C480" t="inlineStr">
        <is>
          <t>#2368</t>
        </is>
      </c>
      <c r="D480" t="inlineStr">
        <is>
          <t>rag</t>
        </is>
      </c>
    </row>
    <row r="481">
      <c r="A481" t="inlineStr">
        <is>
          <t>Gerenciamento de Incidentes</t>
        </is>
      </c>
      <c r="B481" t="inlineStr">
        <is>
          <t>Gerenciamento de Disponibilidade</t>
        </is>
      </c>
      <c r="C481" t="inlineStr">
        <is>
          <t>#2390</t>
        </is>
      </c>
      <c r="D481" t="inlineStr">
        <is>
          <t>rag</t>
        </is>
      </c>
    </row>
    <row r="482">
      <c r="A482" t="inlineStr">
        <is>
          <t>Gerenciamento de Problemas</t>
        </is>
      </c>
      <c r="B482" t="inlineStr">
        <is>
          <t>Gerenciamento de Capacidade e Desempenho</t>
        </is>
      </c>
      <c r="C482" t="inlineStr">
        <is>
          <t>#2392</t>
        </is>
      </c>
      <c r="D482" t="inlineStr">
        <is>
          <t>rag</t>
        </is>
      </c>
    </row>
    <row r="483">
      <c r="A483" t="inlineStr">
        <is>
          <t>Gerenciamento de Problemas</t>
        </is>
      </c>
      <c r="B483" t="inlineStr">
        <is>
          <t>Gerenciamento de Incidentes</t>
        </is>
      </c>
      <c r="C483" t="inlineStr">
        <is>
          <t>#2407</t>
        </is>
      </c>
      <c r="D483" t="inlineStr">
        <is>
          <t>rag</t>
        </is>
      </c>
    </row>
    <row r="484">
      <c r="A484" t="inlineStr">
        <is>
          <t>Gerenciamento de Requisição de Serviço</t>
        </is>
      </c>
      <c r="B484" t="inlineStr">
        <is>
          <t>Central de Serviço</t>
        </is>
      </c>
      <c r="C484" t="inlineStr">
        <is>
          <t>#2409</t>
        </is>
      </c>
      <c r="D484" t="inlineStr">
        <is>
          <t>rag</t>
        </is>
      </c>
    </row>
    <row r="485">
      <c r="A485" t="inlineStr">
        <is>
          <t>Gerenciamento de Requisição de Serviço</t>
        </is>
      </c>
      <c r="B485" t="inlineStr">
        <is>
          <t>Central de Serviço</t>
        </is>
      </c>
      <c r="C485" t="inlineStr">
        <is>
          <t>#2412</t>
        </is>
      </c>
      <c r="D485" t="inlineStr">
        <is>
          <t>rag</t>
        </is>
      </c>
    </row>
    <row r="486">
      <c r="A486" t="inlineStr">
        <is>
          <t>Gerenciamento de Problemas</t>
        </is>
      </c>
      <c r="B486" t="inlineStr">
        <is>
          <t>Gerenciamento de Incidentes</t>
        </is>
      </c>
      <c r="C486" t="inlineStr">
        <is>
          <t>#3</t>
        </is>
      </c>
      <c r="D486" t="inlineStr">
        <is>
          <t>rag_adaptativo</t>
        </is>
      </c>
    </row>
    <row r="487">
      <c r="A487" t="inlineStr">
        <is>
          <t>Gerenciamento de Relacionamento</t>
        </is>
      </c>
      <c r="B487" t="inlineStr">
        <is>
          <t>Melhoria Contínua</t>
        </is>
      </c>
      <c r="C487" t="inlineStr">
        <is>
          <t>#42</t>
        </is>
      </c>
      <c r="D487" t="inlineStr">
        <is>
          <t>rag_adaptativo</t>
        </is>
      </c>
    </row>
    <row r="488">
      <c r="A488" t="inlineStr">
        <is>
          <t>Gerenciamento de Incidentes</t>
        </is>
      </c>
      <c r="B488" t="inlineStr">
        <is>
          <t>Gerenciamento de Ativos de TI</t>
        </is>
      </c>
      <c r="C488" t="inlineStr">
        <is>
          <t>#57</t>
        </is>
      </c>
      <c r="D488" t="inlineStr">
        <is>
          <t>rag_adaptativo</t>
        </is>
      </c>
    </row>
    <row r="489">
      <c r="A489" t="inlineStr">
        <is>
          <t>Gerenciamento de Configuração</t>
        </is>
      </c>
      <c r="B489" t="inlineStr">
        <is>
          <t>Gerenciamento de Problemas</t>
        </is>
      </c>
      <c r="C489" t="inlineStr">
        <is>
          <t>#62</t>
        </is>
      </c>
      <c r="D489" t="inlineStr">
        <is>
          <t>rag_adaptativo</t>
        </is>
      </c>
    </row>
    <row r="490">
      <c r="A490" t="inlineStr">
        <is>
          <t>Gerenciamento de Nível de Serviço</t>
        </is>
      </c>
      <c r="B490" t="inlineStr">
        <is>
          <t>Não se aplica</t>
        </is>
      </c>
      <c r="C490" t="inlineStr">
        <is>
          <t>#77</t>
        </is>
      </c>
      <c r="D490" t="inlineStr">
        <is>
          <t>rag_adaptativo</t>
        </is>
      </c>
    </row>
    <row r="491">
      <c r="A491" t="inlineStr">
        <is>
          <t>Gerenciamento de Incidentes</t>
        </is>
      </c>
      <c r="B491" t="inlineStr">
        <is>
          <t>Gerenciamento de Disponibilidade</t>
        </is>
      </c>
      <c r="C491" t="inlineStr">
        <is>
          <t>#87</t>
        </is>
      </c>
      <c r="D491" t="inlineStr">
        <is>
          <t>rag_adaptativo</t>
        </is>
      </c>
    </row>
    <row r="492">
      <c r="A492" t="inlineStr">
        <is>
          <t>Gerenciamento de Ativos de TI</t>
        </is>
      </c>
      <c r="B492" t="inlineStr">
        <is>
          <t>Gerenciamento Financeiro de TI</t>
        </is>
      </c>
      <c r="C492" t="inlineStr">
        <is>
          <t>#98</t>
        </is>
      </c>
      <c r="D492" t="inlineStr">
        <is>
          <t>rag_adaptativo</t>
        </is>
      </c>
    </row>
    <row r="493">
      <c r="A493" t="inlineStr">
        <is>
          <t>Gerenciamento de Incidentes</t>
        </is>
      </c>
      <c r="B493" t="inlineStr">
        <is>
          <t>Gerenciamento de Disponibilidade</t>
        </is>
      </c>
      <c r="C493" t="inlineStr">
        <is>
          <t>#104</t>
        </is>
      </c>
      <c r="D493" t="inlineStr">
        <is>
          <t>rag_adaptativo</t>
        </is>
      </c>
    </row>
    <row r="494">
      <c r="A494" t="inlineStr">
        <is>
          <t>Gerenciamento de Problemas</t>
        </is>
      </c>
      <c r="B494" t="inlineStr">
        <is>
          <t>Gerenciamento de Incidentes</t>
        </is>
      </c>
      <c r="C494" t="inlineStr">
        <is>
          <t>#110</t>
        </is>
      </c>
      <c r="D494" t="inlineStr">
        <is>
          <t>rag_adaptativo</t>
        </is>
      </c>
    </row>
    <row r="495">
      <c r="A495" t="inlineStr">
        <is>
          <t>Gerenciamento de Nível de Serviço</t>
        </is>
      </c>
      <c r="B495" t="inlineStr">
        <is>
          <t>Não se aplica</t>
        </is>
      </c>
      <c r="C495" t="inlineStr">
        <is>
          <t>#111</t>
        </is>
      </c>
      <c r="D495" t="inlineStr">
        <is>
          <t>rag_adaptativo</t>
        </is>
      </c>
    </row>
    <row r="496">
      <c r="A496" t="inlineStr">
        <is>
          <t>Gerenciamento de Problemas</t>
        </is>
      </c>
      <c r="B496" t="inlineStr">
        <is>
          <t>Gerenciamento de Disponibilidade</t>
        </is>
      </c>
      <c r="C496" t="inlineStr">
        <is>
          <t>#123</t>
        </is>
      </c>
      <c r="D496" t="inlineStr">
        <is>
          <t>rag_adaptativo</t>
        </is>
      </c>
    </row>
    <row r="497">
      <c r="A497" t="inlineStr">
        <is>
          <t>Melhoria Contínua</t>
        </is>
      </c>
      <c r="B497" t="inlineStr">
        <is>
          <t>Gerenciamento de Ativos de TI</t>
        </is>
      </c>
      <c r="C497" t="inlineStr">
        <is>
          <t>#125</t>
        </is>
      </c>
      <c r="D497" t="inlineStr">
        <is>
          <t>rag_adaptativo</t>
        </is>
      </c>
    </row>
    <row r="498">
      <c r="A498" t="inlineStr">
        <is>
          <t>Gerenciamento de Incidentes</t>
        </is>
      </c>
      <c r="B498" t="inlineStr">
        <is>
          <t>Gerenciamento de Problemas</t>
        </is>
      </c>
      <c r="C498" t="inlineStr">
        <is>
          <t>#151</t>
        </is>
      </c>
      <c r="D498" t="inlineStr">
        <is>
          <t>rag_adaptativo</t>
        </is>
      </c>
    </row>
    <row r="499">
      <c r="A499" t="inlineStr">
        <is>
          <t>Gerenciamento de Incidentes</t>
        </is>
      </c>
      <c r="B499" t="inlineStr">
        <is>
          <t>Gerenciamento de Disponibilidade</t>
        </is>
      </c>
      <c r="C499" t="inlineStr">
        <is>
          <t>#162</t>
        </is>
      </c>
      <c r="D499" t="inlineStr">
        <is>
          <t>rag_adaptativo</t>
        </is>
      </c>
    </row>
    <row r="500">
      <c r="A500" t="inlineStr">
        <is>
          <t>Gerenciamento de Problemas</t>
        </is>
      </c>
      <c r="B500" t="inlineStr">
        <is>
          <t>Gerenciamento de Incidentes</t>
        </is>
      </c>
      <c r="C500" t="inlineStr">
        <is>
          <t>#182</t>
        </is>
      </c>
      <c r="D500" t="inlineStr">
        <is>
          <t>rag_adaptativo</t>
        </is>
      </c>
    </row>
    <row r="501">
      <c r="A501" t="inlineStr">
        <is>
          <t>Gerenciamento de Nível de Serviço</t>
        </is>
      </c>
      <c r="B501" t="inlineStr">
        <is>
          <t>Não se aplica</t>
        </is>
      </c>
      <c r="C501" t="inlineStr">
        <is>
          <t>#183</t>
        </is>
      </c>
      <c r="D501" t="inlineStr">
        <is>
          <t>rag_adaptativo</t>
        </is>
      </c>
    </row>
    <row r="502">
      <c r="A502" t="inlineStr">
        <is>
          <t>Gerenciamento de Incidentes</t>
        </is>
      </c>
      <c r="B502" t="inlineStr">
        <is>
          <t>Não se aplica</t>
        </is>
      </c>
      <c r="C502" t="inlineStr">
        <is>
          <t>#189</t>
        </is>
      </c>
      <c r="D502" t="inlineStr">
        <is>
          <t>rag_adaptativo</t>
        </is>
      </c>
    </row>
    <row r="503">
      <c r="A503" t="inlineStr">
        <is>
          <t>Gerenciamento de Incidentes</t>
        </is>
      </c>
      <c r="B503" t="inlineStr">
        <is>
          <t>Gerenciamento de Ativos de TI</t>
        </is>
      </c>
      <c r="C503" t="inlineStr">
        <is>
          <t>#194</t>
        </is>
      </c>
      <c r="D503" t="inlineStr">
        <is>
          <t>rag_adaptativo</t>
        </is>
      </c>
    </row>
    <row r="504">
      <c r="A504" t="inlineStr">
        <is>
          <t>Gerenciamento de Incidentes</t>
        </is>
      </c>
      <c r="B504" t="inlineStr">
        <is>
          <t>Não se aplica</t>
        </is>
      </c>
      <c r="C504" t="inlineStr">
        <is>
          <t>#201</t>
        </is>
      </c>
      <c r="D504" t="inlineStr">
        <is>
          <t>rag_adaptativo</t>
        </is>
      </c>
    </row>
    <row r="505">
      <c r="A505" t="inlineStr">
        <is>
          <t>Gerenciamento de Nível de Serviço</t>
        </is>
      </c>
      <c r="B505" t="inlineStr">
        <is>
          <t>Não se aplica</t>
        </is>
      </c>
      <c r="C505" t="inlineStr">
        <is>
          <t>#203</t>
        </is>
      </c>
      <c r="D505" t="inlineStr">
        <is>
          <t>rag_adaptativo</t>
        </is>
      </c>
    </row>
    <row r="506">
      <c r="A506" t="inlineStr">
        <is>
          <t>Gerenciamento de Incidentes</t>
        </is>
      </c>
      <c r="B506" t="inlineStr">
        <is>
          <t>Não se aplica</t>
        </is>
      </c>
      <c r="C506" t="inlineStr">
        <is>
          <t>#205</t>
        </is>
      </c>
      <c r="D506" t="inlineStr">
        <is>
          <t>rag_adaptativo</t>
        </is>
      </c>
    </row>
    <row r="507">
      <c r="A507" t="inlineStr">
        <is>
          <t>Melhoria Contínua</t>
        </is>
      </c>
      <c r="B507" t="inlineStr">
        <is>
          <t>Gerenciamento de Relacionamento</t>
        </is>
      </c>
      <c r="C507" t="inlineStr">
        <is>
          <t>#219</t>
        </is>
      </c>
      <c r="D507" t="inlineStr">
        <is>
          <t>rag_adaptativo</t>
        </is>
      </c>
    </row>
    <row r="508">
      <c r="A508" t="inlineStr">
        <is>
          <t>Gerenciamento de Configuração</t>
        </is>
      </c>
      <c r="B508" t="inlineStr">
        <is>
          <t>Gerenciamento de Mudanças</t>
        </is>
      </c>
      <c r="C508" t="inlineStr">
        <is>
          <t>#223</t>
        </is>
      </c>
      <c r="D508" t="inlineStr">
        <is>
          <t>rag_adaptativo</t>
        </is>
      </c>
    </row>
    <row r="509">
      <c r="A509" t="inlineStr">
        <is>
          <t>Gerenciamento de Requisições de Serviço</t>
        </is>
      </c>
      <c r="B509" t="inlineStr">
        <is>
          <t>Não se aplica</t>
        </is>
      </c>
      <c r="C509" t="inlineStr">
        <is>
          <t>#225</t>
        </is>
      </c>
      <c r="D509" t="inlineStr">
        <is>
          <t>rag_adaptativo</t>
        </is>
      </c>
    </row>
    <row r="510">
      <c r="A510" t="inlineStr">
        <is>
          <t>Gerenciamento de Requisições de Serviço</t>
        </is>
      </c>
      <c r="B510" t="inlineStr">
        <is>
          <t>Não se aplica</t>
        </is>
      </c>
      <c r="C510" t="inlineStr">
        <is>
          <t>#228</t>
        </is>
      </c>
      <c r="D510" t="inlineStr">
        <is>
          <t>rag_adaptativo</t>
        </is>
      </c>
    </row>
    <row r="511">
      <c r="A511" t="inlineStr">
        <is>
          <t>Gerenciamento de Acesso</t>
        </is>
      </c>
      <c r="B511" t="inlineStr">
        <is>
          <t>Gerenciamento de Incidentes</t>
        </is>
      </c>
      <c r="C511" t="inlineStr">
        <is>
          <t>#229</t>
        </is>
      </c>
      <c r="D511" t="inlineStr">
        <is>
          <t>rag_adaptativo</t>
        </is>
      </c>
    </row>
    <row r="512">
      <c r="A512" t="inlineStr">
        <is>
          <t>Gerenciamento de Requisições de Serviço</t>
        </is>
      </c>
      <c r="B512" t="inlineStr">
        <is>
          <t>Não se aplica</t>
        </is>
      </c>
      <c r="C512" t="inlineStr">
        <is>
          <t>#230</t>
        </is>
      </c>
      <c r="D512" t="inlineStr">
        <is>
          <t>rag_adaptativo</t>
        </is>
      </c>
    </row>
    <row r="513">
      <c r="A513" t="inlineStr">
        <is>
          <t>Gerenciamento de Problemas</t>
        </is>
      </c>
      <c r="B513" t="inlineStr">
        <is>
          <t>Gerenciamento de Incidentes</t>
        </is>
      </c>
      <c r="C513" t="inlineStr">
        <is>
          <t>#234</t>
        </is>
      </c>
      <c r="D513" t="inlineStr">
        <is>
          <t>rag_adaptativo</t>
        </is>
      </c>
    </row>
    <row r="514">
      <c r="A514" t="inlineStr">
        <is>
          <t>Gerenciamento de Problemas</t>
        </is>
      </c>
      <c r="B514" t="inlineStr">
        <is>
          <t>Gerenciamento de Incidentes</t>
        </is>
      </c>
      <c r="C514" t="inlineStr">
        <is>
          <t>#240</t>
        </is>
      </c>
      <c r="D514" t="inlineStr">
        <is>
          <t>rag_adaptativo</t>
        </is>
      </c>
    </row>
    <row r="515">
      <c r="A515" t="inlineStr">
        <is>
          <t>Gerenciamento de Requisição de Serviço</t>
        </is>
      </c>
      <c r="B515" t="inlineStr">
        <is>
          <t>Não se aplica</t>
        </is>
      </c>
      <c r="C515" t="inlineStr">
        <is>
          <t>#25</t>
        </is>
      </c>
      <c r="D515" t="inlineStr">
        <is>
          <t>rag_adaptativo</t>
        </is>
      </c>
    </row>
    <row r="516">
      <c r="A516" t="inlineStr">
        <is>
          <t>Gerenciamento de Incidentes</t>
        </is>
      </c>
      <c r="B516" t="inlineStr">
        <is>
          <t>Gerenciamento de Nível de Serviço</t>
        </is>
      </c>
      <c r="C516" t="inlineStr">
        <is>
          <t>#257</t>
        </is>
      </c>
      <c r="D516" t="inlineStr">
        <is>
          <t>rag_adaptativo</t>
        </is>
      </c>
    </row>
    <row r="517">
      <c r="A517" t="inlineStr">
        <is>
          <t>Gerenciamento de Incidentes</t>
        </is>
      </c>
      <c r="B517" t="inlineStr">
        <is>
          <t>Gerenciamento de Disponibilidade</t>
        </is>
      </c>
      <c r="C517" t="inlineStr">
        <is>
          <t>#264</t>
        </is>
      </c>
      <c r="D517" t="inlineStr">
        <is>
          <t>rag_adaptativo</t>
        </is>
      </c>
    </row>
    <row r="518">
      <c r="A518" t="inlineStr">
        <is>
          <t>Gerenciamento de Problemas</t>
        </is>
      </c>
      <c r="B518" t="inlineStr">
        <is>
          <t>Gerenciamento de Incidentes</t>
        </is>
      </c>
      <c r="C518" t="inlineStr">
        <is>
          <t>#279</t>
        </is>
      </c>
      <c r="D518" t="inlineStr">
        <is>
          <t>rag_adaptativo</t>
        </is>
      </c>
    </row>
    <row r="519">
      <c r="A519" t="inlineStr">
        <is>
          <t>Gerenciamento de Problemas</t>
        </is>
      </c>
      <c r="B519" t="inlineStr">
        <is>
          <t>Gerenciamento de Mudanças</t>
        </is>
      </c>
      <c r="C519" t="inlineStr">
        <is>
          <t>#294</t>
        </is>
      </c>
      <c r="D519" t="inlineStr">
        <is>
          <t>rag_adaptativo</t>
        </is>
      </c>
    </row>
    <row r="520">
      <c r="A520" t="inlineStr">
        <is>
          <t>Gerenciamento de Incidentes</t>
        </is>
      </c>
      <c r="B520" t="inlineStr">
        <is>
          <t>Gerenciamento de Nível de Serviço</t>
        </is>
      </c>
      <c r="C520" t="inlineStr">
        <is>
          <t>#299</t>
        </is>
      </c>
      <c r="D520" t="inlineStr">
        <is>
          <t>rag_adaptativo</t>
        </is>
      </c>
    </row>
    <row r="521">
      <c r="A521" t="inlineStr">
        <is>
          <t>Gerenciamento de Problemas</t>
        </is>
      </c>
      <c r="B521" t="inlineStr">
        <is>
          <t>Gerenciamento de Disponibilidade</t>
        </is>
      </c>
      <c r="C521" t="inlineStr">
        <is>
          <t>#301</t>
        </is>
      </c>
      <c r="D521" t="inlineStr">
        <is>
          <t>rag_adaptativo</t>
        </is>
      </c>
    </row>
    <row r="522">
      <c r="A522" t="inlineStr">
        <is>
          <t>Gerenciamento de Requisição de Serviço</t>
        </is>
      </c>
      <c r="B522" t="inlineStr">
        <is>
          <t>Não se aplica</t>
        </is>
      </c>
      <c r="C522" t="inlineStr">
        <is>
          <t>#305</t>
        </is>
      </c>
      <c r="D522" t="inlineStr">
        <is>
          <t>rag_adaptativo</t>
        </is>
      </c>
    </row>
    <row r="523">
      <c r="A523" t="inlineStr">
        <is>
          <t>Gerenciamento de Requisição de Serviço</t>
        </is>
      </c>
      <c r="B523" t="inlineStr">
        <is>
          <t>Gerenciamento Financeiro de TI</t>
        </is>
      </c>
      <c r="C523" t="inlineStr">
        <is>
          <t>#331</t>
        </is>
      </c>
      <c r="D523" t="inlineStr">
        <is>
          <t>rag_adaptativo</t>
        </is>
      </c>
    </row>
    <row r="524">
      <c r="A524" t="inlineStr">
        <is>
          <t>Gerenciamento de Incidentes</t>
        </is>
      </c>
      <c r="B524" t="inlineStr">
        <is>
          <t>Gerenciamento de Problemas</t>
        </is>
      </c>
      <c r="C524" t="inlineStr">
        <is>
          <t>#350</t>
        </is>
      </c>
      <c r="D524" t="inlineStr">
        <is>
          <t>rag_adaptativo</t>
        </is>
      </c>
    </row>
    <row r="525">
      <c r="A525" t="inlineStr">
        <is>
          <t>Gerenciamento de Requisição de Serviço</t>
        </is>
      </c>
      <c r="B525" t="inlineStr">
        <is>
          <t>Não se aplica</t>
        </is>
      </c>
      <c r="C525" t="inlineStr">
        <is>
          <t>#356</t>
        </is>
      </c>
      <c r="D525" t="inlineStr">
        <is>
          <t>rag_adaptativo</t>
        </is>
      </c>
    </row>
    <row r="526">
      <c r="A526" t="inlineStr">
        <is>
          <t>Gerenciamento de Problemas</t>
        </is>
      </c>
      <c r="B526" t="inlineStr">
        <is>
          <t>Gerenciamento de Mudanças</t>
        </is>
      </c>
      <c r="C526" t="inlineStr">
        <is>
          <t>#364</t>
        </is>
      </c>
      <c r="D526" t="inlineStr">
        <is>
          <t>rag_adaptativo</t>
        </is>
      </c>
    </row>
    <row r="527">
      <c r="A527" t="inlineStr">
        <is>
          <t>Gerenciamento de Problemas</t>
        </is>
      </c>
      <c r="B527" t="inlineStr">
        <is>
          <t>Gerenciamento de Mudanças</t>
        </is>
      </c>
      <c r="C527" t="inlineStr">
        <is>
          <t>#366</t>
        </is>
      </c>
      <c r="D527" t="inlineStr">
        <is>
          <t>rag_adaptativo</t>
        </is>
      </c>
    </row>
    <row r="528">
      <c r="A528" t="inlineStr">
        <is>
          <t>Gerenciamento de Incidentes</t>
        </is>
      </c>
      <c r="B528" t="inlineStr">
        <is>
          <t>Não se aplica</t>
        </is>
      </c>
      <c r="C528" t="inlineStr">
        <is>
          <t>#372</t>
        </is>
      </c>
      <c r="D528" t="inlineStr">
        <is>
          <t>rag_adaptativo</t>
        </is>
      </c>
    </row>
    <row r="529">
      <c r="A529" t="inlineStr">
        <is>
          <t>Gerenciamento de Requisição de Serviço</t>
        </is>
      </c>
      <c r="B529" t="inlineStr">
        <is>
          <t>Gerenciamento Financeiro de TI</t>
        </is>
      </c>
      <c r="C529" t="inlineStr">
        <is>
          <t>#376</t>
        </is>
      </c>
      <c r="D529" t="inlineStr">
        <is>
          <t>rag_adaptativo</t>
        </is>
      </c>
    </row>
    <row r="530">
      <c r="A530" t="inlineStr">
        <is>
          <t>Gerenciamento de Incidentes</t>
        </is>
      </c>
      <c r="B530" t="inlineStr">
        <is>
          <t>Gerenciamento de Disponibilidade</t>
        </is>
      </c>
      <c r="C530" t="inlineStr">
        <is>
          <t>#398</t>
        </is>
      </c>
      <c r="D530" t="inlineStr">
        <is>
          <t>rag_adaptativo</t>
        </is>
      </c>
    </row>
    <row r="531">
      <c r="A531" t="inlineStr">
        <is>
          <t>Gerenciamento de Incidentes</t>
        </is>
      </c>
      <c r="B531" t="inlineStr">
        <is>
          <t>Gerenciamento de Problemas</t>
        </is>
      </c>
      <c r="C531" t="inlineStr">
        <is>
          <t>#403</t>
        </is>
      </c>
      <c r="D531" t="inlineStr">
        <is>
          <t>rag_adaptativo</t>
        </is>
      </c>
    </row>
    <row r="532">
      <c r="A532" t="inlineStr">
        <is>
          <t>Gerenciamento de Requisição de Serviço</t>
        </is>
      </c>
      <c r="B532" t="inlineStr">
        <is>
          <t>Não se aplica</t>
        </is>
      </c>
      <c r="C532" t="inlineStr">
        <is>
          <t>#405</t>
        </is>
      </c>
      <c r="D532" t="inlineStr">
        <is>
          <t>rag_adaptativo</t>
        </is>
      </c>
    </row>
    <row r="533">
      <c r="A533" t="inlineStr">
        <is>
          <t>Gerenciamento de Nível de Serviço</t>
        </is>
      </c>
      <c r="B533" t="inlineStr">
        <is>
          <t>Planejamento Estratégico</t>
        </is>
      </c>
      <c r="C533" t="inlineStr">
        <is>
          <t>#424</t>
        </is>
      </c>
      <c r="D533" t="inlineStr">
        <is>
          <t>rag_adaptativo</t>
        </is>
      </c>
    </row>
    <row r="534">
      <c r="A534" t="inlineStr">
        <is>
          <t>Gerenciamento de Incidentes</t>
        </is>
      </c>
      <c r="B534" t="inlineStr">
        <is>
          <t>Gerenciamento de Problemas</t>
        </is>
      </c>
      <c r="C534" t="inlineStr">
        <is>
          <t>#451</t>
        </is>
      </c>
      <c r="D534" t="inlineStr">
        <is>
          <t>rag_adaptativo</t>
        </is>
      </c>
    </row>
    <row r="535">
      <c r="A535" t="inlineStr">
        <is>
          <t>Gerenciamento de Requisição de Serviço</t>
        </is>
      </c>
      <c r="B535" t="inlineStr">
        <is>
          <t>Gerenciamento Financeiro de TI</t>
        </is>
      </c>
      <c r="C535" t="inlineStr">
        <is>
          <t>#452</t>
        </is>
      </c>
      <c r="D535" t="inlineStr">
        <is>
          <t>rag_adaptativo</t>
        </is>
      </c>
    </row>
    <row r="536">
      <c r="A536" t="inlineStr">
        <is>
          <t>Gerenciamento de Requisição de Serviço</t>
        </is>
      </c>
      <c r="B536" t="inlineStr">
        <is>
          <t>Não se aplica</t>
        </is>
      </c>
      <c r="C536" t="inlineStr">
        <is>
          <t>#459</t>
        </is>
      </c>
      <c r="D536" t="inlineStr">
        <is>
          <t>rag_adaptativo</t>
        </is>
      </c>
    </row>
    <row r="537">
      <c r="A537" t="inlineStr">
        <is>
          <t>Gerenciamento de Problemas</t>
        </is>
      </c>
      <c r="B537" t="inlineStr">
        <is>
          <t>Gerenciamento Financeiro de TI</t>
        </is>
      </c>
      <c r="C537" t="inlineStr">
        <is>
          <t>#461</t>
        </is>
      </c>
      <c r="D537" t="inlineStr">
        <is>
          <t>rag_adaptativo</t>
        </is>
      </c>
    </row>
    <row r="538">
      <c r="A538" t="inlineStr">
        <is>
          <t>Gerenciamento de Incidentes</t>
        </is>
      </c>
      <c r="B538" t="inlineStr">
        <is>
          <t>Gerenciamento de Nível de Serviço</t>
        </is>
      </c>
      <c r="C538" t="inlineStr">
        <is>
          <t>#466</t>
        </is>
      </c>
      <c r="D538" t="inlineStr">
        <is>
          <t>rag_adaptativo</t>
        </is>
      </c>
    </row>
    <row r="539">
      <c r="A539" t="inlineStr">
        <is>
          <t>Gerenciamento de Incidentes</t>
        </is>
      </c>
      <c r="B539" t="inlineStr">
        <is>
          <t>Não se aplica</t>
        </is>
      </c>
      <c r="C539" t="inlineStr">
        <is>
          <t>#468</t>
        </is>
      </c>
      <c r="D539" t="inlineStr">
        <is>
          <t>rag_adaptativo</t>
        </is>
      </c>
    </row>
    <row r="540">
      <c r="A540" t="inlineStr">
        <is>
          <t>Gerenciamento de Incidentes</t>
        </is>
      </c>
      <c r="B540" t="inlineStr">
        <is>
          <t>Gerenciamento de Disponibilidade</t>
        </is>
      </c>
      <c r="C540" t="inlineStr">
        <is>
          <t>#470</t>
        </is>
      </c>
      <c r="D540" t="inlineStr">
        <is>
          <t>rag_adaptativo</t>
        </is>
      </c>
    </row>
    <row r="541">
      <c r="A541" t="inlineStr">
        <is>
          <t>Gerenciamento Financeiro de TI</t>
        </is>
      </c>
      <c r="B541" t="inlineStr">
        <is>
          <t>Gerenciamento de Requisição de Serviço</t>
        </is>
      </c>
      <c r="C541" t="inlineStr">
        <is>
          <t>#479</t>
        </is>
      </c>
      <c r="D541" t="inlineStr">
        <is>
          <t>rag_adaptativo</t>
        </is>
      </c>
    </row>
    <row r="542">
      <c r="A542" t="inlineStr">
        <is>
          <t>Gerenciamento de Incidentes</t>
        </is>
      </c>
      <c r="B542" t="inlineStr">
        <is>
          <t>Gerenciamento de Disponibilidade</t>
        </is>
      </c>
      <c r="C542" t="inlineStr">
        <is>
          <t>#485</t>
        </is>
      </c>
      <c r="D542" t="inlineStr">
        <is>
          <t>rag_adaptativo</t>
        </is>
      </c>
    </row>
    <row r="543">
      <c r="A543" t="inlineStr">
        <is>
          <t>Gerenciamento de Problemas</t>
        </is>
      </c>
      <c r="B543" t="inlineStr">
        <is>
          <t>Gerenciamento de Disponibilidade</t>
        </is>
      </c>
      <c r="C543" t="inlineStr">
        <is>
          <t>#492</t>
        </is>
      </c>
      <c r="D543" t="inlineStr">
        <is>
          <t>rag_adaptativo</t>
        </is>
      </c>
    </row>
    <row r="544">
      <c r="A544" t="inlineStr">
        <is>
          <t>Gerenciamento de Incidentes</t>
        </is>
      </c>
      <c r="B544" t="inlineStr">
        <is>
          <t>Gerenciamento de Problemas</t>
        </is>
      </c>
      <c r="C544" t="inlineStr">
        <is>
          <t>#496</t>
        </is>
      </c>
      <c r="D544" t="inlineStr">
        <is>
          <t>rag_adaptativo</t>
        </is>
      </c>
    </row>
    <row r="545">
      <c r="A545" t="inlineStr">
        <is>
          <t>Gerenciamento de Incidentes</t>
        </is>
      </c>
      <c r="B545" t="inlineStr">
        <is>
          <t>Gerenciamento de Problemas</t>
        </is>
      </c>
      <c r="C545" t="inlineStr">
        <is>
          <t>#504</t>
        </is>
      </c>
      <c r="D545" t="inlineStr">
        <is>
          <t>rag_adaptativo</t>
        </is>
      </c>
    </row>
    <row r="546">
      <c r="A546" t="inlineStr">
        <is>
          <t>Gerenciamento de Ativos de TI</t>
        </is>
      </c>
      <c r="B546" t="inlineStr">
        <is>
          <t>Gerenciamento Financeiro de TI</t>
        </is>
      </c>
      <c r="C546" t="inlineStr">
        <is>
          <t>#516</t>
        </is>
      </c>
      <c r="D546" t="inlineStr">
        <is>
          <t>rag_adaptativo</t>
        </is>
      </c>
    </row>
    <row r="547">
      <c r="A547" t="inlineStr">
        <is>
          <t>Gerenciamento de Capacidade e Desempenho</t>
        </is>
      </c>
      <c r="B547" t="inlineStr">
        <is>
          <t>Gerenciamento de Problemas</t>
        </is>
      </c>
      <c r="C547" t="inlineStr">
        <is>
          <t>#537</t>
        </is>
      </c>
      <c r="D547" t="inlineStr">
        <is>
          <t>rag_adaptativo</t>
        </is>
      </c>
    </row>
    <row r="548">
      <c r="A548" t="inlineStr">
        <is>
          <t>Gerenciamento de Incidentes</t>
        </is>
      </c>
      <c r="B548" t="inlineStr">
        <is>
          <t>Gerenciamento de Eventos</t>
        </is>
      </c>
      <c r="C548" t="inlineStr">
        <is>
          <t>#546</t>
        </is>
      </c>
      <c r="D548" t="inlineStr">
        <is>
          <t>rag_adaptativo</t>
        </is>
      </c>
    </row>
    <row r="549">
      <c r="A549" t="inlineStr">
        <is>
          <t>Gerenciamento de Capacidade e Desempenho</t>
        </is>
      </c>
      <c r="B549" t="inlineStr">
        <is>
          <t>Gerenciamento de Mudanças</t>
        </is>
      </c>
      <c r="C549" t="inlineStr">
        <is>
          <t>#547</t>
        </is>
      </c>
      <c r="D549" t="inlineStr">
        <is>
          <t>rag_adaptativo</t>
        </is>
      </c>
    </row>
    <row r="550">
      <c r="A550" t="inlineStr">
        <is>
          <t>Gerenciamento de Solicitação de Serviço</t>
        </is>
      </c>
      <c r="B550" t="inlineStr">
        <is>
          <t>Gerenciamento de Ativos de TI</t>
        </is>
      </c>
      <c r="C550" t="inlineStr">
        <is>
          <t>#579</t>
        </is>
      </c>
      <c r="D550" t="inlineStr">
        <is>
          <t>rag_adaptativo</t>
        </is>
      </c>
    </row>
    <row r="551">
      <c r="A551" t="inlineStr">
        <is>
          <t>Gerenciamento de Problemas</t>
        </is>
      </c>
      <c r="B551" t="inlineStr">
        <is>
          <t>Gerenciamento de Incidentes</t>
        </is>
      </c>
      <c r="C551" t="inlineStr">
        <is>
          <t>#580</t>
        </is>
      </c>
      <c r="D551" t="inlineStr">
        <is>
          <t>rag_adaptativo</t>
        </is>
      </c>
    </row>
    <row r="552">
      <c r="A552" t="inlineStr">
        <is>
          <t>Gerenciamento de Solicitação de Serviço</t>
        </is>
      </c>
      <c r="B552" t="inlineStr">
        <is>
          <t>Não se aplica</t>
        </is>
      </c>
      <c r="C552" t="inlineStr">
        <is>
          <t>#585</t>
        </is>
      </c>
      <c r="D552" t="inlineStr">
        <is>
          <t>rag_adaptativo</t>
        </is>
      </c>
    </row>
    <row r="553">
      <c r="A553" t="inlineStr">
        <is>
          <t>Gerenciamento Financeiro de TI</t>
        </is>
      </c>
      <c r="B553" t="inlineStr">
        <is>
          <t>Gerenciamento de Solicitação de Serviço</t>
        </is>
      </c>
      <c r="C553" t="inlineStr">
        <is>
          <t>#620</t>
        </is>
      </c>
      <c r="D553" t="inlineStr">
        <is>
          <t>rag_adaptativo</t>
        </is>
      </c>
    </row>
    <row r="554">
      <c r="A554" t="inlineStr">
        <is>
          <t>Gerenciamento de Relacionamento</t>
        </is>
      </c>
      <c r="B554" t="inlineStr">
        <is>
          <t>Não se aplica</t>
        </is>
      </c>
      <c r="C554" t="inlineStr">
        <is>
          <t>#634</t>
        </is>
      </c>
      <c r="D554" t="inlineStr">
        <is>
          <t>rag_adaptativo</t>
        </is>
      </c>
    </row>
    <row r="555">
      <c r="A555" t="inlineStr">
        <is>
          <t>Gerenciamento de Incidentes</t>
        </is>
      </c>
      <c r="B555" t="inlineStr">
        <is>
          <t>Gerenciamento de Solicitação de Serviço</t>
        </is>
      </c>
      <c r="C555" t="inlineStr">
        <is>
          <t>#650</t>
        </is>
      </c>
      <c r="D555" t="inlineStr">
        <is>
          <t>rag_adaptativo</t>
        </is>
      </c>
    </row>
    <row r="556">
      <c r="A556" t="inlineStr">
        <is>
          <t>Gerenciamento de Mudanças</t>
        </is>
      </c>
      <c r="B556" t="inlineStr">
        <is>
          <t>Gerenciamento de Incidentes</t>
        </is>
      </c>
      <c r="C556" t="inlineStr">
        <is>
          <t>#656</t>
        </is>
      </c>
      <c r="D556" t="inlineStr">
        <is>
          <t>rag_adaptativo</t>
        </is>
      </c>
    </row>
    <row r="557">
      <c r="A557" t="inlineStr">
        <is>
          <t>Gerenciamento de Incidentes</t>
        </is>
      </c>
      <c r="B557" t="inlineStr">
        <is>
          <t>Gerenciamento de Disponibilidade</t>
        </is>
      </c>
      <c r="C557" t="inlineStr">
        <is>
          <t>#658</t>
        </is>
      </c>
      <c r="D557" t="inlineStr">
        <is>
          <t>rag_adaptativo</t>
        </is>
      </c>
    </row>
    <row r="558">
      <c r="A558" t="inlineStr">
        <is>
          <t>Gerenciamento de Mudanças</t>
        </is>
      </c>
      <c r="B558" t="inlineStr">
        <is>
          <t>Gerenciamento de Problemas</t>
        </is>
      </c>
      <c r="C558" t="inlineStr">
        <is>
          <t>#663</t>
        </is>
      </c>
      <c r="D558" t="inlineStr">
        <is>
          <t>rag_adaptativo</t>
        </is>
      </c>
    </row>
    <row r="559">
      <c r="A559" t="inlineStr">
        <is>
          <t>Gerenciamento de Incidentes</t>
        </is>
      </c>
      <c r="B559" t="inlineStr">
        <is>
          <t>Gerenciamento de Disponibilidade</t>
        </is>
      </c>
      <c r="C559" t="inlineStr">
        <is>
          <t>#664</t>
        </is>
      </c>
      <c r="D559" t="inlineStr">
        <is>
          <t>rag_adaptativo</t>
        </is>
      </c>
    </row>
    <row r="560">
      <c r="A560" t="inlineStr">
        <is>
          <t>Gerenciamento de Solicitação de Serviço</t>
        </is>
      </c>
      <c r="B560" t="inlineStr">
        <is>
          <t>Gerenciamento de Ativos de TI</t>
        </is>
      </c>
      <c r="C560" t="inlineStr">
        <is>
          <t>#670</t>
        </is>
      </c>
      <c r="D560" t="inlineStr">
        <is>
          <t>rag_adaptativo</t>
        </is>
      </c>
    </row>
    <row r="561">
      <c r="A561" t="inlineStr">
        <is>
          <t>Gerenciamento de Incidentes</t>
        </is>
      </c>
      <c r="B561" t="inlineStr">
        <is>
          <t>Gerenciamento de Disponibilidade</t>
        </is>
      </c>
      <c r="C561" t="inlineStr">
        <is>
          <t>#674</t>
        </is>
      </c>
      <c r="D561" t="inlineStr">
        <is>
          <t>rag_adaptativo</t>
        </is>
      </c>
    </row>
    <row r="562">
      <c r="A562" t="inlineStr">
        <is>
          <t>Gerenciamento de Mudanças</t>
        </is>
      </c>
      <c r="B562" t="inlineStr">
        <is>
          <t>Gerenciamento de Capacidade e Desempenho</t>
        </is>
      </c>
      <c r="C562" t="inlineStr">
        <is>
          <t>#683</t>
        </is>
      </c>
      <c r="D562" t="inlineStr">
        <is>
          <t>rag_adaptativo</t>
        </is>
      </c>
    </row>
    <row r="563">
      <c r="A563" t="inlineStr">
        <is>
          <t>Gerenciamento de Incidentes</t>
        </is>
      </c>
      <c r="B563" t="inlineStr">
        <is>
          <t>Gerenciamento de Problemas</t>
        </is>
      </c>
      <c r="C563" t="inlineStr">
        <is>
          <t>#698</t>
        </is>
      </c>
      <c r="D563" t="inlineStr">
        <is>
          <t>rag_adaptativo</t>
        </is>
      </c>
    </row>
    <row r="564">
      <c r="A564" t="inlineStr">
        <is>
          <t>Gerenciamento de Problemas</t>
        </is>
      </c>
      <c r="B564" t="inlineStr">
        <is>
          <t>Gerenciamento de Incidentes</t>
        </is>
      </c>
      <c r="C564" t="inlineStr">
        <is>
          <t>#706</t>
        </is>
      </c>
      <c r="D564" t="inlineStr">
        <is>
          <t>rag_adaptativo</t>
        </is>
      </c>
    </row>
    <row r="565">
      <c r="A565" t="inlineStr">
        <is>
          <t>Melhoria Contínua</t>
        </is>
      </c>
      <c r="B565" t="inlineStr">
        <is>
          <t>Gerenciamento de Relacionamento</t>
        </is>
      </c>
      <c r="C565" t="inlineStr">
        <is>
          <t>#707</t>
        </is>
      </c>
      <c r="D565" t="inlineStr">
        <is>
          <t>rag_adaptativo</t>
        </is>
      </c>
    </row>
    <row r="566">
      <c r="A566" t="inlineStr">
        <is>
          <t>Gerenciamento de Solicitação de Serviço</t>
        </is>
      </c>
      <c r="B566" t="inlineStr">
        <is>
          <t>Não se aplica</t>
        </is>
      </c>
      <c r="C566" t="inlineStr">
        <is>
          <t>#709</t>
        </is>
      </c>
      <c r="D566" t="inlineStr">
        <is>
          <t>rag_adaptativo</t>
        </is>
      </c>
    </row>
    <row r="567">
      <c r="A567" t="inlineStr">
        <is>
          <t>Gerenciamento de Solicitação de Serviço</t>
        </is>
      </c>
      <c r="B567" t="inlineStr">
        <is>
          <t>Não se aplica</t>
        </is>
      </c>
      <c r="C567" t="inlineStr">
        <is>
          <t>#710</t>
        </is>
      </c>
      <c r="D567" t="inlineStr">
        <is>
          <t>rag_adaptativo</t>
        </is>
      </c>
    </row>
    <row r="568">
      <c r="A568" t="inlineStr">
        <is>
          <t>Gerenciamento de Mudanças</t>
        </is>
      </c>
      <c r="B568" t="inlineStr">
        <is>
          <t>Gerenciamento de Relacionamento</t>
        </is>
      </c>
      <c r="C568" t="inlineStr">
        <is>
          <t>#720</t>
        </is>
      </c>
      <c r="D568" t="inlineStr">
        <is>
          <t>rag_adaptativo</t>
        </is>
      </c>
    </row>
    <row r="569">
      <c r="A569" t="inlineStr">
        <is>
          <t>Gerenciamento de Solicitação de Serviço</t>
        </is>
      </c>
      <c r="B569" t="inlineStr">
        <is>
          <t>Não se aplica</t>
        </is>
      </c>
      <c r="C569" t="inlineStr">
        <is>
          <t>#752</t>
        </is>
      </c>
      <c r="D569" t="inlineStr">
        <is>
          <t>rag_adaptativo</t>
        </is>
      </c>
    </row>
    <row r="570">
      <c r="A570" t="inlineStr">
        <is>
          <t>Gerenciamento de Solicitação de Serviço</t>
        </is>
      </c>
      <c r="B570" t="inlineStr">
        <is>
          <t>Não se aplica</t>
        </is>
      </c>
      <c r="C570" t="inlineStr">
        <is>
          <t>#756</t>
        </is>
      </c>
      <c r="D570" t="inlineStr">
        <is>
          <t>rag_adaptativo</t>
        </is>
      </c>
    </row>
    <row r="571">
      <c r="A571" t="inlineStr">
        <is>
          <t>Gerenciamento de Incidentes</t>
        </is>
      </c>
      <c r="B571" t="inlineStr">
        <is>
          <t>Gerenciamento de Problemas</t>
        </is>
      </c>
      <c r="C571" t="inlineStr">
        <is>
          <t>#757</t>
        </is>
      </c>
      <c r="D571" t="inlineStr">
        <is>
          <t>rag_adaptativo</t>
        </is>
      </c>
    </row>
    <row r="572">
      <c r="A572" t="inlineStr">
        <is>
          <t>Gerenciamento de Solicitação de Serviço</t>
        </is>
      </c>
      <c r="B572" t="inlineStr">
        <is>
          <t>Não se aplica</t>
        </is>
      </c>
      <c r="C572" t="inlineStr">
        <is>
          <t>#764</t>
        </is>
      </c>
      <c r="D572" t="inlineStr">
        <is>
          <t>rag_adaptativo</t>
        </is>
      </c>
    </row>
    <row r="573">
      <c r="A573" t="inlineStr">
        <is>
          <t>Gerenciamento de Problemas</t>
        </is>
      </c>
      <c r="B573" t="inlineStr">
        <is>
          <t>Gerenciamento de Incidentes</t>
        </is>
      </c>
      <c r="C573" t="inlineStr">
        <is>
          <t>#768</t>
        </is>
      </c>
      <c r="D573" t="inlineStr">
        <is>
          <t>rag_adaptativo</t>
        </is>
      </c>
    </row>
    <row r="574">
      <c r="A574" t="inlineStr">
        <is>
          <t>Gerenciamento de Solicitação de Serviço</t>
        </is>
      </c>
      <c r="B574" t="inlineStr">
        <is>
          <t>Não se aplica</t>
        </is>
      </c>
      <c r="C574" t="inlineStr">
        <is>
          <t>#783</t>
        </is>
      </c>
      <c r="D574" t="inlineStr">
        <is>
          <t>rag_adaptativo</t>
        </is>
      </c>
    </row>
    <row r="575">
      <c r="A575" t="inlineStr">
        <is>
          <t>Gerenciamento de Incidentes</t>
        </is>
      </c>
      <c r="B575" t="inlineStr">
        <is>
          <t>Gerenciamento de Ativos de TI</t>
        </is>
      </c>
      <c r="C575" t="inlineStr">
        <is>
          <t>#788, #807, #935, #1000</t>
        </is>
      </c>
      <c r="D575" t="inlineStr">
        <is>
          <t>rag_adaptativo</t>
        </is>
      </c>
    </row>
    <row r="576">
      <c r="A576" t="inlineStr">
        <is>
          <t>Gerenciamento de Problemas</t>
        </is>
      </c>
      <c r="B576" t="inlineStr">
        <is>
          <t>Gerenciamento de Incidentes</t>
        </is>
      </c>
      <c r="C576" t="inlineStr">
        <is>
          <t>#794, #863</t>
        </is>
      </c>
      <c r="D576" t="inlineStr">
        <is>
          <t>rag_adaptativo</t>
        </is>
      </c>
    </row>
    <row r="577">
      <c r="A577" t="inlineStr">
        <is>
          <t>Gerenciamento de Incidentes</t>
        </is>
      </c>
      <c r="B577" t="inlineStr">
        <is>
          <t>Gerenciamento de Nível de Serviço</t>
        </is>
      </c>
      <c r="C577" t="inlineStr">
        <is>
          <t>#800, #873, #890, #896, #1001</t>
        </is>
      </c>
      <c r="D577" t="inlineStr">
        <is>
          <t>rag_adaptativo</t>
        </is>
      </c>
    </row>
    <row r="578">
      <c r="A578" t="inlineStr">
        <is>
          <t>Gerenciamento de Incidentes</t>
        </is>
      </c>
      <c r="B578" t="inlineStr">
        <is>
          <t>Gerenciamento de Ativos de TI</t>
        </is>
      </c>
      <c r="C578" t="inlineStr">
        <is>
          <t>#801</t>
        </is>
      </c>
      <c r="D578" t="inlineStr">
        <is>
          <t>rag_adaptativo</t>
        </is>
      </c>
    </row>
    <row r="579">
      <c r="A579" t="inlineStr">
        <is>
          <t>Gerenciamento de Requisições de Serviço</t>
        </is>
      </c>
      <c r="B579" t="inlineStr">
        <is>
          <t>Gerenciamento Financeiro de TI</t>
        </is>
      </c>
      <c r="C579" t="inlineStr">
        <is>
          <t>#824, #960, #967, #872</t>
        </is>
      </c>
      <c r="D579" t="inlineStr">
        <is>
          <t>rag_adaptativo</t>
        </is>
      </c>
    </row>
    <row r="580">
      <c r="A580" t="inlineStr">
        <is>
          <t>Gerenciamento de Requisições de Serviço</t>
        </is>
      </c>
      <c r="B580" t="inlineStr">
        <is>
          <t>Não se aplica</t>
        </is>
      </c>
      <c r="C580" t="inlineStr">
        <is>
          <t>#825</t>
        </is>
      </c>
      <c r="D580" t="inlineStr">
        <is>
          <t>rag_adaptativo</t>
        </is>
      </c>
    </row>
    <row r="581">
      <c r="A581" t="inlineStr">
        <is>
          <t>Gerenciamento de Nível de Serviço</t>
        </is>
      </c>
      <c r="B581" t="inlineStr">
        <is>
          <t>Gerenciamento de Incidentes</t>
        </is>
      </c>
      <c r="C581" t="inlineStr">
        <is>
          <t>#830, #997</t>
        </is>
      </c>
      <c r="D581" t="inlineStr">
        <is>
          <t>rag_adaptativo</t>
        </is>
      </c>
    </row>
    <row r="582">
      <c r="A582" t="inlineStr">
        <is>
          <t>Gerenciamento de Requisições de Serviço</t>
        </is>
      </c>
      <c r="B582" t="inlineStr">
        <is>
          <t>Gerenciamento de Mudanças</t>
        </is>
      </c>
      <c r="C582" t="inlineStr">
        <is>
          <t>#837</t>
        </is>
      </c>
      <c r="D582" t="inlineStr">
        <is>
          <t>rag_adaptativo</t>
        </is>
      </c>
    </row>
    <row r="583">
      <c r="A583" t="inlineStr">
        <is>
          <t>Gerenciamento de Mudanças</t>
        </is>
      </c>
      <c r="B583" t="inlineStr">
        <is>
          <t>Gerenciamento de Incidentes</t>
        </is>
      </c>
      <c r="C583" t="inlineStr">
        <is>
          <t>#852</t>
        </is>
      </c>
      <c r="D583" t="inlineStr">
        <is>
          <t>rag_adaptativo</t>
        </is>
      </c>
    </row>
    <row r="584">
      <c r="A584" t="inlineStr">
        <is>
          <t>Gerenciamento de Requisições de Serviço</t>
        </is>
      </c>
      <c r="B584" t="inlineStr">
        <is>
          <t>Não se aplica</t>
        </is>
      </c>
      <c r="C584" t="inlineStr">
        <is>
          <t>#866</t>
        </is>
      </c>
      <c r="D584" t="inlineStr">
        <is>
          <t>rag_adaptativo</t>
        </is>
      </c>
    </row>
    <row r="585">
      <c r="A585" t="inlineStr">
        <is>
          <t>Gerenciamento de Problemas</t>
        </is>
      </c>
      <c r="B585" t="inlineStr">
        <is>
          <t>Gerenciamento de Incidentes</t>
        </is>
      </c>
      <c r="C585" t="inlineStr">
        <is>
          <t>#895</t>
        </is>
      </c>
      <c r="D585" t="inlineStr">
        <is>
          <t>rag_adaptativo</t>
        </is>
      </c>
    </row>
    <row r="586">
      <c r="A586" t="inlineStr">
        <is>
          <t>Gerenciamento de Acesso</t>
        </is>
      </c>
      <c r="B586" t="inlineStr">
        <is>
          <t>Gerenciamento de Incidentes</t>
        </is>
      </c>
      <c r="C586" t="inlineStr">
        <is>
          <t>#909</t>
        </is>
      </c>
      <c r="D586" t="inlineStr">
        <is>
          <t>rag_adaptativo</t>
        </is>
      </c>
    </row>
    <row r="587">
      <c r="A587" t="inlineStr">
        <is>
          <t>Gerenciamento de Incidentes</t>
        </is>
      </c>
      <c r="B587" t="inlineStr">
        <is>
          <t>Gerenciamento de Disponibilidade</t>
        </is>
      </c>
      <c r="C587" t="inlineStr">
        <is>
          <t>#932, #992</t>
        </is>
      </c>
      <c r="D587" t="inlineStr">
        <is>
          <t>rag_adaptativo</t>
        </is>
      </c>
    </row>
    <row r="588">
      <c r="A588" t="inlineStr">
        <is>
          <t>Gerenciamento de Segurança da Informação</t>
        </is>
      </c>
      <c r="B588" t="inlineStr">
        <is>
          <t>Gerenciamento de Incidentes</t>
        </is>
      </c>
      <c r="C588" t="inlineStr">
        <is>
          <t>#948</t>
        </is>
      </c>
      <c r="D588" t="inlineStr">
        <is>
          <t>rag_adaptativo</t>
        </is>
      </c>
    </row>
    <row r="589">
      <c r="A589" t="inlineStr">
        <is>
          <t>Gerenciamento de Requisições de Serviço</t>
        </is>
      </c>
      <c r="B589" t="inlineStr">
        <is>
          <t>Melhoria Contínua</t>
        </is>
      </c>
      <c r="C589" t="inlineStr">
        <is>
          <t>#994</t>
        </is>
      </c>
      <c r="D589" t="inlineStr">
        <is>
          <t>rag_adaptativo</t>
        </is>
      </c>
    </row>
    <row r="590">
      <c r="A590" t="inlineStr">
        <is>
          <t>Gerenciamento de Nível de Serviço</t>
        </is>
      </c>
      <c r="B590" t="inlineStr">
        <is>
          <t>Gerenciamento Financeiro de TI</t>
        </is>
      </c>
      <c r="C590" t="inlineStr">
        <is>
          <t>#1008</t>
        </is>
      </c>
      <c r="D590" t="inlineStr">
        <is>
          <t>rag_adaptativo</t>
        </is>
      </c>
    </row>
    <row r="591">
      <c r="A591" t="inlineStr">
        <is>
          <t>Gerenciamento de Mudanças</t>
        </is>
      </c>
      <c r="B591" t="inlineStr">
        <is>
          <t>Gerenciamento de Problemas</t>
        </is>
      </c>
      <c r="C591" t="inlineStr">
        <is>
          <t>#1010</t>
        </is>
      </c>
      <c r="D591" t="inlineStr">
        <is>
          <t>rag_adaptativo</t>
        </is>
      </c>
    </row>
    <row r="592">
      <c r="A592" t="inlineStr">
        <is>
          <t>Gerenciamento de Incidentes</t>
        </is>
      </c>
      <c r="B592" t="inlineStr">
        <is>
          <t>Gerenciamento de Configuração</t>
        </is>
      </c>
      <c r="C592" t="inlineStr">
        <is>
          <t>#1014</t>
        </is>
      </c>
      <c r="D592" t="inlineStr">
        <is>
          <t>rag_adaptativo</t>
        </is>
      </c>
    </row>
    <row r="593">
      <c r="A593" t="inlineStr">
        <is>
          <t>Gerenciamento de Problemas</t>
        </is>
      </c>
      <c r="B593" t="inlineStr">
        <is>
          <t>Gerenciamento de Disponibilidade</t>
        </is>
      </c>
      <c r="C593" t="inlineStr">
        <is>
          <t>#1029</t>
        </is>
      </c>
      <c r="D593" t="inlineStr">
        <is>
          <t>rag_adaptativo</t>
        </is>
      </c>
    </row>
    <row r="594">
      <c r="A594" t="inlineStr">
        <is>
          <t>Central de Serviços</t>
        </is>
      </c>
      <c r="B594" t="inlineStr">
        <is>
          <t>Não se aplica</t>
        </is>
      </c>
      <c r="C594" t="inlineStr">
        <is>
          <t>#1031</t>
        </is>
      </c>
      <c r="D594" t="inlineStr">
        <is>
          <t>rag_adaptativo</t>
        </is>
      </c>
    </row>
    <row r="595">
      <c r="A595" t="inlineStr">
        <is>
          <t>Gerenciamento de Incidentes</t>
        </is>
      </c>
      <c r="B595" t="inlineStr">
        <is>
          <t>Gerenciamento de Disponibilidade</t>
        </is>
      </c>
      <c r="C595" t="inlineStr">
        <is>
          <t>#1034</t>
        </is>
      </c>
      <c r="D595" t="inlineStr">
        <is>
          <t>rag_adaptativo</t>
        </is>
      </c>
    </row>
    <row r="596">
      <c r="A596" t="inlineStr">
        <is>
          <t>Gerenciamento de Incidentes</t>
        </is>
      </c>
      <c r="B596" t="inlineStr">
        <is>
          <t>Gerenciamento de Configuração</t>
        </is>
      </c>
      <c r="C596" t="inlineStr">
        <is>
          <t>#1062</t>
        </is>
      </c>
      <c r="D596" t="inlineStr">
        <is>
          <t>rag_adaptativo</t>
        </is>
      </c>
    </row>
    <row r="597">
      <c r="A597" t="inlineStr">
        <is>
          <t>Gerenciamento Financeiro de TI</t>
        </is>
      </c>
      <c r="B597" t="inlineStr">
        <is>
          <t>Gerenciamento de Nível de Serviço</t>
        </is>
      </c>
      <c r="C597" t="inlineStr">
        <is>
          <t>#1067</t>
        </is>
      </c>
      <c r="D597" t="inlineStr">
        <is>
          <t>rag_adaptativo</t>
        </is>
      </c>
    </row>
    <row r="598">
      <c r="A598" t="inlineStr">
        <is>
          <t>Gerenciamento de Incidentes</t>
        </is>
      </c>
      <c r="B598" t="inlineStr">
        <is>
          <t>Gerenciamento de Ativos de TI</t>
        </is>
      </c>
      <c r="C598" t="inlineStr">
        <is>
          <t>#1068</t>
        </is>
      </c>
      <c r="D598" t="inlineStr">
        <is>
          <t>rag_adaptativo</t>
        </is>
      </c>
    </row>
    <row r="599">
      <c r="A599" t="inlineStr">
        <is>
          <t>Gerenciamento de Problemas</t>
        </is>
      </c>
      <c r="B599" t="inlineStr">
        <is>
          <t>Gerenciamento de Disponibilidade</t>
        </is>
      </c>
      <c r="C599" t="inlineStr">
        <is>
          <t>#1080</t>
        </is>
      </c>
      <c r="D599" t="inlineStr">
        <is>
          <t>rag_adaptativo</t>
        </is>
      </c>
    </row>
    <row r="600">
      <c r="A600" t="inlineStr">
        <is>
          <t>Gerenciamento de Incidentes</t>
        </is>
      </c>
      <c r="B600" t="inlineStr">
        <is>
          <t>Gerenciamento de Configuração</t>
        </is>
      </c>
      <c r="C600" t="inlineStr">
        <is>
          <t>#1107</t>
        </is>
      </c>
      <c r="D600" t="inlineStr">
        <is>
          <t>rag_adaptativo</t>
        </is>
      </c>
    </row>
    <row r="601">
      <c r="A601" t="inlineStr">
        <is>
          <t>Central de Serviços</t>
        </is>
      </c>
      <c r="B601" t="inlineStr">
        <is>
          <t>Gerenciamento de Requisições</t>
        </is>
      </c>
      <c r="C601" t="inlineStr">
        <is>
          <t>#1128</t>
        </is>
      </c>
      <c r="D601" t="inlineStr">
        <is>
          <t>rag_adaptativo</t>
        </is>
      </c>
    </row>
    <row r="602">
      <c r="A602" t="inlineStr">
        <is>
          <t>Gerenciamento de Incidentes</t>
        </is>
      </c>
      <c r="B602" t="inlineStr">
        <is>
          <t>Gerenciamento de Continuidade</t>
        </is>
      </c>
      <c r="C602" t="inlineStr">
        <is>
          <t>#1129</t>
        </is>
      </c>
      <c r="D602" t="inlineStr">
        <is>
          <t>rag_adaptativo</t>
        </is>
      </c>
    </row>
    <row r="603">
      <c r="A603" t="inlineStr">
        <is>
          <t>Gerenciamento de Problemas</t>
        </is>
      </c>
      <c r="B603" t="inlineStr">
        <is>
          <t>Gerenciamento de Disponibilidade</t>
        </is>
      </c>
      <c r="C603" t="inlineStr">
        <is>
          <t>#1141</t>
        </is>
      </c>
      <c r="D603" t="inlineStr">
        <is>
          <t>rag_adaptativo</t>
        </is>
      </c>
    </row>
    <row r="604">
      <c r="A604" t="inlineStr">
        <is>
          <t>Gerenciamento de Incidentes</t>
        </is>
      </c>
      <c r="B604" t="inlineStr">
        <is>
          <t>Não se aplica</t>
        </is>
      </c>
      <c r="C604" t="inlineStr">
        <is>
          <t>#1148</t>
        </is>
      </c>
      <c r="D604" t="inlineStr">
        <is>
          <t>rag_adaptativo</t>
        </is>
      </c>
    </row>
    <row r="605">
      <c r="A605" t="inlineStr">
        <is>
          <t>Gerenciamento de Incidentes</t>
        </is>
      </c>
      <c r="B605" t="inlineStr">
        <is>
          <t>Gerenciamento de Mudanças</t>
        </is>
      </c>
      <c r="C605" t="inlineStr">
        <is>
          <t>#1150</t>
        </is>
      </c>
      <c r="D605" t="inlineStr">
        <is>
          <t>rag_adaptativo</t>
        </is>
      </c>
    </row>
    <row r="606">
      <c r="A606" t="inlineStr">
        <is>
          <t>Gerenciamento de Requisições</t>
        </is>
      </c>
      <c r="B606" t="inlineStr">
        <is>
          <t>Não se aplica</t>
        </is>
      </c>
      <c r="C606" t="inlineStr">
        <is>
          <t>#1155</t>
        </is>
      </c>
      <c r="D606" t="inlineStr">
        <is>
          <t>rag_adaptativo</t>
        </is>
      </c>
    </row>
    <row r="607">
      <c r="A607" t="inlineStr">
        <is>
          <t>Gerenciamento de Incidentes</t>
        </is>
      </c>
      <c r="B607" t="inlineStr">
        <is>
          <t>Gerenciamento de Ativos de TI</t>
        </is>
      </c>
      <c r="C607" t="inlineStr">
        <is>
          <t>#1161</t>
        </is>
      </c>
      <c r="D607" t="inlineStr">
        <is>
          <t>rag_adaptativo</t>
        </is>
      </c>
    </row>
    <row r="608">
      <c r="A608" t="inlineStr">
        <is>
          <t>Gerenciamento Financeiro de TI</t>
        </is>
      </c>
      <c r="B608" t="inlineStr">
        <is>
          <t>Gerenciamento de Nível de Serviço</t>
        </is>
      </c>
      <c r="C608" t="inlineStr">
        <is>
          <t>#1182</t>
        </is>
      </c>
      <c r="D608" t="inlineStr">
        <is>
          <t>rag_adaptativo</t>
        </is>
      </c>
    </row>
    <row r="609">
      <c r="A609" t="inlineStr">
        <is>
          <t>Gerenciamento de Incidentes</t>
        </is>
      </c>
      <c r="B609" t="inlineStr">
        <is>
          <t>Gerenciamento de Disponibilidade</t>
        </is>
      </c>
      <c r="C609" t="inlineStr">
        <is>
          <t>#1203</t>
        </is>
      </c>
      <c r="D609" t="inlineStr">
        <is>
          <t>rag_adaptativo</t>
        </is>
      </c>
    </row>
    <row r="610">
      <c r="A610" t="inlineStr">
        <is>
          <t>Gerenciamento Financeiro de TI</t>
        </is>
      </c>
      <c r="B610" t="inlineStr">
        <is>
          <t>Gerenciamento de Problemas</t>
        </is>
      </c>
      <c r="C610" t="inlineStr">
        <is>
          <t>#1205</t>
        </is>
      </c>
      <c r="D610" t="inlineStr">
        <is>
          <t>rag_adaptativo</t>
        </is>
      </c>
    </row>
    <row r="611">
      <c r="A611" t="inlineStr">
        <is>
          <t>Gerenciamento de Problemas</t>
        </is>
      </c>
      <c r="B611" t="inlineStr">
        <is>
          <t>Gerenciamento de Disponibilidade</t>
        </is>
      </c>
      <c r="C611" t="inlineStr">
        <is>
          <t>#1208</t>
        </is>
      </c>
      <c r="D611" t="inlineStr">
        <is>
          <t>rag_adaptativo</t>
        </is>
      </c>
    </row>
    <row r="612">
      <c r="A612" t="inlineStr">
        <is>
          <t>Gerenciamento de Mudanças</t>
        </is>
      </c>
      <c r="B612" t="inlineStr">
        <is>
          <t>Gerenciamento de Configuração</t>
        </is>
      </c>
      <c r="C612" t="inlineStr">
        <is>
          <t>#1216</t>
        </is>
      </c>
      <c r="D612" t="inlineStr">
        <is>
          <t>rag_adaptativo</t>
        </is>
      </c>
    </row>
    <row r="613">
      <c r="A613" t="inlineStr">
        <is>
          <t>Gerenciamento Financeiro de TI</t>
        </is>
      </c>
      <c r="B613" t="inlineStr">
        <is>
          <t>Gerenciamento de Nível de Serviço</t>
        </is>
      </c>
      <c r="C613" t="inlineStr">
        <is>
          <t>#1221</t>
        </is>
      </c>
      <c r="D613" t="inlineStr">
        <is>
          <t>rag_adaptativo</t>
        </is>
      </c>
    </row>
    <row r="614">
      <c r="A614" t="inlineStr">
        <is>
          <t>Gerenciamento de Problemas</t>
        </is>
      </c>
      <c r="B614" t="inlineStr">
        <is>
          <t>Gerenciamento de Nível de Serviço</t>
        </is>
      </c>
      <c r="C614" t="inlineStr">
        <is>
          <t>#1222</t>
        </is>
      </c>
      <c r="D614" t="inlineStr">
        <is>
          <t>rag_adaptativo</t>
        </is>
      </c>
    </row>
    <row r="615">
      <c r="A615" t="inlineStr">
        <is>
          <t>Gerenciamento de Requisições</t>
        </is>
      </c>
      <c r="B615" t="inlineStr">
        <is>
          <t>Não se aplica</t>
        </is>
      </c>
      <c r="C615" t="inlineStr">
        <is>
          <t>#1226</t>
        </is>
      </c>
      <c r="D615" t="inlineStr">
        <is>
          <t>rag_adaptativo</t>
        </is>
      </c>
    </row>
    <row r="616">
      <c r="A616" t="inlineStr">
        <is>
          <t>Gerenciamento de Requisições</t>
        </is>
      </c>
      <c r="B616" t="inlineStr">
        <is>
          <t>Não se aplica</t>
        </is>
      </c>
      <c r="C616" t="inlineStr">
        <is>
          <t>#1234</t>
        </is>
      </c>
      <c r="D616" t="inlineStr">
        <is>
          <t>rag_adaptativo</t>
        </is>
      </c>
    </row>
    <row r="617">
      <c r="A617" t="inlineStr">
        <is>
          <t>Gerenciamento de Incidentes</t>
        </is>
      </c>
      <c r="B617" t="inlineStr">
        <is>
          <t>Gerenciamento de Ativos de TI</t>
        </is>
      </c>
      <c r="C617" t="inlineStr">
        <is>
          <t>#1238</t>
        </is>
      </c>
      <c r="D617" t="inlineStr">
        <is>
          <t>rag_adaptativo</t>
        </is>
      </c>
    </row>
    <row r="618">
      <c r="A618" t="inlineStr">
        <is>
          <t>Gerenciamento de Problemas</t>
        </is>
      </c>
      <c r="B618" t="inlineStr">
        <is>
          <t>Gerenciamento de Disponibilidade</t>
        </is>
      </c>
      <c r="C618" t="inlineStr">
        <is>
          <t>#1242</t>
        </is>
      </c>
      <c r="D618" t="inlineStr">
        <is>
          <t>rag_adaptativo</t>
        </is>
      </c>
    </row>
    <row r="619">
      <c r="A619" t="inlineStr">
        <is>
          <t>Gerenciamento Financeiro de TI</t>
        </is>
      </c>
      <c r="B619" t="inlineStr">
        <is>
          <t>Gerenciamento de Incidentes</t>
        </is>
      </c>
      <c r="C619" t="inlineStr">
        <is>
          <t>#1262</t>
        </is>
      </c>
      <c r="D619" t="inlineStr">
        <is>
          <t>rag_adaptativo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t="inlineStr">
        <is>
          <t>ticket_id</t>
        </is>
      </c>
      <c r="B1" t="inlineStr">
        <is>
          <t>assunto</t>
        </is>
      </c>
      <c r="C1" t="inlineStr">
        <is>
          <t>descricao</t>
        </is>
      </c>
      <c r="D1" t="inlineStr">
        <is>
          <t>Prática Principal</t>
        </is>
      </c>
      <c r="E1" t="inlineStr">
        <is>
          <t>Prática Auxiliar</t>
        </is>
      </c>
      <c r="F1" t="inlineStr">
        <is>
          <t>chat_pratica_principal</t>
        </is>
      </c>
      <c r="G1" t="inlineStr">
        <is>
          <t>chat_praticas_apoio</t>
        </is>
      </c>
      <c r="H1" t="inlineStr">
        <is>
          <t>chat_stream_pratica_principal</t>
        </is>
      </c>
      <c r="I1" t="inlineStr">
        <is>
          <t>chat_stream_praticas_apoio</t>
        </is>
      </c>
      <c r="J1" t="inlineStr">
        <is>
          <t>rag_pratica_principal</t>
        </is>
      </c>
      <c r="K1" t="inlineStr">
        <is>
          <t>rag_praticas_apoio</t>
        </is>
      </c>
      <c r="L1" t="inlineStr">
        <is>
          <t>rag_adaptativo_pratica_principal</t>
        </is>
      </c>
      <c r="M1" t="inlineStr">
        <is>
          <t>rag_adaptativo_praticas_apoio</t>
        </is>
      </c>
    </row>
    <row r="2">
      <c r="A2" t="inlineStr">
        <is>
          <t>3</t>
        </is>
      </c>
      <c r="B2" t="inlineStr">
        <is>
          <t>Erro na Autocompletação de Código do IntelliJ IDEA</t>
        </is>
      </c>
      <c r="C2" t="inlineStr">
        <is>
          <t>Prezado Suporte ao Cliente &lt;name&gt;,
Estou escrevendo para trazer à sua atenção um problema recorrente com o recurso de autocompletação de código no IntelliJ IDEA 2024.1. Este problema específico faz com que o aplicativo travar frequentemente durante o desenvolvimento, o que está prejudicando significativamente minha produtividade. Cada vez que tento usar o recurso de autocompletação de código, o software fica sem resposta, levando eventualmente a um travamento. Já tentei os passos comuns de solução de problemas, como reinstalação e aplicação das atualizações mais recentes, mas o problema persiste. Agradeceria sua orientação sobre como resolver esse problema o mais rápido possível. Obrigado pela sua atenção.
Atenciosamente,
&lt;name&gt;</t>
        </is>
      </c>
      <c r="D2" t="inlineStr">
        <is>
          <t>Gerenciamento de Incidentes</t>
        </is>
      </c>
      <c r="E2" t="inlineStr">
        <is>
          <t>Gerenciamento de Problemas</t>
        </is>
      </c>
      <c r="F2" t="inlineStr">
        <is>
          <t>Gerenciamento de Incidentes</t>
        </is>
      </c>
      <c r="G2" t="inlineStr">
        <is>
          <t>Gerenciamento de Problemas</t>
        </is>
      </c>
      <c r="H2" t="inlineStr">
        <is>
          <t>Gerenciamento de Incidentes</t>
        </is>
      </c>
      <c r="I2" t="inlineStr">
        <is>
          <t>Gerenciamento de Problemas</t>
        </is>
      </c>
      <c r="J2" t="inlineStr">
        <is>
          <t>Gerenciamento de Problemas</t>
        </is>
      </c>
      <c r="K2" t="inlineStr">
        <is>
          <t>Gerenciamento de Liberação</t>
        </is>
      </c>
      <c r="L2" t="inlineStr">
        <is>
          <t>Gerenciamento de Problemas</t>
        </is>
      </c>
      <c r="M2" t="inlineStr">
        <is>
          <t>Gerenciamento de Incidentes</t>
        </is>
      </c>
    </row>
    <row r="3">
      <c r="A3" t="inlineStr">
        <is>
          <t>25</t>
        </is>
      </c>
      <c r="B3" t="inlineStr">
        <is>
          <t>Problemas intermitentes de exibição após atualização de firmware</t>
        </is>
      </c>
      <c r="C3" t="inlineStr">
        <is>
          <t>Caro Suporte ao Cliente,
 Estou entrando em contato para relatar um problema com meu Samsung QLED QN90A que comprei em sua loja. Após a recente atualização de firmware, estou enfrentando problemas intermitentes de exibição. A tela às vezes pisca e às vezes perde o sinal completamente, o que prejudica significativamente minha experiência de visualização.
 Esses problemas começaram a ocorrer imediatamente após a atualização de firmware, sugerindo uma possível causa. Tentei solucionar o problema verificando todas as conexões e reiniciando a TV para as configurações de fábrica, mas o problema persiste.
 Você poderia me fornecer orientações sobre como resolver isso ou me informar os próximos passos? Se um retrocesso de firmware ou uma correção estiver disponível, isso seria extremamente útil para recuperar a funcionalidade total da minha TV.
 Obrigado antecipadamente pela sua assistência. Aguardo uma solução rápida.
 Atenciosamente,
 &lt;name&gt;
 &lt;email&gt;
 &lt;tel_num&gt;</t>
        </is>
      </c>
      <c r="D3" t="inlineStr">
        <is>
          <t>Gerenciamento de Incidentes</t>
        </is>
      </c>
      <c r="E3" t="inlineStr">
        <is>
          <t>Gerenciamento de Mudanças</t>
        </is>
      </c>
      <c r="F3" t="inlineStr">
        <is>
          <t>Gerenciamento de Incidentes</t>
        </is>
      </c>
      <c r="G3" t="inlineStr">
        <is>
          <t>Gerenciamento de Mudanças</t>
        </is>
      </c>
      <c r="H3" t="inlineStr">
        <is>
          <t>Gerenciamento de Incidentes</t>
        </is>
      </c>
      <c r="I3" t="inlineStr">
        <is>
          <t>Gerenciamento de Mudanças</t>
        </is>
      </c>
      <c r="J3" t="inlineStr">
        <is>
          <t>Habilitação de Mudança</t>
        </is>
      </c>
      <c r="K3" t="inlineStr">
        <is>
          <t>Gerenciamento de Liberação</t>
        </is>
      </c>
      <c r="L3" t="inlineStr">
        <is>
          <t>Gerenciamento de Requisição de Serviço</t>
        </is>
      </c>
      <c r="M3" t="inlineStr">
        <is>
          <t>Não se aplica</t>
        </is>
      </c>
    </row>
    <row r="4">
      <c r="A4" t="inlineStr">
        <is>
          <t>42</t>
        </is>
      </c>
      <c r="B4" t="inlineStr">
        <is>
          <t>Pedido de Assistência para Administração de Servidores</t>
        </is>
      </c>
      <c r="C4" t="inlineStr">
        <is>
          <t>Prezado Suporte ao Cliente de Serviços de TI,
Espero que esta mensagem o encontre bem. Estou escrevendo para solicitar assistência adicional com a administração do servidor para melhorar a eficiência e o desempenho de nossos sistemas atuais. Acreditamos que aproveitar seus serviços de consultoria pode nos ajudar a alcançar essas melhorias e abordar quaisquer desafios existentes que estamos enfrentando.
Nosso principal objetivo é otimizar as operações do servidor para apoiar nosso crescimento e garantir a confiabilidade de nossa infraestrutura de TI. Após revisar seus Serviços de Consultoria de TI, estamos confiantes de que a experiência de sua equipe pode fornecer insights e soluções valiosas adaptadas às nossas necessidades específicas.
Poderíamos, por favor, agendar uma consulta com um de seus especialistas na sua primeira conveniência? Estamos ansiosos para discutir estratégias potenciais, planos de serviço e quaisquer recomendações que você possa ter. Aguardamos ansiosamente o refinamento de nossos sistemas e a sua adaptação às melhores práticas.
Obrigado pela sua atenção a este pedido. Agradecemos sua assistência e estamos animados com a possibilidade de colaborar com sua equipe.
Atenciosamente,
&lt;name&gt;
&lt;position&gt;
&lt;company&gt;
&lt;tel_num&gt;
&lt;email&gt;</t>
        </is>
      </c>
      <c r="D4" t="inlineStr">
        <is>
          <t>Solicitação de Serviço</t>
        </is>
      </c>
      <c r="E4" t="inlineStr">
        <is>
          <t>Gerenciamento de Nível de Serviço</t>
        </is>
      </c>
      <c r="F4" t="inlineStr">
        <is>
          <t>Gerenciamento de Requisição de Serviço</t>
        </is>
      </c>
      <c r="G4" t="inlineStr">
        <is>
          <t>Gerenciamento de Relacionamento</t>
        </is>
      </c>
      <c r="H4" t="inlineStr">
        <is>
          <t>Gerenciamento de Requisição de Serviço</t>
        </is>
      </c>
      <c r="I4" t="inlineStr">
        <is>
          <t>Gerenciamento de Relacionamento</t>
        </is>
      </c>
      <c r="J4" t="inlineStr">
        <is>
          <t>Gerenciamento de Relacionamento</t>
        </is>
      </c>
      <c r="K4" t="inlineStr">
        <is>
          <t>Gerenciamento de Requisição de Serviço</t>
        </is>
      </c>
      <c r="L4" t="inlineStr">
        <is>
          <t>Gerenciamento de Relacionamento</t>
        </is>
      </c>
      <c r="M4" t="inlineStr">
        <is>
          <t>Melhoria Contínua</t>
        </is>
      </c>
    </row>
    <row r="5">
      <c r="A5" t="inlineStr">
        <is>
          <t>57</t>
        </is>
      </c>
      <c r="B5" t="inlineStr">
        <is>
          <t>Urgente: Relato de Falha na Bateria do MacBook Air M1 Adquirido na Loja Virtual</t>
        </is>
      </c>
      <c r="C5" t="inlineStr">
        <is>
          <t>Prezado Atendimento ao Cliente,&lt;br&gt;&lt;br&gt;Recentemente adquiri um MacBook Air M1 em sua loja virtual e estou enfrentando sérios problemas com a bateria. Ela se esgota de forma extremamente rápida. Por favor, me avisem sobre os passos que devo seguir para realizar uma substituição ou um conserto.&lt;br&gt;&lt;br&gt;Atenciosamente,&lt;br&gt;&lt;nome&gt;</t>
        </is>
      </c>
      <c r="D5" t="inlineStr">
        <is>
          <t>Gerenciamento de Incidentes</t>
        </is>
      </c>
      <c r="E5" t="inlineStr">
        <is>
          <t>Gerenciamento de Ativos de TI</t>
        </is>
      </c>
      <c r="F5" t="inlineStr">
        <is>
          <t>Gerenciamento de Incidentes</t>
        </is>
      </c>
      <c r="G5" t="inlineStr">
        <is>
          <t>Gerenciamento de Ativos de TI</t>
        </is>
      </c>
      <c r="H5" t="inlineStr">
        <is>
          <t>Gerenciamento de Incidentes</t>
        </is>
      </c>
      <c r="I5" t="inlineStr">
        <is>
          <t>Gerenciamento de Ativos de TI</t>
        </is>
      </c>
      <c r="J5" t="inlineStr">
        <is>
          <t>Gerenciamento de Ativos de TI</t>
        </is>
      </c>
      <c r="K5" t="inlineStr">
        <is>
          <t>Gerenciamento de Fornecedor</t>
        </is>
      </c>
      <c r="L5" t="inlineStr">
        <is>
          <t>Gerenciamento de Incidentes</t>
        </is>
      </c>
      <c r="M5" t="inlineStr">
        <is>
          <t>Gerenciamento de Ativos de TI</t>
        </is>
      </c>
    </row>
    <row r="6">
      <c r="A6" t="inlineStr">
        <is>
          <t>62</t>
        </is>
      </c>
      <c r="B6" t="inlineStr">
        <is>
          <t>Assistência Necessária para Integração do Jira Software</t>
        </is>
      </c>
      <c r="C6" t="inlineStr">
        <is>
          <t>Prezado Time de Suporte ao Cliente,
Espero que esta mensagem o encontre bem. Estou entrando em contato a respeito de um ticket que diz respeito a problemas que temos encontrado com nossas configurações de quadro Scrum na versão 8.20 do Jira Software. Temos enfrentado dificuldades consideráveis para integrar nossos fluxos de gerenciamento de projetos de maneira suave. Apesar de nossos esforços para configurar os quadros de acordo com nossos requisitos, certas funções não parecem funcionar como esperado. Isso interrompeu nosso fluxo de trabalho, afetando a produtividade.
Estamos buscando seu aconselhamento especializado para nos ajudar a resolver esse problema. Especificamente, precisamos de orientação sobre configurações ideais para uma integração de gerenciamento de projetos sem fricções. Se possível, eu apreciaria um guia passo a passo ou recomendações sobre as melhores práticas para garantir que nossa configuração esteja perfeitamente alinhada com os recursos mais recentes no Jira Software 8.20.
Obrigado pela sua atenção a este assunto, e aguardo sua resposta rápida.
Atenciosamente,
&lt;name&gt;</t>
        </is>
      </c>
      <c r="D6" t="inlineStr">
        <is>
          <t>Gerenciamento de Problemas</t>
        </is>
      </c>
      <c r="E6" t="inlineStr">
        <is>
          <t>Gerenciamento de Mudanças</t>
        </is>
      </c>
      <c r="F6" t="inlineStr">
        <is>
          <t>Gerenciamento de Configuração de Serviço</t>
        </is>
      </c>
      <c r="G6" t="inlineStr">
        <is>
          <t>Gerenciamento de Ativos de TI</t>
        </is>
      </c>
      <c r="H6" t="inlineStr">
        <is>
          <t>Gerenciamento de Configuração de Serviço</t>
        </is>
      </c>
      <c r="I6" t="inlineStr">
        <is>
          <t>Gerenciamento de Ativos de TI</t>
        </is>
      </c>
      <c r="J6" t="inlineStr">
        <is>
          <t>Gerenciamento de Configuração de Serviço</t>
        </is>
      </c>
      <c r="K6" t="inlineStr">
        <is>
          <t>Gerenciamento de Conhecimento</t>
        </is>
      </c>
      <c r="L6" t="inlineStr">
        <is>
          <t>Gerenciamento de Configuração</t>
        </is>
      </c>
      <c r="M6" t="inlineStr">
        <is>
          <t>Gerenciamento de Problemas</t>
        </is>
      </c>
    </row>
    <row r="7">
      <c r="A7" t="inlineStr">
        <is>
          <t>77</t>
        </is>
      </c>
      <c r="B7" t="inlineStr">
        <is>
          <t>Discrepância de Faturamento no Google Workspace</t>
        </is>
      </c>
      <c r="C7" t="inlineStr">
        <is>
          <t>Caro Time de Suporte de TI,
Estou escrevendo para relatar um valor de faturamento incorreto na minha assinatura do Google Workspace Business Standard sob a conta &lt;acc_num&gt;. Por favor, revise e ajuste a fatura. Aguardando sua pronta resposta.
Atenciosamente,
&lt;name&gt;</t>
        </is>
      </c>
      <c r="D7" t="inlineStr">
        <is>
          <t>Gerenciamento Financeiro</t>
        </is>
      </c>
      <c r="E7" t="inlineStr">
        <is>
          <t>Gerenciamento de Incidentes</t>
        </is>
      </c>
      <c r="F7" t="inlineStr">
        <is>
          <t>Gerenciamento Financeiro de Serviços</t>
        </is>
      </c>
      <c r="G7" t="inlineStr">
        <is>
          <t>Gerenciamento de Relacionamento</t>
        </is>
      </c>
      <c r="H7" t="inlineStr">
        <is>
          <t>Gerenciamento Financeiro de Serviços</t>
        </is>
      </c>
      <c r="I7" t="inlineStr">
        <is>
          <t>Gerenciamento de Relacionamento</t>
        </is>
      </c>
      <c r="J7" t="inlineStr">
        <is>
          <t>Gerenciamento Financeiro de Serviços</t>
        </is>
      </c>
      <c r="K7" t="inlineStr">
        <is>
          <t>Gerenciamento de Nível de Serviço</t>
        </is>
      </c>
      <c r="L7" t="inlineStr">
        <is>
          <t>Gerenciamento de Nível de Serviço</t>
        </is>
      </c>
      <c r="M7" t="inlineStr">
        <is>
          <t>Não se aplica</t>
        </is>
      </c>
    </row>
    <row r="8">
      <c r="A8" t="inlineStr">
        <is>
          <t>87</t>
        </is>
      </c>
      <c r="B8" t="inlineStr">
        <is>
          <t>Urgente: Problema de inatividade do Serviço de Gerenciamento da AWS</t>
        </is>
      </c>
      <c r="C8" t="inlineStr">
        <is>
          <t>Prezado time de suporte ao cliente,
Estou escrevendo para informar sobre um problema com seu Serviço de Gerenciamento da AWS, que recentemente enfrentou inatividade não planejada. Essa interrupção impactou significativamente o acesso dos clientes ao servidor virtual. Precisamos de assistência imediata para resolver o problema e garantir que não ocorram mais interrupções. Por favor, priorize a restauração da funcionalidade e mantenha-nos atualizados sobre seu progresso. Dependemos muito do seu serviço, e tais incidentes afetam criticamente nossas operações. Ação rápida seria apreciada. Entre em contato comigo pelo &lt;tel_num&gt; para mais discussões.
Obrigado,
&lt;name&gt;</t>
        </is>
      </c>
      <c r="D8" t="inlineStr">
        <is>
          <t>Gerenciamento de Incidentes</t>
        </is>
      </c>
      <c r="E8" t="inlineStr">
        <is>
          <t>Gerenciamento de Disponibilidade</t>
        </is>
      </c>
      <c r="F8" t="inlineStr">
        <is>
          <t>Gerenciamento de Disponibilidade</t>
        </is>
      </c>
      <c r="G8" t="inlineStr">
        <is>
          <t>Gerenciamento de Continuidade de Serviço</t>
        </is>
      </c>
      <c r="H8" t="inlineStr">
        <is>
          <t>Gerenciamento de Disponibilidade</t>
        </is>
      </c>
      <c r="I8" t="inlineStr">
        <is>
          <t>Gerenciamento de Continuidade de Serviço</t>
        </is>
      </c>
      <c r="J8" t="inlineStr">
        <is>
          <t>Gerenciamento de Disponibilidade</t>
        </is>
      </c>
      <c r="K8" t="inlineStr">
        <is>
          <t>Gerenciamento de Continuidade de Serviço</t>
        </is>
      </c>
      <c r="L8" t="inlineStr">
        <is>
          <t>Gerenciamento de Incidentes</t>
        </is>
      </c>
      <c r="M8" t="inlineStr">
        <is>
          <t>Gerenciamento de Disponibilidade</t>
        </is>
      </c>
    </row>
    <row r="9">
      <c r="A9" t="inlineStr">
        <is>
          <t>98</t>
        </is>
      </c>
      <c r="B9" t="inlineStr">
        <is>
          <t>Solicitação de Soluções de Gerenciamento da AWS Eficientes em Custo</t>
        </is>
      </c>
      <c r="C9" t="inlineStr">
        <is>
          <t>Caro Time de Suporte ao Cliente,
Espero que esta mensagem os encontre bem. Meu nome é &lt;name&gt; e atualmente estou supervisionando as operações no escritório de &lt;name&gt;. Temos utilizado seus Serviços de Gerenciamento da AWS no último ano e, embora o serviço tenha sido satisfatório, encontramos alguns desafios em relação aos altos custos operacionais associados a ele.
À luz dessas restrições financeiras, estamos buscando aconselhamento sobre como otimizar da melhor forma nossos Serviços de Gerenciamento da AWS existentes. Especificamente, estamos interessados em explorar soluções que sejam eficientes em custo e que possam ajudar a racionalizar nossas operações sem comprometer o desempenho ou a confiabilidade. Poderiam, por favor, nos fornecer insights ou recomendações sobre opções ou ajustes disponíveis que podemos considerar?
Compreender os detalhes do nosso uso da AWS e identificar áreas potenciais para economia de custos pode beneficiar muito nosso planejamento financeiro e estratégia operacional.
Muito obrigado pela sua assistência e por considerar nossa solicitação. Aguardo seu retorno em breve sobre possíveis soluções ou para agendar uma reunião com um consultor.
Atenciosamente,
&lt;name&gt;
Departamento de TI de &lt;name&gt;
Contato: &lt;tel_num&gt;</t>
        </is>
      </c>
      <c r="D9" t="inlineStr">
        <is>
          <t>Solicitação de Serviço</t>
        </is>
      </c>
      <c r="E9" t="inlineStr">
        <is>
          <t>Gerenciamento Financeiro</t>
        </is>
      </c>
      <c r="F9" t="inlineStr">
        <is>
          <t>Gerenciamento de Requisição de Serviço</t>
        </is>
      </c>
      <c r="G9" t="inlineStr">
        <is>
          <t>Gerenciamento Financeiro de Serviços</t>
        </is>
      </c>
      <c r="H9" t="inlineStr">
        <is>
          <t>Gerenciamento de Requisição de Serviço</t>
        </is>
      </c>
      <c r="I9" t="inlineStr">
        <is>
          <t>Gerenciamento Financeiro de Serviços</t>
        </is>
      </c>
      <c r="J9" t="inlineStr">
        <is>
          <t>Gerenciamento Financeiro de Serviços</t>
        </is>
      </c>
      <c r="K9" t="inlineStr">
        <is>
          <t>Gerenciamento de Capacidade e Desempenho</t>
        </is>
      </c>
      <c r="L9" t="inlineStr">
        <is>
          <t>Gerenciamento de Ativos de TI</t>
        </is>
      </c>
      <c r="M9" t="inlineStr">
        <is>
          <t>Gerenciamento Financeiro de TI</t>
        </is>
      </c>
    </row>
    <row r="10">
      <c r="A10" t="inlineStr">
        <is>
          <t>104</t>
        </is>
      </c>
      <c r="B10" t="inlineStr">
        <is>
          <t>Interrupção do Roteador Cisco</t>
        </is>
      </c>
      <c r="C10" t="inlineStr">
        <is>
          <t>Caro Suporte ao Cliente,
Estou escrevendo para informá-los sobre um problema técnico de alta prioridade que estamos enfrentando com o Roteador Cisco ISR4331. O erro associado a este equipamento levou a uma interrupção total do serviço que afeta vários clientes, necessitando de atenção e resolução imediatas.
Este problema foi detectado pela primeira vez em &lt;date&gt;, e impactou severamente nossa entrega de serviços. Recebemos inúmeros relatórios de clientes que não conseguem acessar seus serviços, e isso está causando grandes interrupções operacionais para eles. Parece que o roteador é incapaz de manter a conectividade e essa interrupção é consistente em várias redes conectadas. Verificamos todas as conexões e configurações para garantir que o problema não está em nossos sistemas internos. Consequentemente, suspeitamos fortemente de uma falha originada no hardware ou firmware do roteador que precisa de uma investigação urgente.
Dada a natureza crítica deste problema, estamos escalando isso para a mais alta prioridade. Nossos clientes dependem de nós para um serviço confiável, e é imperativo que essa interrupção seja resolvida rapidamente para minimizar perdas adicionais e restaurar a confiança dos afetados. Agradeceríamos se vocês pudessem despachar uma equipe técnica sênior para avaliar e tratar a causa raiz o mais cedo possível.
Vocês poderiam, por favor, confirmar o recebimento desta comunicação e fornecer orientações sobre os próximos passos? Confiamos em sua proficiência e contamos com sua experiência para nos ajudar a restaurar a funcionalidade total o mais rápido possível.
Para fins de documentação, nosso número da conta é &lt;acc_num&gt;. Por favor, entre em contato conosco por este e-mail ou pelo &lt;tel_num&gt; caso necessitem de mais informações ou esclarecimentos.
Obrigado pela sua atenção rápida a este problema crítico.
Atenciosamente,
&lt;name&gt;
Equipe de Serviços de TI</t>
        </is>
      </c>
      <c r="D10" t="inlineStr">
        <is>
          <t>Gerenciamento de Incidentes</t>
        </is>
      </c>
      <c r="E10" t="inlineStr">
        <is>
          <t>Gerenciamento de Problemas</t>
        </is>
      </c>
      <c r="F10" t="inlineStr">
        <is>
          <t>Gerenciamento de Problemas</t>
        </is>
      </c>
      <c r="G10" t="inlineStr">
        <is>
          <t>Gerenciamento de Capacidade e Desempenho</t>
        </is>
      </c>
      <c r="H10" t="inlineStr">
        <is>
          <t>Gerenciamento de Problemas</t>
        </is>
      </c>
      <c r="I10" t="inlineStr">
        <is>
          <t>Gerenciamento de Capacidade e Desempenho</t>
        </is>
      </c>
      <c r="J10" t="inlineStr">
        <is>
          <t>Gerenciamento de Disponibilidade</t>
        </is>
      </c>
      <c r="K10" t="inlineStr">
        <is>
          <t>Gerenciamento de Problemas</t>
        </is>
      </c>
      <c r="L10" t="inlineStr">
        <is>
          <t>Gerenciamento de Incidentes</t>
        </is>
      </c>
      <c r="M10" t="inlineStr">
        <is>
          <t>Gerenciamento de Disponibilidade</t>
        </is>
      </c>
    </row>
    <row r="11">
      <c r="A11" t="inlineStr">
        <is>
          <t>110</t>
        </is>
      </c>
      <c r="B11" t="inlineStr">
        <is>
          <t>Urgente: Problemas de Conectividade de Rede do Roteador Cisco ISR4331</t>
        </is>
      </c>
      <c r="C11" t="inlineStr">
        <is>
          <t>Caro Time de Suporte ao Cliente,
Espero que esta mensagem o encontre bem. Estou escrevendo para trazer formalmente à sua atenção um problema relacionado à conectividade de rede do meu Roteador Cisco ISR4331. Meu nome é &lt;name&gt;, e venho enfrentando problemas de forma consistente nas últimas semanas. O dispositivo, que me foi recomendado por seu desempenho de alta reputação, infelizmente, não está entregando o que era esperado.
O problema principal é que o roteador falha em manter uma velocidade de rede consistente e frequentemente desconecta. Isso interrompeu significativamente meus arranjos de trabalho em casa, onde uma conectividade de internet confiável é crucial. Inicialmente, pensei que isso poderia estar relacionado ao meu provedor de serviços de internet, mas após diversas verificações e consultas com eles, foi confirmado que o problema não é do lado deles.
Para fornecer mais detalhes, a conexão parece cair de forma imprevisível, às vezes até várias vezes na mesma hora, e nesse momentos, nenhuma atividade específica está sendo realizada que poderia sobrecarregar a rede. Já tentei etapas básicas de solução de problemas, como reiniciar o roteador, redefini-lo para as configurações de fábrica e atualizar o firmware. Nenhuma dessas medidas trouxe um resultado positivo.
Dadas essas circunstâncias, solicito gentilmente sua assistência para resolver essa situação o mais rápido possível. Talvez haja uma configuração avançada ou uma alteração que possa estabilizar o desempenho da rede do ISR4331. Sua orientação e suporte especializados na resolução deste assunto seriam inestimáveis.
Obrigado pela sua atenção a este problema. Por favor, me avise se você precisar de informações adicionais ou se houver detalhes específicos sobre a configuração que você precisa para ajudar mais.
Atenciosamente,
&lt;name&gt;
&lt;tel_num&gt;
&lt;acc_num&gt;</t>
        </is>
      </c>
      <c r="D11" t="inlineStr">
        <is>
          <t>Gerenciamento de Incidentes</t>
        </is>
      </c>
      <c r="E11" t="inlineStr">
        <is>
          <t>Gerenciamento de Problemas</t>
        </is>
      </c>
      <c r="F11" t="inlineStr">
        <is>
          <t>Gerenciamento de Problemas</t>
        </is>
      </c>
      <c r="G11" t="inlineStr">
        <is>
          <t>Gerenciamento de Capacidade e Desempenho</t>
        </is>
      </c>
      <c r="H11" t="inlineStr">
        <is>
          <t>Gerenciamento de Problemas</t>
        </is>
      </c>
      <c r="I11" t="inlineStr">
        <is>
          <t>Gerenciamento de Capacidade e Desempenho</t>
        </is>
      </c>
      <c r="J11" t="inlineStr">
        <is>
          <t>Gerenciamento de Problemas</t>
        </is>
      </c>
      <c r="K11" t="inlineStr">
        <is>
          <t>Gerenciamento de Capacidade e Desempenho</t>
        </is>
      </c>
      <c r="L11" t="inlineStr">
        <is>
          <t>Gerenciamento de Problemas</t>
        </is>
      </c>
      <c r="M11" t="inlineStr">
        <is>
          <t>Gerenciamento de Incidentes</t>
        </is>
      </c>
    </row>
    <row r="12">
      <c r="A12" t="inlineStr">
        <is>
          <t>111</t>
        </is>
      </c>
      <c r="B12" t="inlineStr">
        <is>
          <t>Discrepância de Cobrança no Google Workspace</t>
        </is>
      </c>
      <c r="C12" t="inlineStr">
        <is>
          <t>Prezada equipe de suporte de TI,
Estou escrevendo para relatar um valor de cobrança incorreto na minha assinatura do Google Workspace Business Standard sob a conta &lt;acc_num&gt;. Por favor, revise e ajuste a fatura. Aguardando sua resposta rápida.
Atenciosamente,
&lt;name&gt;</t>
        </is>
      </c>
      <c r="D12" t="inlineStr">
        <is>
          <t>Gerenciamento Financeiro</t>
        </is>
      </c>
      <c r="E12" t="inlineStr">
        <is>
          <t>Gerenciamento de Incidentes</t>
        </is>
      </c>
      <c r="F12" t="inlineStr">
        <is>
          <t>Gerenciamento Financeiro de Serviços</t>
        </is>
      </c>
      <c r="G12" t="inlineStr">
        <is>
          <t>Gerenciamento de Incidentes</t>
        </is>
      </c>
      <c r="H12" t="inlineStr">
        <is>
          <t>Gerenciamento Financeiro de Serviços</t>
        </is>
      </c>
      <c r="I12" t="inlineStr">
        <is>
          <t>Gerenciamento de Incidentes</t>
        </is>
      </c>
      <c r="J12" t="inlineStr">
        <is>
          <t>Gerenciamento Financeiro de Serviços</t>
        </is>
      </c>
      <c r="K12" t="inlineStr">
        <is>
          <t>Gerenciamento de Nível de Serviço</t>
        </is>
      </c>
      <c r="L12" t="inlineStr">
        <is>
          <t>Gerenciamento de Nível de Serviço</t>
        </is>
      </c>
      <c r="M12" t="inlineStr">
        <is>
          <t>Não se aplica</t>
        </is>
      </c>
    </row>
    <row r="13">
      <c r="A13" t="inlineStr">
        <is>
          <t>123</t>
        </is>
      </c>
      <c r="B13" t="inlineStr">
        <is>
          <t>Problemas de Performance de Rede com o Roteador Cisco ISR4331</t>
        </is>
      </c>
      <c r="C13" t="inlineStr">
        <is>
          <t>Caro Time de Suporte ao Cliente,
Espero que esta mensagem os encontre bem. Estou escrevendo para informar sobre um problema crítico que estamos enfrentando com o Roteador Cisco ISR4331 em nosso ambiente de pequeno escritório. Nas últimas semanas, temos enfrentado problemas significativos de performance na rede e um padrão preocupante de quedas de conectividade de WiFi. Os roteadores parecem não conseguir manter uma conexão estável, levando a interrupções esporádicas na rede.
Nosso escritório depende fortemente de uma conectividade de internet consistente para realizar operações diárias, interagir com clientes e apoiar capacidades de trabalho remoto. A instabilidade de nossa configuração de rede atual, devido à degradação de desempenho deste roteador, resulta em interrupções frequentes no serviço, o que impede a produtividade e afeta os processos de negócios como um todo.
Tentamos ações corretivas como reiniciar o dispositivo, atualizar o firmware e ajustar configurações, tudo isso sem resolver o problema. Nossa equipe interna de TI realizou diagnósticos completos, descartando interferências externas ou falhas em outros componentes da rede. Tudo aponta para um problema com os próprios roteadores.
Dada a importância da confiabilidade da rede para nossas operações, apreciaríamos se vocês pudessem acelerar a revisão deste assunto. Ter o nosso Roteador Cisco ISR4331 em condição funcional ideal é fundamental para a eficiência do nosso escritório. Gostaríamos de orientação sobre passos avançados de solução de problemas que possamos ter negligenciado ou se o reparo ou substituição é recomendável.
Pedimos gentilmente que nos forneçam quaisquer soluções possíveis ou que organizem uma consulta de suporte técnico assim que possível. Agradecemos pela pronta atenção a esta questão e espero sua resposta rápida.
Obrigado e melhores cumprimentos,
&lt;name&gt;
Gerente de Operações Técnicas
&lt;name&gt; Solutions Inc.
&lt;tel_num&gt;
&lt;email_address&gt;</t>
        </is>
      </c>
      <c r="D13" t="inlineStr">
        <is>
          <t>Gerenciamento de Incidentes</t>
        </is>
      </c>
      <c r="E13" t="inlineStr">
        <is>
          <t>Gerenciamento de Capacidade</t>
        </is>
      </c>
      <c r="F13" t="inlineStr">
        <is>
          <t>Gerenciamento de Incidentes</t>
        </is>
      </c>
      <c r="G13" t="inlineStr">
        <is>
          <t>Gerenciamento de Problemas</t>
        </is>
      </c>
      <c r="H13" t="inlineStr">
        <is>
          <t>Gerenciamento de Incidentes</t>
        </is>
      </c>
      <c r="I13" t="inlineStr">
        <is>
          <t>Gerenciamento de Problemas</t>
        </is>
      </c>
      <c r="J13" t="inlineStr">
        <is>
          <t>Gerenciamento de Capacidade e Desempenho</t>
        </is>
      </c>
      <c r="K13" t="inlineStr">
        <is>
          <t>Gerenciamento de Problemas</t>
        </is>
      </c>
      <c r="L13" t="inlineStr">
        <is>
          <t>Gerenciamento de Problemas</t>
        </is>
      </c>
      <c r="M13" t="inlineStr">
        <is>
          <t>Gerenciamento de Disponibilidade</t>
        </is>
      </c>
    </row>
    <row r="14">
      <c r="A14" t="inlineStr">
        <is>
          <t>125</t>
        </is>
      </c>
      <c r="B14" t="inlineStr">
        <is>
          <t>Solicitação de Otimização das Instâncias da AWS</t>
        </is>
      </c>
      <c r="C14" t="inlineStr">
        <is>
          <t>Caro time de suporte de Serviços de TI,
Espero que esta mensagem os encontre bem. Estou entrando em contato para solicitar orientação e assistência na otimização de nossas instâncias da AWS para melhorar o desempenho em nossa infraestrutura de computação em nuvem. Como cliente utilizando seu Serviço de Gerenciamento da AWS, notamos algumas áreas onde o desempenho poderia ser aprimorado. Acreditamos que com a intervenção de especialistas, isso poderia levar a uma melhor eficiência e relação custo-benefício.
Considerando as demandas atuais da empresa por maior produtividade, estamos priorizando essa tarefa de modificação em um nível médio dentro de nossos objetivos. Agradeceríamos suas percepções e sugestões sobre melhores práticas, configurações ou quaisquer ferramentas e serviços necessários que vocês possam oferecer para alcançar esses objetivos.
Por favor, informe-nos um horário conveniente para uma discussão detalhada com nossa equipe técnica. Estamos ansiosos por sua experiência e atenção rápida a este assunto. Para quaisquer perguntas imediatas, sinta-se à vontade para entrar em contato por e-mail ou através do telefone &lt;tel_num&gt;.
Obrigado pelo seu apoio.
Atenciosamente,
&lt;name&gt;</t>
        </is>
      </c>
      <c r="D14" t="inlineStr">
        <is>
          <t>Solicitação de Serviço</t>
        </is>
      </c>
      <c r="E14" t="inlineStr">
        <is>
          <t>Gerenciamento de Capacidade</t>
        </is>
      </c>
      <c r="F14" t="inlineStr">
        <is>
          <t>Gerenciamento de Requisição de Serviço</t>
        </is>
      </c>
      <c r="G14" t="inlineStr">
        <is>
          <t>Gerenciamento de Nível de Serviço</t>
        </is>
      </c>
      <c r="H14" t="inlineStr">
        <is>
          <t>Gerenciamento de Requisição de Serviço</t>
        </is>
      </c>
      <c r="I14" t="inlineStr">
        <is>
          <t>Gerenciamento de Nível de Serviço</t>
        </is>
      </c>
      <c r="J14" t="inlineStr">
        <is>
          <t>Gerenciamento de Capacidade e Desempenho</t>
        </is>
      </c>
      <c r="K14" t="inlineStr">
        <is>
          <t>Gerenciamento Financeiro de Serviços</t>
        </is>
      </c>
      <c r="L14" t="inlineStr">
        <is>
          <t>Melhoria Contínua</t>
        </is>
      </c>
      <c r="M14" t="inlineStr">
        <is>
          <t>Gerenciamento de Ativos de TI</t>
        </is>
      </c>
    </row>
    <row r="15">
      <c r="A15" t="inlineStr">
        <is>
          <t>151</t>
        </is>
      </c>
      <c r="B15" t="inlineStr">
        <is>
          <t>Assistência Imediata Necessária para Problemas com o Jira Software</t>
        </is>
      </c>
      <c r="C15" t="inlineStr">
        <is>
          <t>Olá, equipe de suporte, nosso membro da equipe &lt;name&gt; está enfrentando problemas com os recursos de gerenciamento de projetos do Jira Software 8.20. Essas falhas estão afetando significativamente nosso trabalho. Precisamos de assistência técnica imediata para resolver esse assunto. Por favor, forneça orientação assim que possível. Obrigado.</t>
        </is>
      </c>
      <c r="D15" t="inlineStr">
        <is>
          <t>Gerenciamento de Incidentes</t>
        </is>
      </c>
      <c r="E15" t="inlineStr">
        <is>
          <t>Gerenciamento de Problemas</t>
        </is>
      </c>
      <c r="F15" t="inlineStr">
        <is>
          <t>Gerenciamento de Incidentes</t>
        </is>
      </c>
      <c r="G15" t="inlineStr">
        <is>
          <t>Gerenciamento de Problemas</t>
        </is>
      </c>
      <c r="H15" t="inlineStr">
        <is>
          <t>Gerenciamento de Incidentes</t>
        </is>
      </c>
      <c r="I15" t="inlineStr">
        <is>
          <t>Gerenciamento de Problemas</t>
        </is>
      </c>
      <c r="J15" t="inlineStr">
        <is>
          <t>Gerenciamento de Problemas</t>
        </is>
      </c>
      <c r="K15" t="inlineStr">
        <is>
          <t>Gerenciamento de Incidentes</t>
        </is>
      </c>
      <c r="L15" t="inlineStr">
        <is>
          <t>Gerenciamento de Incidentes</t>
        </is>
      </c>
      <c r="M15" t="inlineStr">
        <is>
          <t>Gerenciamento de Problemas</t>
        </is>
      </c>
    </row>
    <row r="16">
      <c r="A16" t="inlineStr">
        <is>
          <t>162</t>
        </is>
      </c>
      <c r="B16" t="inlineStr">
        <is>
          <t>Suporte urgente da AWS necessário</t>
        </is>
      </c>
      <c r="C16" t="inlineStr">
        <is>
          <t>Prezada equipe de suporte,
Meu nome é &lt;name&gt; e eu represento &lt;company_name&gt;. Estamos enfrentando problemas significativos com nossa infraestrutura da AWS, gerenciada pelo seu Serviço de Gerenciamento da AWS, o que está afetando o tempo de atividade e o desempenho geral do nosso site. Isso teve um impacto considerável nas operações do nosso negócio, e precisamos de assistência imediata para resolver esses problemas.
Você poderia, por favor, priorizar nosso pedido e nos fornecer suporte urgente para otimizar e estabilizar nossa infraestrutura? Agradecemos sua atenção rápida a esta questão e aguardamos sua resposta ágil.
Obrigado pela sua compreensão e cooperação.
Atenciosamente,
&lt;name&gt;
&lt;email_address&gt;
&lt;tel_num&gt;</t>
        </is>
      </c>
      <c r="D16" t="inlineStr">
        <is>
          <t>Gerenciamento de Incidentes</t>
        </is>
      </c>
      <c r="E16" t="inlineStr">
        <is>
          <t>Gerenciamento de Disponibilidade</t>
        </is>
      </c>
      <c r="F16" t="inlineStr">
        <is>
          <t>Gerenciamento de Incidentes</t>
        </is>
      </c>
      <c r="G16" t="inlineStr">
        <is>
          <t>Gerenciamento de Disponibilidade</t>
        </is>
      </c>
      <c r="H16" t="inlineStr">
        <is>
          <t>Gerenciamento de Incidentes</t>
        </is>
      </c>
      <c r="I16" t="inlineStr">
        <is>
          <t>Gerenciamento de Disponibilidade</t>
        </is>
      </c>
      <c r="J16" t="inlineStr">
        <is>
          <t>Gerenciamento de Disponibilidade</t>
        </is>
      </c>
      <c r="K16" t="inlineStr">
        <is>
          <t>Gerenciamento de Nível de Serviço</t>
        </is>
      </c>
      <c r="L16" t="inlineStr">
        <is>
          <t>Gerenciamento de Incidentes</t>
        </is>
      </c>
      <c r="M16" t="inlineStr">
        <is>
          <t>Gerenciamento de Disponibilidade</t>
        </is>
      </c>
    </row>
    <row r="17">
      <c r="A17" t="inlineStr">
        <is>
          <t>182</t>
        </is>
      </c>
      <c r="B17" t="inlineStr">
        <is>
          <t>Problema de Piscar da Tela no Dell XPS</t>
        </is>
      </c>
      <c r="C17" t="inlineStr">
        <is>
          <t>Caro Suporte ao Cliente,
Estou enfrentando problemas de piscar a tela com meu Dell XPS 13 9310 quando está funcionando com a bateria. O dispositivo funciona bem quando está conectado, mas o piscar começa assim que é desconectado. Esse problema está afetando minha produtividade e eu apreciaria qualquer orientação que você possa fornecer para resolver a questão. Eu tentei passos básicos de solução de problemas, como reiniciar e atualizar drivers, mas o problema persiste.
Obrigado pela sua pronta assistência. Por favor, me avise se precisar de mais informações.
Atenciosamente,
&lt;name&gt; &lt;tel_num&gt; &lt;acc_num&gt;</t>
        </is>
      </c>
      <c r="D17" t="inlineStr">
        <is>
          <t>Gerenciamento de Incidentes</t>
        </is>
      </c>
      <c r="E17" t="inlineStr">
        <is>
          <t>Gerenciamento de Configuração</t>
        </is>
      </c>
      <c r="F17" t="inlineStr">
        <is>
          <t>Gerenciamento de Incidentes</t>
        </is>
      </c>
      <c r="G17" t="inlineStr">
        <is>
          <t>Gerenciamento de Problemas</t>
        </is>
      </c>
      <c r="H17" t="inlineStr">
        <is>
          <t>Gerenciamento de Incidentes</t>
        </is>
      </c>
      <c r="I17" t="inlineStr">
        <is>
          <t>Gerenciamento de Problemas</t>
        </is>
      </c>
      <c r="J17" t="inlineStr">
        <is>
          <t>Gerenciamento de Problemas</t>
        </is>
      </c>
      <c r="K17" t="inlineStr">
        <is>
          <t>Gerenciamento de Configuração de Serviço</t>
        </is>
      </c>
      <c r="L17" t="inlineStr">
        <is>
          <t>Gerenciamento de Problemas</t>
        </is>
      </c>
      <c r="M17" t="inlineStr">
        <is>
          <t>Gerenciamento de Incidentes</t>
        </is>
      </c>
    </row>
    <row r="18">
      <c r="A18" t="inlineStr">
        <is>
          <t>183</t>
        </is>
      </c>
      <c r="B18" t="inlineStr">
        <is>
          <t>Cobrança Incorreta para o MySQL 8.0.30 Relato da Assinatura</t>
        </is>
      </c>
      <c r="C18" t="inlineStr">
        <is>
          <t>Caro time de suporte ao cliente,
Estou escrevendo para relatar um problema com a cobrança da minha assinatura do MySQL 8.0.30. O valor cobrado parece estar incorreto. Gentileza investigar esta questão e fornecer uma resolução o mais rápido possível.
Obrigado,
&lt;name&gt;
&lt;acc_num&gt;</t>
        </is>
      </c>
      <c r="D18" t="inlineStr">
        <is>
          <t>Gerenciamento Financeiro</t>
        </is>
      </c>
      <c r="E18" t="inlineStr">
        <is>
          <t>Gerenciamento de Incidentes</t>
        </is>
      </c>
      <c r="F18" t="inlineStr">
        <is>
          <t>Gerenciamento Financeiro de Serviços</t>
        </is>
      </c>
      <c r="G18" t="inlineStr">
        <is>
          <t>Gerenciamento de Relacionamento</t>
        </is>
      </c>
      <c r="H18" t="inlineStr">
        <is>
          <t>Gerenciamento Financeiro de Serviços</t>
        </is>
      </c>
      <c r="I18" t="inlineStr">
        <is>
          <t>Gerenciamento de Relacionamento</t>
        </is>
      </c>
      <c r="J18" t="inlineStr">
        <is>
          <t>Gerenciamento Financeiro de Serviços</t>
        </is>
      </c>
      <c r="K18" t="inlineStr">
        <is>
          <t>Gerenciamento de Relacionamento</t>
        </is>
      </c>
      <c r="L18" t="inlineStr">
        <is>
          <t>Gerenciamento de Nível de Serviço</t>
        </is>
      </c>
      <c r="M18" t="inlineStr">
        <is>
          <t>Não se aplica</t>
        </is>
      </c>
    </row>
    <row r="19">
      <c r="A19" t="inlineStr">
        <is>
          <t>189</t>
        </is>
      </c>
      <c r="B19" t="inlineStr">
        <is>
          <t>Problema de Conectividade Wi-Fi</t>
        </is>
      </c>
      <c r="C19" t="inlineStr">
        <is>
          <t>Prezado Equipe de Suporte ao Cliente, Espero que esta mensagem o encontre bem. Estou escrevendo para chamar sua atenção para um problema que estou enfrentando com a impressora HP DeskJet 3755 que comprei em sua loja. Apesar de seguir as instruções de configuração meticulosamente, a impressora não consegue se conectar a nenhuma rede Wi-Fi. Esse problema inibe significativamente suas capacidades de impressão sem fio, que é uma das principais razões pelas quais escolhi este modelo. A experiência de impressão, especialmente a conveniência de imprimir de vários dispositivos de forma sem fio, foi um dos principais pontos de venda dessa impressora. Infelizmente, não consigo acessar esses recursos. Já tentei etapas comuns de solução de problemas, como reiniciar o roteador, garantir que o firmware esteja atualizado e redefinir as configurações de rede da impressora. Lamentavelmente, nenhuma dessas soluções resolveu o problema. Seria possível que sua equipe de suporte técnico me ajudasse mais a resolver esse problema de conectividade? Além disso, se houver especificações ou requisitos adicionais que eu possa ter deixado passar, por favor, avise. Estou ansioso para retomar a utilização da gama completa de recursos da impressora o mais rápido possível. Agradeço antecipadamente pela sua ajuda. Aguardando sua resposta rápida. Atenciosamente, &lt;name&gt;</t>
        </is>
      </c>
      <c r="D19" t="inlineStr">
        <is>
          <t>Gerenciamento de Incidentes</t>
        </is>
      </c>
      <c r="E19" t="inlineStr">
        <is>
          <t>Gerenciamento de Problemas</t>
        </is>
      </c>
      <c r="F19" t="inlineStr">
        <is>
          <t>Gerenciamento de Incidentes</t>
        </is>
      </c>
      <c r="G19" t="inlineStr">
        <is>
          <t>Gerenciamento de Problemas</t>
        </is>
      </c>
      <c r="H19" t="inlineStr">
        <is>
          <t>Gerenciamento de Incidentes</t>
        </is>
      </c>
      <c r="I19" t="inlineStr">
        <is>
          <t>Gerenciamento de Problemas</t>
        </is>
      </c>
      <c r="J19" t="inlineStr">
        <is>
          <t>Gerenciamento de Configuração de Serviço</t>
        </is>
      </c>
      <c r="K19" t="inlineStr">
        <is>
          <t>Gerenciamento de Conhecimento</t>
        </is>
      </c>
      <c r="L19" t="inlineStr">
        <is>
          <t>Gerenciamento de Incidentes</t>
        </is>
      </c>
      <c r="M19" t="inlineStr">
        <is>
          <t>Não se aplica</t>
        </is>
      </c>
    </row>
    <row r="20">
      <c r="A20" t="inlineStr">
        <is>
          <t>194</t>
        </is>
      </c>
      <c r="B20" t="inlineStr">
        <is>
          <t>Buscando Assistência Imediata para Problema de Ruído da Impressora HP DeskJet 3755</t>
        </is>
      </c>
      <c r="C20" t="inlineStr">
        <is>
          <t>Caro time de Suporte ao Cliente, espero que esta mensagem os encontre bem. Estou entrando em contato para buscar assistência em relação a um problema que venho enfrentando com minha impressora HP DeskJet 3755, que tem emitido um ruído incomumente alto durante o processo de impressão. Este problema começou recentemente e é bastante preocupante, pois interrompe a função de impressão silenciosa que eu esperava deste modelo.
O ruído alto aparece sempre que um trabalho de impressão é iniciado, continuando durante todo o processo. Não estou certo se é um problema mecânico ou algo que pode ser ajustado por meio de configurações ou manutenção.
Dado que a HP DeskJet 3755 é vital para minhas necessidades diárias de impressão, estou ansioso para encontrar uma solução para este problema rapidamente. Agradeceria sua orientação sobre os passos de solução de problemas necessários ou se uma visita de serviço é necessária.
Quaisquer instruções detalhadas ou sugestões para resolver esse problema de ruído seriam muito úteis. Por favor, me avise se precisar de mais informações da minha parte para facilitar o processo de solução de problemas.
Obrigado pela sua atenção rápida a este assunto. Aguardo sua resposta rápida e uma resolução. Atenciosamente, &lt;name&gt;</t>
        </is>
      </c>
      <c r="D20" t="inlineStr">
        <is>
          <t>Gerenciamento de Incidentes</t>
        </is>
      </c>
      <c r="E20" t="inlineStr">
        <is>
          <t>Gerenciamento de Ativos de TI</t>
        </is>
      </c>
      <c r="F20" t="inlineStr">
        <is>
          <t>Gerenciamento de Incidentes</t>
        </is>
      </c>
      <c r="G20" t="inlineStr">
        <is>
          <t>Gerenciamento de Problemas</t>
        </is>
      </c>
      <c r="H20" t="inlineStr">
        <is>
          <t>Gerenciamento de Incidentes</t>
        </is>
      </c>
      <c r="I20" t="inlineStr">
        <is>
          <t>Gerenciamento de Problemas</t>
        </is>
      </c>
      <c r="J20" t="inlineStr">
        <is>
          <t>Gerenciamento de Ativos de TI</t>
        </is>
      </c>
      <c r="K20" t="inlineStr">
        <is>
          <t>Gerenciamento de Fornecedor</t>
        </is>
      </c>
      <c r="L20" t="inlineStr">
        <is>
          <t>Gerenciamento de Incidentes</t>
        </is>
      </c>
      <c r="M20" t="inlineStr">
        <is>
          <t>Gerenciamento de Ativos de TI</t>
        </is>
      </c>
    </row>
    <row r="21">
      <c r="A21" t="inlineStr">
        <is>
          <t>201</t>
        </is>
      </c>
      <c r="B21" t="inlineStr">
        <is>
          <t>Solicitação de Assistência com Erro de Instalação do Office 365</t>
        </is>
      </c>
      <c r="C21" t="inlineStr">
        <is>
          <t>Prezado Suporte ao Cliente,
Estou enfrentando um erro de instalação com o Excel no Microsoft Office 365 e preciso de assistência para resolver o problema rapidamente. O erro ocorre durante a fase de instalação e tem impedido minha capacidade de utilizar recursos necessários no Excel, impactando minha produtividade. Como usuário de assinatura, isso está causando inconvenientes e precisa de atenção imediata para solucionar e implementar uma correção apropriada.
Por favor, me guie pelo processo para resolver este problema ou agende uma sessão de suporte, se necessário. É crucial resolver isso o mais rápido possível para evitar mais interrupções. Aguardo sua resposta rápida e uma resolução bem-sucedida.
Obrigado,
&lt;name&gt;</t>
        </is>
      </c>
      <c r="D21" t="inlineStr">
        <is>
          <t>Gerenciamento de Incidentes</t>
        </is>
      </c>
      <c r="E21" t="inlineStr">
        <is>
          <t>Gerenciamento de Mudanças</t>
        </is>
      </c>
      <c r="F21" t="inlineStr">
        <is>
          <t>Gerenciamento de Requisição de Serviço</t>
        </is>
      </c>
      <c r="G21" t="inlineStr">
        <is>
          <t>Gerenciamento de Incidentes</t>
        </is>
      </c>
      <c r="H21" t="inlineStr">
        <is>
          <t>Gerenciamento de Requisição de Serviço</t>
        </is>
      </c>
      <c r="I21" t="inlineStr">
        <is>
          <t>Gerenciamento de Incidentes</t>
        </is>
      </c>
      <c r="J21" t="inlineStr">
        <is>
          <t>Gerenciamento de Liberação</t>
        </is>
      </c>
      <c r="K21" t="inlineStr">
        <is>
          <t>Gerenciamento de Configuração de Serviço</t>
        </is>
      </c>
      <c r="L21" t="inlineStr">
        <is>
          <t>Gerenciamento de Incidentes</t>
        </is>
      </c>
      <c r="M21" t="inlineStr">
        <is>
          <t>Não se aplica</t>
        </is>
      </c>
    </row>
    <row r="22">
      <c r="A22" t="inlineStr">
        <is>
          <t>203</t>
        </is>
      </c>
      <c r="B22" t="inlineStr">
        <is>
          <t>Problema com a Precisão da Transação de Software</t>
        </is>
      </c>
      <c r="C22" t="inlineStr">
        <is>
          <t>Caro Suporte ao Cliente,
Estou escrevendo para trazer à sua atenção um problema que encontrei com uma transação recente para o Adobe Photoshop 2024. Meu número de conta é &lt;acc_num&gt;, e acredito que possa haver uma discrepância no valor da cobrança realizada. Fiz esta compra no &lt;date&gt;, e ao revisar os detalhes da cobrança, percebi um valor mais alto do que o inicialmente acordado durante o processo de compra.
Eu esperava que o valor cobrado refletisse o preço promocional anunciado. No entanto, ao verificar meu extrato de cobrança, o valor debitado da minha conta foi significativamente superior a este preço esperado. Isso me leva a suspeitar de uma possível cobrança indevida ou de um erro de cálculo realizado pelo seu sistema de cobrança.
Agradeceria se você pudesse investigar este assunto para mim. Por favor, confirme se as cobranças aplicadas estão corretas ou se um erro pode ter ocorrido. Anexados a este e-mail estão capturas de tela da promoção e do meu extrato de cobrança para sua referência.
Você também poderia me informar a melhor forma de resolver essa discrepância? Estou ansioso para que isso seja resolvido rapidamente para evitar mais inconvenientes.
Obrigado pela sua atenção a este assunto, e aguardo sua resposta rápida. Sinta-se à vontade para me contatar por e-mail ou pelo &lt;tel_num&gt;.
Atenciosamente,
&lt;name&gt;</t>
        </is>
      </c>
      <c r="D22" t="inlineStr">
        <is>
          <t>Gerenciamento Financeiro</t>
        </is>
      </c>
      <c r="E22" t="inlineStr">
        <is>
          <t>Gerenciamento de Incidentes</t>
        </is>
      </c>
      <c r="F22" t="inlineStr">
        <is>
          <t>Gerenciamento Financeiro de Serviços</t>
        </is>
      </c>
      <c r="G22" t="inlineStr">
        <is>
          <t>Gerenciamento de Relacionamento</t>
        </is>
      </c>
      <c r="H22" t="inlineStr">
        <is>
          <t>Gerenciamento Financeiro de Serviços</t>
        </is>
      </c>
      <c r="I22" t="inlineStr">
        <is>
          <t>Gerenciamento de Relacionamento</t>
        </is>
      </c>
      <c r="J22" t="inlineStr">
        <is>
          <t>Gerenciamento Financeiro de Serviços</t>
        </is>
      </c>
      <c r="K22" t="inlineStr">
        <is>
          <t>Gerenciamento de Relacionamento</t>
        </is>
      </c>
      <c r="L22" t="inlineStr">
        <is>
          <t>Gerenciamento de Nível de Serviço</t>
        </is>
      </c>
      <c r="M22" t="inlineStr">
        <is>
          <t>Não se aplica</t>
        </is>
      </c>
    </row>
    <row r="23">
      <c r="A23" t="inlineStr">
        <is>
          <t>205</t>
        </is>
      </c>
      <c r="B23" t="inlineStr">
        <is>
          <t>Assistência necessária para configuração sem fio da HP DeskJet 3755</t>
        </is>
      </c>
      <c r="C23" t="inlineStr">
        <is>
          <t>Caro Suporte ao Cliente,
Espero que esta mensagem o encontre bem. Estou tendo dificuldade em configurar minha impressora HP DeskJet 3755 para funcionar com vários dispositivos em casa. O recurso de impressão sem fio não está funcionando como esperado, e preciso de instruções detalhadas ou suporte para resolver esse problema. Sua orientação será muito apreciada, pois gostaria de aproveitar ao máximo a impressora com todos os dispositivos.
Obrigado pela sua atenção a este assunto.
Atenciosamente,
&lt;name&gt;, &lt;tel_num&gt;</t>
        </is>
      </c>
      <c r="D23" t="inlineStr">
        <is>
          <t>Solicitação de Serviço</t>
        </is>
      </c>
      <c r="E23" t="inlineStr">
        <is>
          <t>Gerenciamento de Incidentes</t>
        </is>
      </c>
      <c r="F23" t="inlineStr">
        <is>
          <t>Gerenciamento de Requisição de Serviço</t>
        </is>
      </c>
      <c r="G23" t="inlineStr">
        <is>
          <t>SEM RECOMENDAÇÃO</t>
        </is>
      </c>
      <c r="H23" t="inlineStr">
        <is>
          <t>Gerenciamento de Requisição de Serviço</t>
        </is>
      </c>
      <c r="I23" t="inlineStr">
        <is>
          <t>SEM RECOMENDAÇÃO</t>
        </is>
      </c>
      <c r="J23" t="inlineStr">
        <is>
          <t>Gerenciamento de Requisição de Serviço</t>
        </is>
      </c>
      <c r="K23" t="inlineStr">
        <is>
          <t>Gerenciamento de Conhecimento</t>
        </is>
      </c>
      <c r="L23" t="inlineStr">
        <is>
          <t>Gerenciamento de Incidentes</t>
        </is>
      </c>
      <c r="M23" t="inlineStr">
        <is>
          <t>Não se aplica</t>
        </is>
      </c>
    </row>
    <row r="24">
      <c r="A24" t="inlineStr">
        <is>
          <t>219</t>
        </is>
      </c>
      <c r="B24" t="inlineStr">
        <is>
          <t>Consultoria para Otimização de Desempenho de Servidores</t>
        </is>
      </c>
      <c r="C24" t="inlineStr">
        <is>
          <t>Prezado(a) Cliente do Suporte de Serviços de TI,
Espero que esta mensagem o encontre bem. Estou entrando em contato para buscar seu conselho especializado sobre como otimizar o desempenho do servidor em nosso ambiente de pequenas empresas. Estamos enfrentando desafios para gerenciar eficientemente nossos recursos de TI, e acredito que seu renomado Serviço de Consultoria de TI poderia ser imensamente benéfico para nós.
Nossa equipe identificou algumas áreas-chave onde o desempenho poderia ser melhorado, mas não temos o conhecimento profundo necessário para implementar soluções eficazes sem orientação de especialistas externos. Especificamente, estamos buscando melhorar os tempos de resposta do servidor, gerenciar cargas de trabalho de forma mais eficaz e garantir uma escalabilidade sustentável à medida que nosso negócio cresce.
Você poderia, por favor, fornecer informações sobre como seus serviços de consultoria poderiam nos ajudar a resolver essas questões? Além disso, eu apreciaria qualquer recomendação sobre os pacotes ou soluções mais adequados que você oferece que se alinhem com nossas necessidades específicas. Estou ansioso para discutir isso mais a fundo e ficaria grato se pudéssemos agendar uma consulta na sua primeira conveniência.
Obrigado pela sua assistência.
Atenciosamente,
&lt;name&gt;</t>
        </is>
      </c>
      <c r="D24" t="inlineStr">
        <is>
          <t>Solicitação de Serviço</t>
        </is>
      </c>
      <c r="E24" t="inlineStr">
        <is>
          <t>Gerenciamento de Capacidade</t>
        </is>
      </c>
      <c r="F24" t="inlineStr">
        <is>
          <t>Gerenciamento de Relacionamento</t>
        </is>
      </c>
      <c r="G24" t="inlineStr">
        <is>
          <t>Gerenciamento de Nível de Serviço</t>
        </is>
      </c>
      <c r="H24" t="inlineStr">
        <is>
          <t>Gerenciamento de Relacionamento</t>
        </is>
      </c>
      <c r="I24" t="inlineStr">
        <is>
          <t>Análise de Negócio</t>
        </is>
      </c>
      <c r="J24" t="inlineStr">
        <is>
          <t>Gerenciamento de Capacidade e Desempenho</t>
        </is>
      </c>
      <c r="K24" t="inlineStr">
        <is>
          <t>Gerenciamento de Relacionamento</t>
        </is>
      </c>
      <c r="L24" t="inlineStr">
        <is>
          <t>Melhoria Contínua</t>
        </is>
      </c>
      <c r="M24" t="inlineStr">
        <is>
          <t>Gerenciamento de Relacionamento</t>
        </is>
      </c>
    </row>
    <row r="25">
      <c r="A25" t="inlineStr">
        <is>
          <t>223</t>
        </is>
      </c>
      <c r="B25" t="inlineStr">
        <is>
          <t>Atualização do Fluxo de Trabalho do Jira</t>
        </is>
      </c>
      <c r="C25" t="inlineStr">
        <is>
          <t>Caro(a) Equipe de Suporte ao Cliente, 
Espero que esta mensagem o encontre bem. Estou escrevendo para solicitar uma mudança em nosso fluxo de trabalho atual do projeto dentro do Jira Software 8.20 para aprimorar nosso gerenciamento de tickets e capacidades de rastreamento de versões. No momento, estamos enfrentando desafios com nosso fluxo de trabalho existente devido às suas limitações em gerenciar as várias etapas das tarefas do projeto de maneira eficiente. Especificamente, as transições de estado atuais dos tickets não refletem adequadamente a natureza dinâmica de nossos ciclos de desenvolvimento de projeto, levando a uma visibilidade pobre e, às vezes, até confusão entre nossas equipes de projeto.
Portanto, proponho uma integração de estados e transições mais personalizados dentro do fluxo de trabalho do Jira. Essa mudança melhoraria significativamente a capacidade da nossa equipe de rastrear o progresso das tarefas, gerenciar cargas de trabalho e cumprir os prazos do projeto. Além disso, a otimização desses aspectos alinharia melhor nossos projetos com nossas métricas de desempenho e entregas.
Por favor, entre em contato diretamente comigo pelo &lt;tel_num&gt; ou responda a este e-mail. Meu número de conta é &lt;acc_num&gt; para referência. Estou ansioso para discutir possíveis soluções e receber sua orientação para iniciar o processo de mudança do fluxo de trabalho. 
Agradeço pela sua atenção a este assunto.
Atenciosamente,
&lt;name&gt;</t>
        </is>
      </c>
      <c r="D25" t="inlineStr">
        <is>
          <t>Gerenciamento de Mudanças</t>
        </is>
      </c>
      <c r="E25" t="inlineStr">
        <is>
          <t>Gerenciamento de Problemas</t>
        </is>
      </c>
      <c r="F25" t="inlineStr">
        <is>
          <t>Gerenciamento de Requisição de Serviço</t>
        </is>
      </c>
      <c r="G25" t="inlineStr">
        <is>
          <t>Gerenciamento de Mudanças</t>
        </is>
      </c>
      <c r="H25" t="inlineStr">
        <is>
          <t>Gerenciamento de Requisição de Serviço</t>
        </is>
      </c>
      <c r="I25" t="inlineStr">
        <is>
          <t>Gerenciamento de Mudanças</t>
        </is>
      </c>
      <c r="J25" t="inlineStr">
        <is>
          <t>Habilitação de Mudança</t>
        </is>
      </c>
      <c r="K25" t="inlineStr">
        <is>
          <t>Gerenciamento de Relacionamento</t>
        </is>
      </c>
      <c r="L25" t="inlineStr">
        <is>
          <t>Gerenciamento de Configuração</t>
        </is>
      </c>
      <c r="M25" t="inlineStr">
        <is>
          <t>Gerenciamento de Mudanças</t>
        </is>
      </c>
    </row>
    <row r="26">
      <c r="A26" t="inlineStr">
        <is>
          <t>225</t>
        </is>
      </c>
      <c r="B26" t="inlineStr">
        <is>
          <t>Cliente Precisa de Modo Escuro e Extensões para Configuração do VS Code</t>
        </is>
      </c>
      <c r="C26" t="inlineStr">
        <is>
          <t>Olá equipe de suporte,
Estou escrevendo para solicitar uma alteração nas configurações do meu Visual Studio Code 1.70. Gostaria de mudar para o modo escuro e ter algumas extensões específicas instaladas. Vocês podem ajudar com essas modificações?
Obrigado,
&lt;name&gt;</t>
        </is>
      </c>
      <c r="D26" t="inlineStr">
        <is>
          <t>Solicitação de Serviço</t>
        </is>
      </c>
      <c r="E26" t="inlineStr">
        <is>
          <t>Gerenciamento de Configuração</t>
        </is>
      </c>
      <c r="F26" t="inlineStr">
        <is>
          <t>Gerenciamento de Requisição de Serviço</t>
        </is>
      </c>
      <c r="G26" t="inlineStr">
        <is>
          <t>SEM RECOMENDAÇÃO</t>
        </is>
      </c>
      <c r="H26" t="inlineStr">
        <is>
          <t>Gerenciamento de Requisição de Serviço</t>
        </is>
      </c>
      <c r="I26" t="inlineStr">
        <is>
          <t>SEM RECOMENDAÇÃO</t>
        </is>
      </c>
      <c r="J26" t="inlineStr">
        <is>
          <t>Gerenciamento de Requisição de Serviço</t>
        </is>
      </c>
      <c r="K26" t="inlineStr">
        <is>
          <t>Gerenciamento de Catálogo de Serviço</t>
        </is>
      </c>
      <c r="L26" t="inlineStr">
        <is>
          <t>Gerenciamento de Requisições de Serviço</t>
        </is>
      </c>
      <c r="M26" t="inlineStr">
        <is>
          <t>Não se aplica</t>
        </is>
      </c>
    </row>
    <row r="27">
      <c r="A27" t="inlineStr">
        <is>
          <t>228</t>
        </is>
      </c>
      <c r="B27" t="inlineStr">
        <is>
          <t>Assistência Necessária: Problema de Configuração Sem Fio</t>
        </is>
      </c>
      <c r="C27" t="inlineStr">
        <is>
          <t>Caro Suporte ao Cliente da Loja Online Tech, estou solicitando assistência para configurar a conexão sem fio da minha impressora colorida Compact All-in-One, a HP DeskJet 3755. Não consigo prosseguir com as instruções atuais fornecidas. Poderia me guiar pelos passos necessários? Obrigado pela sua ajuda. Atenciosamente, &lt;name&gt;.</t>
        </is>
      </c>
      <c r="D27" t="inlineStr">
        <is>
          <t>Solicitação de Serviço</t>
        </is>
      </c>
      <c r="E27" t="inlineStr">
        <is>
          <t>Gerenciamento de Incidentes</t>
        </is>
      </c>
      <c r="F27" t="inlineStr">
        <is>
          <t>Gerenciamento de Requisição de Serviço</t>
        </is>
      </c>
      <c r="G27" t="inlineStr">
        <is>
          <t>SEM RECOMENDAÇÃO</t>
        </is>
      </c>
      <c r="H27" t="inlineStr">
        <is>
          <t>Gerenciamento de Requisição de Serviço</t>
        </is>
      </c>
      <c r="I27" t="inlineStr">
        <is>
          <t>SEM RECOMENDAÇÃO</t>
        </is>
      </c>
      <c r="J27" t="inlineStr">
        <is>
          <t>Gerenciamento de Requisição de Serviço</t>
        </is>
      </c>
      <c r="K27" t="inlineStr">
        <is>
          <t>Gerenciamento de Conhecimento</t>
        </is>
      </c>
      <c r="L27" t="inlineStr">
        <is>
          <t>Gerenciamento de Requisições de Serviço</t>
        </is>
      </c>
      <c r="M27" t="inlineStr">
        <is>
          <t>Não se aplica</t>
        </is>
      </c>
    </row>
    <row r="28">
      <c r="A28" t="inlineStr">
        <is>
          <t>229</t>
        </is>
      </c>
      <c r="B28" t="inlineStr">
        <is>
          <t>Urgente: Problema de Acesso ao Jira</t>
        </is>
      </c>
      <c r="C28" t="inlineStr">
        <is>
          <t>Caro Suporte ao Cliente,
Estou entrando em contato sobre um problema que estou enfrentando com o Jira Software 8.20. Minha conta de usuário, &lt;acc_num&gt;, atualmente não consegue acessar o painel de gerenciamento de projetos, o que atrapalhou minha capacidade de gerenciar projetos em andamento de forma eficaz. Suspeito que isso possa estar relacionado a privilégios de conta, pois não houve restrições intencionais da minha parte.
Esse problema é crítico, pois afeta os prazos dos projetos e a coordenação com minha equipe. Agradeceria uma resolução urgente para recuperar o acesso. Além disso, por favor, me avise se houver alguma atualização que precise ser feita nas configurações atuais de privacidade ou permissões.
Obrigado pela sua atenção rápida a este assunto.
Atenciosamente,
&lt;name&gt;
&lt;tel_num&gt;</t>
        </is>
      </c>
      <c r="D28" t="inlineStr">
        <is>
          <t>Gerenciamento de Incidentes</t>
        </is>
      </c>
      <c r="E28" t="inlineStr">
        <is>
          <t>Gerenciamento de Acesso</t>
        </is>
      </c>
      <c r="F28" t="inlineStr">
        <is>
          <t>Gerenciamento de Incidentes</t>
        </is>
      </c>
      <c r="G28" t="inlineStr">
        <is>
          <t>Gerenciamento de Acessos</t>
        </is>
      </c>
      <c r="H28" t="inlineStr">
        <is>
          <t>Gerenciamento de Acessos</t>
        </is>
      </c>
      <c r="I28" t="inlineStr">
        <is>
          <t>Gerenciamento de Incidentes</t>
        </is>
      </c>
      <c r="J28" t="inlineStr">
        <is>
          <t>Gerenciamento de Segurança da Informação</t>
        </is>
      </c>
      <c r="K28" t="inlineStr">
        <is>
          <t>Gerenciamento de Configuração de Serviço</t>
        </is>
      </c>
      <c r="L28" t="inlineStr">
        <is>
          <t>Gerenciamento de Acesso</t>
        </is>
      </c>
      <c r="M28" t="inlineStr">
        <is>
          <t>Gerenciamento de Incidentes</t>
        </is>
      </c>
    </row>
    <row r="29">
      <c r="A29" t="inlineStr">
        <is>
          <t>230</t>
        </is>
      </c>
      <c r="B29" t="inlineStr">
        <is>
          <t>Consulta sobre o Dell XPS 13</t>
        </is>
      </c>
      <c r="C29" t="inlineStr">
        <is>
          <t>Prezado Suporte ao Cliente,
Estou escrevendo em nome de um cliente potencial que demonstrou interesse em comprar o Dell XPS 13 9310. Antes de prosseguir, ele gostaria de ter a oportunidade de inspecionar o produto na loja. Portanto, buscamos sua assistência para determinar a disponibilidade atual deste modelo para uma avaliação pré-compra em uma de suas lojas físicas.
Entendendo que os níveis de estoque precisos podem variar, agradeceríamos muito se você pudesse nos fornecer informações atualizadas sobre os modelos em estoque em suas lojas mais próximas. Isso permitiria ao cliente tomar uma decisão informada sobre quando ele poderia visitar para ver e testar o produto pessoalmente.
Solicitamos gentilmente uma resposta rápida, dada a vontade do cliente de avançar com a compra potencial.
Obrigado pela sua ajuda.
Atenciosamente,
&lt;name&gt;</t>
        </is>
      </c>
      <c r="D29" t="inlineStr">
        <is>
          <t>Solicitação de Serviço</t>
        </is>
      </c>
      <c r="E29" t="inlineStr">
        <is>
          <t>Gerenciamento de Ativos de TI</t>
        </is>
      </c>
      <c r="F29" t="inlineStr">
        <is>
          <t>Gerenciamento de Requisição de Serviço</t>
        </is>
      </c>
      <c r="G29" t="inlineStr">
        <is>
          <t>SEM RECOMENDAÇÃO</t>
        </is>
      </c>
      <c r="H29" t="inlineStr">
        <is>
          <t>Gerenciamento de Requisição de Serviço</t>
        </is>
      </c>
      <c r="I29" t="inlineStr">
        <is>
          <t>SEM RECOMENDAÇÃO</t>
        </is>
      </c>
      <c r="J29" t="inlineStr">
        <is>
          <t>Gerenciamento de Relacionamento</t>
        </is>
      </c>
      <c r="K29" t="inlineStr">
        <is>
          <t>Gerenciamento de Catálogo de Serviço</t>
        </is>
      </c>
      <c r="L29" t="inlineStr">
        <is>
          <t>Gerenciamento de Requisições de Serviço</t>
        </is>
      </c>
      <c r="M29" t="inlineStr">
        <is>
          <t>Não se aplica</t>
        </is>
      </c>
    </row>
    <row r="30">
      <c r="A30" t="inlineStr">
        <is>
          <t>234</t>
        </is>
      </c>
      <c r="B30" t="inlineStr">
        <is>
          <t>Suporte para Resolução de Problemas com Atolamentos de Papel Consistentes</t>
        </is>
      </c>
      <c r="C30" t="inlineStr">
        <is>
          <t>Olá,
Estou enfrentando atolamentos de papel consistentes com a minha impressora HP DeskJet 3755. Você poderia fornecer orientações sobre como resolver esse problema? Quaisquer etapas de solução de problemas ou conselhos de manutenção seriam muito apreciados para restaurar a funcionalidade da impressora.
Obrigado pela sua assistência.
Atenciosamente,
&lt;name&gt;
&lt;email_address&gt;
&lt;acc_num&gt;</t>
        </is>
      </c>
      <c r="D30" t="inlineStr">
        <is>
          <t>Gerenciamento de Incidentes</t>
        </is>
      </c>
      <c r="E30" t="inlineStr">
        <is>
          <t>Gerenciamento de Problemas</t>
        </is>
      </c>
      <c r="F30" t="inlineStr">
        <is>
          <t>Gerenciamento de Incidentes</t>
        </is>
      </c>
      <c r="G30" t="inlineStr">
        <is>
          <t>Gerenciamento de Problemas</t>
        </is>
      </c>
      <c r="H30" t="inlineStr">
        <is>
          <t>Gerenciamento de Incidentes</t>
        </is>
      </c>
      <c r="I30" t="inlineStr">
        <is>
          <t>Gerenciamento de Problemas</t>
        </is>
      </c>
      <c r="J30" t="inlineStr">
        <is>
          <t>Gerenciamento de Ativos de TI</t>
        </is>
      </c>
      <c r="K30" t="inlineStr">
        <is>
          <t>Gerenciamento de Problemas</t>
        </is>
      </c>
      <c r="L30" t="inlineStr">
        <is>
          <t>Gerenciamento de Problemas</t>
        </is>
      </c>
      <c r="M30" t="inlineStr">
        <is>
          <t>Gerenciamento de Incidentes</t>
        </is>
      </c>
    </row>
    <row r="31">
      <c r="A31" t="inlineStr">
        <is>
          <t>240</t>
        </is>
      </c>
      <c r="B31" t="inlineStr">
        <is>
          <t>Problemas de Conectividade com HP DeskJet 3755</t>
        </is>
      </c>
      <c r="C31" t="inlineStr">
        <is>
          <t>Caro Suporte ao Cliente,
Espero que esta mensagem o encontre bem. Estou enfrentando problemas contínuos de conectividade da impressora com minha HP DeskJet 3755, especificamente em relação às suas capacidades de impressão sem fio. Após a configuração inicial, a impressora parece estar conectada; no entanto, não consegue processar e imprimir documentos enviados sem fio.
Tentei várias etapas básicas de solução de problemas, como reiniciar tanto a impressora quanto o roteador, garantir que a impressora esteja dentro do alcance da rede sem fio e verificar se há atualizações de firmware disponíveis. Apesar desses esforços, continuo sem conseguir imprimir documentos.
Este problema é bastante urgente, pois afeta as operações diárias. Você poderia me orientar na resolução desses problemas de conectividade? Além disso, se houver manuais ou recursos detalhados, seria benéfico. Sua assistência rápida seria muito apreciada.
Obrigado pela sua atenção a este assunto.
Atenciosamente,
&lt;name&gt;</t>
        </is>
      </c>
      <c r="D31" t="inlineStr">
        <is>
          <t>Gerenciamento de Incidentes</t>
        </is>
      </c>
      <c r="E31" t="inlineStr">
        <is>
          <t>Gerenciamento de Problemas</t>
        </is>
      </c>
      <c r="F31" t="inlineStr">
        <is>
          <t>Gerenciamento de Incidentes</t>
        </is>
      </c>
      <c r="G31" t="inlineStr">
        <is>
          <t>Gerenciamento de Problemas</t>
        </is>
      </c>
      <c r="H31" t="inlineStr">
        <is>
          <t>Gerenciamento de Incidentes</t>
        </is>
      </c>
      <c r="I31" t="inlineStr">
        <is>
          <t>Gerenciamento de Problemas</t>
        </is>
      </c>
      <c r="J31" t="inlineStr">
        <is>
          <t>Gerenciamento de Problemas</t>
        </is>
      </c>
      <c r="K31" t="inlineStr">
        <is>
          <t>Gerenciamento de Configuração de Serviço</t>
        </is>
      </c>
      <c r="L31" t="inlineStr">
        <is>
          <t>Gerenciamento de Problemas</t>
        </is>
      </c>
      <c r="M31" t="inlineStr">
        <is>
          <t>Gerenciamento de Incidentes</t>
        </is>
      </c>
    </row>
    <row r="32">
      <c r="A32" t="inlineStr">
        <is>
          <t>252</t>
        </is>
      </c>
      <c r="B32" t="inlineStr">
        <is>
          <t>Solicitação de Devolução para Compra do MacBook Air M1</t>
        </is>
      </c>
      <c r="C32" t="inlineStr">
        <is>
          <t>Prezado Suporte ao Cliente,
Espero que esta mensagem o encontre bem. Recentemente comprei um MacBook Air M1 em sua loja online, e meu pedido chegou há alguns dias. O número do pedido associado a esta compra é &lt;acc_num&gt;. Embora a transação tenha sido tranquila e o produto tenha chegado a tempo, estou reconsiderando minha decisão e estou experimentando arrependimento de comprador.
A embalagem do MacBook Air M1 permanece fechada, pois ainda não o utilizei desde a entrega. Decidi não mantê-lo e gostaria de explorar outras opções potencialmente mais adequadas às minhas necessidades atuais. De acordo com a política de devolução de sua loja, entendo que as devoluções podem ser feitas dentro de 30 dias após a compra, desde que o produto esteja em sua condição original e não desembalado.
Agradeceria sua orientação sobre como proceder com essa devolução. Poderia, por favor, fornecer instruções detalhadas sobre o processo de devolução, incluindo quaisquer etiquetas ou formulários necessários que eu possa precisar e prazos que devo cumprir para garantir que a devolução seja bem-sucedida?
Obrigado pela sua assistência.
Atenciosamente,
&lt;name&gt;
&lt;name&gt; &lt;tel_num&gt;</t>
        </is>
      </c>
      <c r="D32" t="inlineStr">
        <is>
          <t>Solicitação de Serviço</t>
        </is>
      </c>
      <c r="E32" t="inlineStr">
        <is>
          <t>Gerenciamento de Ativos de TI</t>
        </is>
      </c>
      <c r="F32" t="inlineStr">
        <is>
          <t>Gerenciamento de Requisição de Serviço</t>
        </is>
      </c>
      <c r="G32" t="inlineStr">
        <is>
          <t>Gerenciamento de Catálogo de Serviço</t>
        </is>
      </c>
      <c r="H32" t="inlineStr">
        <is>
          <t>Gerenciamento de Requisição de Serviço</t>
        </is>
      </c>
      <c r="I32" t="inlineStr">
        <is>
          <t>Gerenciamento de Catálogo de Serviço</t>
        </is>
      </c>
      <c r="J32" t="inlineStr">
        <is>
          <t>Gerenciamento de Requisição de Serviço</t>
        </is>
      </c>
      <c r="K32" t="inlineStr">
        <is>
          <t>Gerenciamento de Catálogo de Serviço</t>
        </is>
      </c>
      <c r="L32" t="inlineStr"/>
      <c r="M32" t="inlineStr"/>
    </row>
    <row r="33">
      <c r="A33" t="inlineStr">
        <is>
          <t>257</t>
        </is>
      </c>
      <c r="B33" t="inlineStr">
        <is>
          <t>Pedido de Troca da Canon PIXMA MG3620</t>
        </is>
      </c>
      <c r="C33" t="inlineStr">
        <is>
          <t>Caro Suporte ao Cliente da Tech Online Store,
Espero que esta mensagem o encontre bem. Estou entrando em contato para solicitar uma troca da minha impressora Canon PIXMA MG3620, comprada sob a conta &lt;acc_num&gt;. Desde a sua chegada recente, encontrei problemas de qualidade de impressão e problemas de conectividade esporádicos, que dificultaram significativamente minha experiência como usuário. Agradeceria uma resolução rápida para este assunto. Para mais detalhes, sinta-se à vontade para entrar em contato pelo meu número de telefone, &lt;tel_num&gt;.
Obrigado pela sua assistência.
Atenciosamente,
&lt;name&gt;</t>
        </is>
      </c>
      <c r="D33" t="inlineStr">
        <is>
          <t>Solicitação de Serviço</t>
        </is>
      </c>
      <c r="E33" t="inlineStr">
        <is>
          <t>Gerenciamento de Ativos de TI</t>
        </is>
      </c>
      <c r="F33" t="inlineStr">
        <is>
          <t>Gerenciamento de Incidentes</t>
        </is>
      </c>
      <c r="G33" t="inlineStr">
        <is>
          <t>Gerenciamento de Nível de Serviço</t>
        </is>
      </c>
      <c r="H33" t="inlineStr">
        <is>
          <t>Gerenciamento de Incidentes</t>
        </is>
      </c>
      <c r="I33" t="inlineStr">
        <is>
          <t>Gerenciamento de Configuração de Serviço</t>
        </is>
      </c>
      <c r="J33" t="inlineStr">
        <is>
          <t>Gerenciamento de Incidentes</t>
        </is>
      </c>
      <c r="K33" t="inlineStr">
        <is>
          <t>Gerenciamento de Fornecedor</t>
        </is>
      </c>
      <c r="L33" t="inlineStr">
        <is>
          <t>Gerenciamento de Incidentes</t>
        </is>
      </c>
      <c r="M33" t="inlineStr">
        <is>
          <t>Gerenciamento de Nível de Serviço</t>
        </is>
      </c>
    </row>
    <row r="34">
      <c r="A34" t="inlineStr">
        <is>
          <t>264</t>
        </is>
      </c>
      <c r="B34" t="inlineStr">
        <is>
          <t>Problemas de Rede</t>
        </is>
      </c>
      <c r="C34" t="inlineStr">
        <is>
          <t>Prezados Serviços de TI, Nossa rede está fora do ar devido a uma falha em nosso Roteador Cisco ISR4331. Estamos enfrentando desconexões frequentes e problemas de desempenho. Assistência imediata é necessária para restaurar a estabilidade da nossa rede. Por favor, advise sobre os próximos passos para resolver este problema rapidamente. Aguardamos seu apoio urgente. Obrigado, &lt;name&gt;.</t>
        </is>
      </c>
      <c r="D34" t="inlineStr">
        <is>
          <t>Gerenciamento de Incidentes</t>
        </is>
      </c>
      <c r="E34" t="inlineStr">
        <is>
          <t>Gerenciamento de Disponibilidade</t>
        </is>
      </c>
      <c r="F34" t="inlineStr">
        <is>
          <t>Gerenciamento de Incidentes</t>
        </is>
      </c>
      <c r="G34" t="inlineStr">
        <is>
          <t>Gerenciamento de Problemas</t>
        </is>
      </c>
      <c r="H34" t="inlineStr">
        <is>
          <t>Gerenciamento de Incidentes</t>
        </is>
      </c>
      <c r="I34" t="inlineStr">
        <is>
          <t>Gerenciamento de Problemas</t>
        </is>
      </c>
      <c r="J34" t="inlineStr">
        <is>
          <t>Gerenciamento de Incidentes</t>
        </is>
      </c>
      <c r="K34" t="inlineStr">
        <is>
          <t>Gerenciamento de Problemas</t>
        </is>
      </c>
      <c r="L34" t="inlineStr">
        <is>
          <t>Gerenciamento de Incidentes</t>
        </is>
      </c>
      <c r="M34" t="inlineStr">
        <is>
          <t>Gerenciamento de Disponibilidade</t>
        </is>
      </c>
    </row>
    <row r="35">
      <c r="A35" t="inlineStr">
        <is>
          <t>279</t>
        </is>
      </c>
      <c r="B35" t="inlineStr">
        <is>
          <t>Crítico: Problemas com o Sistema de Bilhetagem</t>
        </is>
      </c>
      <c r="C35" t="inlineStr">
        <is>
          <t>Caro time de Suporte de TI,
Estou entrando em contato para alertá-los sobre um problema urgente que estamos enfrentando atualmente com nosso sistema de bilhetagem vinculado aos nossos Serviços de Consultoria de TI. Nossa organização, operando sob o número da conta &lt;acc_num&gt;, tem suportado erros contínuos que obstruem nossas funções diárias. Esta falha prejudica significativamente nossa capacidade de lidar prontamente com consultas e resoluções de clientes, o que está impactando negativamente nossos prazos de entrega de serviços.
Os problemas parecem ter começado há aproximadamente uma semana e, apesar de diversas tentativas de solução interna de nossa equipe, não conseguimos corrigir esses erros sozinhos. Os problemas notáveis incluem quedas frequentes do sistema, envios duplicados de tickets e desalinhamento inadequado de dados, todos os quais levaram a um aumento na insatisfação entre nossos clientes. Portanto, precisamos urgentemente de assistência técnica para resolver essas questões sem demora.
Solicito respeitosamente que sua equipe dê prioridade a este assunto, pois cada dia que passa amplifica nossos desafios operacionais. Por favor, informe-me se precisar de informações imediatas ou de logs específicos; podemos rapidamente fornecer esses dados para apoiar o processo de diagnóstico. Estou disponível no &lt;tel_num&gt; durante o horário comercial.
Obrigado pelo seu compromisso e atenção oportuna.
Atenciosamente,
&lt;name&gt;</t>
        </is>
      </c>
      <c r="D35" t="inlineStr">
        <is>
          <t>Gerenciamento de Incidentes</t>
        </is>
      </c>
      <c r="E35" t="inlineStr">
        <is>
          <t>Gerenciamento de Problemas</t>
        </is>
      </c>
      <c r="F35" t="inlineStr">
        <is>
          <t>Gerenciamento de Incidentes</t>
        </is>
      </c>
      <c r="G35" t="inlineStr">
        <is>
          <t>Gerenciamento de Problemas</t>
        </is>
      </c>
      <c r="H35" t="inlineStr">
        <is>
          <t>Gerenciamento de Incidentes</t>
        </is>
      </c>
      <c r="I35" t="inlineStr">
        <is>
          <t>Gerenciamento de Problemas</t>
        </is>
      </c>
      <c r="J35" t="inlineStr">
        <is>
          <t>Gerenciamento de Problemas</t>
        </is>
      </c>
      <c r="K35" t="inlineStr">
        <is>
          <t>Validação e Teste de Serviço</t>
        </is>
      </c>
      <c r="L35" t="inlineStr">
        <is>
          <t>Gerenciamento de Problemas</t>
        </is>
      </c>
      <c r="M35" t="inlineStr">
        <is>
          <t>Gerenciamento de Incidentes</t>
        </is>
      </c>
    </row>
    <row r="36">
      <c r="A36" t="inlineStr">
        <is>
          <t>294</t>
        </is>
      </c>
      <c r="B36" t="inlineStr">
        <is>
          <t>Problemas técnicos com os recursos de vídeo e compartilhamento de tela do Zoom 5.11.0</t>
        </is>
      </c>
      <c r="C36" t="inlineStr">
        <is>
          <t>Caro(a) Equipe de Suporte ao Cliente de Serviços de TI,
Espero que esta mensagem o(a) encontre bem. Estou escrevendo para trazer à sua atenção alguns problemas técnicos significativos que encontrei recentemente ao usar a aplicação Zoom versão 5.11.0. Este problema é de alta prioridade, pois impacta diretamente as funcionalidades essenciais de videoconferência e compartilhamento de tela, afetando assim minhas operações diárias.
Em várias ocasiões, durante reuniões agendadas no Zoom, experimentei severas interrupções. Inicialmente, a funcionalidade de vídeo falhou ao iniciar corretamente, apresentando uma tela em branco, apesar de uma conexão de internet estável. Além disso, ao tentar compartilhar minha tela, o recurso torna-se intermitentemente não responsivo, às vezes me desconectando da reunião completamente. Esses problemas persistiram mesmo após várias tentativas de resolvê-los através de etapas padrão de solução de problemas, incluindo reiniciar a aplicação, garantir que todas as atualizações estavam instaladas e verificar se todos os requisitos do sistema foram atendidos.
A natureza desses problemas técnicos prejudica severamente a eficácia das reuniões virtuais, levando a desafios significativos na manutenção de uma comunicação sem interrupções com colegas e clientes. Como o Zoom é fundamental para nosso fluxo de trabalho, esse problema contínuo está causando considerável inconveniência, sem mencionar uma possível queda na produtividade.
Peço a sua assistência para resolver este assunto na sua conveniência mais rápida. Se necessário, posso fornecer logs ou qualquer informação adicional que possa ajudar a diagnosticar e corrigir esses problemas. É crucial que garantamos que essas funcionalidades estejam operacionalmente confiáveis para facilitar a comunicação e colaboração ininterruptas.
Obrigado pela sua atenção imediata a esta questão de alta prioridade. Aguardo sua rápida resposta e uma solução viável. Sinta-se à vontade para me contatar pelos meus detalhes fornecidos.
Atenciosamente,
&lt;name&gt;</t>
        </is>
      </c>
      <c r="D36" t="inlineStr">
        <is>
          <t>Gerenciamento de Incidentes</t>
        </is>
      </c>
      <c r="E36" t="inlineStr">
        <is>
          <t>Gerenciamento de Problemas</t>
        </is>
      </c>
      <c r="F36" t="inlineStr">
        <is>
          <t>Gerenciamento de Incidentes</t>
        </is>
      </c>
      <c r="G36" t="inlineStr">
        <is>
          <t>Gerenciamento de Problemas</t>
        </is>
      </c>
      <c r="H36" t="inlineStr">
        <is>
          <t>Gerenciamento de Incidentes</t>
        </is>
      </c>
      <c r="I36" t="inlineStr">
        <is>
          <t>Gerenciamento de Problemas</t>
        </is>
      </c>
      <c r="J36" t="inlineStr">
        <is>
          <t>Gerenciamento de Problemas</t>
        </is>
      </c>
      <c r="K36" t="inlineStr">
        <is>
          <t>Gerenciamento de Liberação</t>
        </is>
      </c>
      <c r="L36" t="inlineStr">
        <is>
          <t>Gerenciamento de Problemas</t>
        </is>
      </c>
      <c r="M36" t="inlineStr">
        <is>
          <t>Gerenciamento de Mudanças</t>
        </is>
      </c>
    </row>
    <row r="37">
      <c r="A37" t="inlineStr">
        <is>
          <t>299</t>
        </is>
      </c>
      <c r="B37" t="inlineStr">
        <is>
          <t>Pedido de Troca: MacBook Air M1 com Defeito Após Uso</t>
        </is>
      </c>
      <c r="C37" t="inlineStr">
        <is>
          <t>Caro Suporte ao Cliente,
Recentemente comprei um MacBook Air M1 e encontrei o teclado com defeito em duas semanas. Posso solicitar uma troca? Meu número do pedido é &lt;order_num&gt;.
Obrigado,
&lt;name&gt;
&lt;tel_num&gt;</t>
        </is>
      </c>
      <c r="D37" t="inlineStr">
        <is>
          <t>Solicitação de Serviço</t>
        </is>
      </c>
      <c r="E37" t="inlineStr">
        <is>
          <t>Gerenciamento de Ativos de TI</t>
        </is>
      </c>
      <c r="F37" t="inlineStr">
        <is>
          <t>Gerenciamento de Requisição de Serviço</t>
        </is>
      </c>
      <c r="G37" t="inlineStr">
        <is>
          <t>Gerenciamento de Ativos de TI</t>
        </is>
      </c>
      <c r="H37" t="inlineStr">
        <is>
          <t>Gerenciamento de Requisição de Serviço</t>
        </is>
      </c>
      <c r="I37" t="inlineStr">
        <is>
          <t>Gerenciamento de Ativos de TI</t>
        </is>
      </c>
      <c r="J37" t="inlineStr">
        <is>
          <t>Gerenciamento de Incidentes</t>
        </is>
      </c>
      <c r="K37" t="inlineStr">
        <is>
          <t>Gerenciamento de Ativos de TI</t>
        </is>
      </c>
      <c r="L37" t="inlineStr">
        <is>
          <t>Gerenciamento de Incidentes</t>
        </is>
      </c>
      <c r="M37" t="inlineStr">
        <is>
          <t>Gerenciamento de Nível de Serviço</t>
        </is>
      </c>
    </row>
    <row r="38">
      <c r="A38" t="inlineStr">
        <is>
          <t>301</t>
        </is>
      </c>
      <c r="B38" t="inlineStr">
        <is>
          <t>Urgente: Problema de Conectividade do Roteador</t>
        </is>
      </c>
      <c r="C38" t="inlineStr">
        <is>
          <t>Caro Suporte de Serviços de TI,
Estamos enfrentando desconexões frequentes com nosso Roteador Cisco ISR4331, o que está interrompendo severamente nossos serviços de rede. Este problema requer uma resolução imediata para manter a conectividade estável da empresa.
Por favor, examine este assunto com urgência.
Atenciosamente,
&lt;name&gt;
Número da Conta: &lt;acc_num&gt;
Telefone: &lt;tel_num&gt;</t>
        </is>
      </c>
      <c r="D38" t="inlineStr">
        <is>
          <t>Gerenciamento de Incidentes</t>
        </is>
      </c>
      <c r="E38" t="inlineStr">
        <is>
          <t>Gerenciamento de Disponibilidade</t>
        </is>
      </c>
      <c r="F38" t="inlineStr">
        <is>
          <t>Gerenciamento de Incidentes</t>
        </is>
      </c>
      <c r="G38" t="inlineStr">
        <is>
          <t>Gerenciamento de Disponibilidade</t>
        </is>
      </c>
      <c r="H38" t="inlineStr">
        <is>
          <t>Gerenciamento de Incidentes</t>
        </is>
      </c>
      <c r="I38" t="inlineStr">
        <is>
          <t>Gerenciamento de Disponibilidade</t>
        </is>
      </c>
      <c r="J38" t="inlineStr">
        <is>
          <t>Gerenciamento de Incidentes</t>
        </is>
      </c>
      <c r="K38" t="inlineStr">
        <is>
          <t>Gerenciamento de Disponibilidade</t>
        </is>
      </c>
      <c r="L38" t="inlineStr">
        <is>
          <t>Gerenciamento de Problemas</t>
        </is>
      </c>
      <c r="M38" t="inlineStr">
        <is>
          <t>Gerenciamento de Disponibilidade</t>
        </is>
      </c>
    </row>
    <row r="39">
      <c r="A39" t="inlineStr">
        <is>
          <t>305</t>
        </is>
      </c>
      <c r="B39" t="inlineStr">
        <is>
          <t>Assistência Necessária: Problema de Configuração de Wi-Fi para Impressora Canon PIXMA MG3620</t>
        </is>
      </c>
      <c r="C39" t="inlineStr">
        <is>
          <t>Caro Time de Suporte ao Cliente,
Espero que esta mensagem os encontre bem. Estou escrevendo para buscar assistência em relação a um problema de configuração sem fio que estou enfrentando com minha impressora, a Canon PIXMA MG3620. Atualmente, não consigo conectar a impressora à minha rede Wi-Fi, o que está afetando minha capacidade de concluir tarefas de impressão de forma eficiente.
Tentei vários métodos de solução de problemas, incluindo redefinir a impressora e verificar minha conexão Wi-Fi para outros dispositivos, mas infelizmente, o problema persiste. Dada a importância de ter uma conexão sem fio funcional para minhas necessidades de impressão, eu gostaria muito de receber qualquer orientação ou instruções detalhadas que você possa fornecer para resolver esse problema de configuração.
Você poderia me aconselhar sobre os próximos passos a serem tomados, ou se há alguma documentação disponível que possa me ajudar a resolver esse problema? Seu apoio seria imensamente útil para garantir que minha impressora funcione como deveria.
Agradeço antecipadamente pela sua assistência. Aguardo sua resposta rápida.
Atenciosamente,
&lt;name&gt;</t>
        </is>
      </c>
      <c r="D39" t="inlineStr">
        <is>
          <t>Gerenciamento de Incidentes</t>
        </is>
      </c>
      <c r="E39" t="inlineStr">
        <is>
          <t>Gerenciamento de Problemas</t>
        </is>
      </c>
      <c r="F39" t="inlineStr">
        <is>
          <t>Gerenciamento de Requisição de Serviço</t>
        </is>
      </c>
      <c r="G39" t="inlineStr">
        <is>
          <t>Gerenciamento de Configuração de Serviço</t>
        </is>
      </c>
      <c r="H39" t="inlineStr">
        <is>
          <t>Gerenciamento de Requisição de Serviço</t>
        </is>
      </c>
      <c r="I39" t="inlineStr">
        <is>
          <t>Gerenciamento de Configuração de Serviço</t>
        </is>
      </c>
      <c r="J39" t="inlineStr">
        <is>
          <t>Gerenciamento de Requisição de Serviço</t>
        </is>
      </c>
      <c r="K39" t="inlineStr">
        <is>
          <t>Central de Serviço</t>
        </is>
      </c>
      <c r="L39" t="inlineStr">
        <is>
          <t>Gerenciamento de Requisição de Serviço</t>
        </is>
      </c>
      <c r="M39" t="inlineStr">
        <is>
          <t>Não se aplica</t>
        </is>
      </c>
    </row>
    <row r="40">
      <c r="A40" t="inlineStr">
        <is>
          <t>331</t>
        </is>
      </c>
      <c r="B40" t="inlineStr">
        <is>
          <t>Discrepância de Cobrança com o Serviço AWS</t>
        </is>
      </c>
      <c r="C40" t="inlineStr">
        <is>
          <t>Caro Suporte ao Cliente,
Estou escrevendo para expressar minhas preocupações em relação às discrepâncias na minha fatura recente pelo Serviço de Gerenciamento da AWS. Parece que estou sendo cobrado por um uso incomumente alto e há cobranças inesperadas listadas que não correspondem aos meus registros. Você poderia, por favor, revisar minha conta, &lt;acc_num&gt;, e fornecer esclarecimentos sobre essas cobranças? Além disso, por favor, informe como elas podem ser corrigidas. Agradeço sua pronta atenção a este assunto.
Obrigado,
&lt;name&gt;
&lt;tel_num&gt;</t>
        </is>
      </c>
      <c r="D40" t="inlineStr">
        <is>
          <t>Gerenciamento Financeiro</t>
        </is>
      </c>
      <c r="E40" t="inlineStr">
        <is>
          <t>Gerenciamento de Incidentes</t>
        </is>
      </c>
      <c r="F40" t="inlineStr">
        <is>
          <t>Gerenciamento Financeiro de Serviços</t>
        </is>
      </c>
      <c r="G40" t="inlineStr">
        <is>
          <t>Gerenciamento de Relacionamento</t>
        </is>
      </c>
      <c r="H40" t="inlineStr">
        <is>
          <t>Gerenciamento Financeiro de Serviços</t>
        </is>
      </c>
      <c r="I40" t="inlineStr">
        <is>
          <t>Gerenciamento de Relacionamento</t>
        </is>
      </c>
      <c r="J40" t="inlineStr">
        <is>
          <t>Gerenciamento Financeiro de Serviços</t>
        </is>
      </c>
      <c r="K40" t="inlineStr">
        <is>
          <t>Gerenciamento de Nível de Serviço</t>
        </is>
      </c>
      <c r="L40" t="inlineStr">
        <is>
          <t>Gerenciamento de Requisição de Serviço</t>
        </is>
      </c>
      <c r="M40" t="inlineStr">
        <is>
          <t>Gerenciamento Financeiro de TI</t>
        </is>
      </c>
    </row>
    <row r="41">
      <c r="A41" t="inlineStr">
        <is>
          <t>350</t>
        </is>
      </c>
      <c r="B41" t="inlineStr">
        <is>
          <t>Problemas de Conectividade com Impressora Canon</t>
        </is>
      </c>
      <c r="C41" t="inlineStr">
        <is>
          <t>Prezada Equipe de Suporte da Tech Online Store, estou escrevendo para relatar problemas de conectividade com minha impressora Canon PIXMA MG3620 durante impressões móveis. Ela frequentemente perde a conexão sem fio, interrompendo as minhas tarefas de impressão. Por favor, ajudem a resolver esse problema persistente para que eu possa usar minha impressora de forma eficiente. A sua resposta rápida será muito apreciada. Obrigado pela sua ajuda. Atenciosamente, &lt;name&gt;</t>
        </is>
      </c>
      <c r="D41" t="inlineStr">
        <is>
          <t>Gerenciamento de Incidentes</t>
        </is>
      </c>
      <c r="E41" t="inlineStr">
        <is>
          <t>Gerenciamento de Problemas</t>
        </is>
      </c>
      <c r="F41" t="inlineStr">
        <is>
          <t>Gerenciamento de Incidentes</t>
        </is>
      </c>
      <c r="G41" t="inlineStr">
        <is>
          <t>Gerenciamento de Problemas</t>
        </is>
      </c>
      <c r="H41" t="inlineStr">
        <is>
          <t>Gerenciamento de Incidentes</t>
        </is>
      </c>
      <c r="I41" t="inlineStr">
        <is>
          <t>Gerenciamento de Problemas</t>
        </is>
      </c>
      <c r="J41" t="inlineStr">
        <is>
          <t>Gerenciamento de Problemas</t>
        </is>
      </c>
      <c r="K41" t="inlineStr">
        <is>
          <t>Gerenciamento de Incidentes</t>
        </is>
      </c>
      <c r="L41" t="inlineStr">
        <is>
          <t>Gerenciamento de Incidentes</t>
        </is>
      </c>
      <c r="M41" t="inlineStr">
        <is>
          <t>Gerenciamento de Problemas</t>
        </is>
      </c>
    </row>
    <row r="42">
      <c r="A42" t="inlineStr">
        <is>
          <t>356</t>
        </is>
      </c>
      <c r="B42" t="inlineStr">
        <is>
          <t>Solicitação de Assistência para Dicas de Otimização do Excel</t>
        </is>
      </c>
      <c r="C42" t="inlineStr">
        <is>
          <t>Estou enfrentando um desempenho lento com o Excel. Preciso de dicas e solução de problemas para o Office 365.</t>
        </is>
      </c>
      <c r="D42" t="inlineStr">
        <is>
          <t>Solicitação de Serviço</t>
        </is>
      </c>
      <c r="E42" t="inlineStr">
        <is>
          <t>Gerenciamento de Capacidade</t>
        </is>
      </c>
      <c r="F42" t="inlineStr">
        <is>
          <t>Gerenciamento de Requisição de Serviço</t>
        </is>
      </c>
      <c r="G42" t="inlineStr">
        <is>
          <t>Gerenciamento de Capacidade e Desempenho</t>
        </is>
      </c>
      <c r="H42" t="inlineStr">
        <is>
          <t>Gerenciamento de Requisição de Serviço</t>
        </is>
      </c>
      <c r="I42" t="inlineStr">
        <is>
          <t>Gerenciamento de Capacidade e Desempenho</t>
        </is>
      </c>
      <c r="J42" t="inlineStr">
        <is>
          <t>Gerenciamento de Requisição de Serviço</t>
        </is>
      </c>
      <c r="K42" t="inlineStr">
        <is>
          <t>Gerenciamento de Capacidade e Desempenho</t>
        </is>
      </c>
      <c r="L42" t="inlineStr">
        <is>
          <t>Gerenciamento de Requisição de Serviço</t>
        </is>
      </c>
      <c r="M42" t="inlineStr">
        <is>
          <t>Não se aplica</t>
        </is>
      </c>
    </row>
    <row r="43">
      <c r="A43" t="inlineStr">
        <is>
          <t>364</t>
        </is>
      </c>
      <c r="B43" t="inlineStr">
        <is>
          <t>Problemas de Conectividade e Desempenho do Wi-Fi com o Roteador Cisco</t>
        </is>
      </c>
      <c r="C43" t="inlineStr">
        <is>
          <t>Prezado Suporte ao Cliente,
Estou escrevendo para expressar preocupações sobre problemas contínuos de conectividade do Wi-Fi atribuídos ao nosso Roteador Cisco ISR4331. Nas últimas semanas, temos enfrentado quedas regulares de desempenho, que suspeitamos serem devido a uma má configuração do roteador. Essas interrupções estão impactando significativamente a confiabilidade de nossa rede empresarial e, portanto, nossas operações comerciais.
Apesar das tentativas de resolver o problema por meio de várias medidas de solução de problemas, o problema persiste, levando a interrupções que afetam nossa eficiência de trabalho. Solicitamos gentilmente sua ajuda para resolver essa questão como prioridade. Você poderia, por favor, aconselhar sobre soluções potenciais ou agendar uma visita técnica na primeira conveniência?
Obrigado pela sua atenção imediata a esta questão urgente.
Atenciosamente,
&lt;name&gt;
&lt;email_address&gt;
&lt;tel_num&gt;</t>
        </is>
      </c>
      <c r="D43" t="inlineStr">
        <is>
          <t>Gerenciamento de Incidentes</t>
        </is>
      </c>
      <c r="E43" t="inlineStr">
        <is>
          <t>Gerenciamento de Problemas</t>
        </is>
      </c>
      <c r="F43" t="inlineStr">
        <is>
          <t>Gerenciamento de Incidentes</t>
        </is>
      </c>
      <c r="G43" t="inlineStr">
        <is>
          <t>Gerenciamento de Problemas</t>
        </is>
      </c>
      <c r="H43" t="inlineStr">
        <is>
          <t>Gerenciamento de Incidentes</t>
        </is>
      </c>
      <c r="I43" t="inlineStr">
        <is>
          <t>Gerenciamento de Problemas</t>
        </is>
      </c>
      <c r="J43" t="inlineStr">
        <is>
          <t>Gerenciamento de Configuração de Serviço</t>
        </is>
      </c>
      <c r="K43" t="inlineStr">
        <is>
          <t>Gerenciamento de Incidentes</t>
        </is>
      </c>
      <c r="L43" t="inlineStr">
        <is>
          <t>Gerenciamento de Problemas</t>
        </is>
      </c>
      <c r="M43" t="inlineStr">
        <is>
          <t>Gerenciamento de Mudanças</t>
        </is>
      </c>
    </row>
    <row r="44">
      <c r="A44" t="inlineStr">
        <is>
          <t>366</t>
        </is>
      </c>
      <c r="B44" t="inlineStr">
        <is>
          <t>Solicitação de Recurso de Bug Adicional no VSCode</t>
        </is>
      </c>
      <c r="C44" t="inlineStr">
        <is>
          <t>Caro Suporte ao Cliente,
Estou escrevendo para tratar do problema relacionado à funcionalidade adicional de bug da família não disponível no Visual Studio Code 1.70. Atualmente, existem problemas com temas claros e falta de exibição de paletas, tornando as tarefas de codificação desafiadoras. Por favor, ajudem a resolver esses problemas.
Obrigado pelo seu apoio.
Atenciosamente,
&lt;name&gt;</t>
        </is>
      </c>
      <c r="D44" t="inlineStr">
        <is>
          <t>Gerenciamento de Problemas</t>
        </is>
      </c>
      <c r="E44" t="inlineStr">
        <is>
          <t>Gerenciamento de Mudanças</t>
        </is>
      </c>
      <c r="F44" t="inlineStr">
        <is>
          <t>Gerenciamento de Incidentes</t>
        </is>
      </c>
      <c r="G44" t="inlineStr">
        <is>
          <t>Gerenciamento de Problemas</t>
        </is>
      </c>
      <c r="H44" t="inlineStr">
        <is>
          <t>Gerenciamento de Incidentes</t>
        </is>
      </c>
      <c r="I44" t="inlineStr">
        <is>
          <t>Gerenciamento de Problemas</t>
        </is>
      </c>
      <c r="J44" t="inlineStr">
        <is>
          <t>Gerenciamento de Problemas</t>
        </is>
      </c>
      <c r="K44" t="inlineStr">
        <is>
          <t>Desenvolvimento e Gerenciamento de Software</t>
        </is>
      </c>
      <c r="L44" t="inlineStr">
        <is>
          <t>Gerenciamento de Problemas</t>
        </is>
      </c>
      <c r="M44" t="inlineStr">
        <is>
          <t>Gerenciamento de Mudanças</t>
        </is>
      </c>
    </row>
    <row r="45">
      <c r="A45" t="inlineStr">
        <is>
          <t>372</t>
        </is>
      </c>
      <c r="B45" t="inlineStr">
        <is>
          <t>Assistência Imediata Necessária: Problemas de Conexão ao Zoom</t>
        </is>
      </c>
      <c r="C45" t="inlineStr">
        <is>
          <t>Saudações, estou enfrentando problemas de conectividade com a versão 5.11.0 do Zoom durante chamadas de vídeo. Isso está impactando significativamente nossa eficácia de comunicação e reuniões importantes. Agradeceria seu suporte rápido sobre este assunto. Obrigado. Atenciosamente, &lt;name&gt; Conta: &lt;acc_num&gt;.</t>
        </is>
      </c>
      <c r="D45" t="inlineStr">
        <is>
          <t>Gerenciamento de Incidentes</t>
        </is>
      </c>
      <c r="E45" t="inlineStr">
        <is>
          <t>Gerenciamento de Problemas</t>
        </is>
      </c>
      <c r="F45" t="inlineStr">
        <is>
          <t>Gerenciamento de Incidentes</t>
        </is>
      </c>
      <c r="G45" t="inlineStr">
        <is>
          <t>Gerenciamento de Disponibilidade</t>
        </is>
      </c>
      <c r="H45" t="inlineStr">
        <is>
          <t>Gerenciamento de Incidentes</t>
        </is>
      </c>
      <c r="I45" t="inlineStr">
        <is>
          <t>Gerenciamento de Problemas</t>
        </is>
      </c>
      <c r="J45" t="inlineStr">
        <is>
          <t>Gerenciamento de Incidentes</t>
        </is>
      </c>
      <c r="K45" t="inlineStr">
        <is>
          <t>Gerenciamento de Disponibilidade</t>
        </is>
      </c>
      <c r="L45" t="inlineStr">
        <is>
          <t>Gerenciamento de Incidentes</t>
        </is>
      </c>
      <c r="M45" t="inlineStr">
        <is>
          <t>Não se aplica</t>
        </is>
      </c>
    </row>
    <row r="46">
      <c r="A46" t="inlineStr">
        <is>
          <t>376</t>
        </is>
      </c>
      <c r="B46" t="inlineStr">
        <is>
          <t>Pedido de Assistência para Mudança de Configuração da AWS</t>
        </is>
      </c>
      <c r="C46" t="inlineStr">
        <is>
          <t>Prezada Equipe de Suporte ao Cliente,
Estou escrevendo para solicitar assistência com uma mudança de configuração para otimizar os custos da infraestrutura da AWS e melhorar a eficiência da implantação na nuvem. Atualmente, estamos usando seu Serviço de Gerenciamento da AWS e identificamos melhorias potenciais que podem beneficiar muito nossas operações. Você poderia nos aconselhar sobre os melhores passos para iniciar esse processo? Sua resposta rápida seria muito apreciada.
Obrigado pelo seu contínuo apoio.
Atenciosamente,
&lt;name&gt;</t>
        </is>
      </c>
      <c r="D46" t="inlineStr">
        <is>
          <t>Solicitação de Serviço</t>
        </is>
      </c>
      <c r="E46" t="inlineStr">
        <is>
          <t>Gerenciamento Financeiro</t>
        </is>
      </c>
      <c r="F46" t="inlineStr">
        <is>
          <t>Gerenciamento de Requisição de Serviço</t>
        </is>
      </c>
      <c r="G46" t="inlineStr">
        <is>
          <t>Gerenciamento Financeiro de Serviços</t>
        </is>
      </c>
      <c r="H46" t="inlineStr">
        <is>
          <t>Gerenciamento de Requisição de Serviço</t>
        </is>
      </c>
      <c r="I46" t="inlineStr">
        <is>
          <t>Gerenciamento de Nível de Serviço</t>
        </is>
      </c>
      <c r="J46" t="inlineStr">
        <is>
          <t>Habilitação de Mudança</t>
        </is>
      </c>
      <c r="K46" t="inlineStr">
        <is>
          <t>Gerenciamento Financeiro de Serviços</t>
        </is>
      </c>
      <c r="L46" t="inlineStr">
        <is>
          <t>Gerenciamento de Requisição de Serviço</t>
        </is>
      </c>
      <c r="M46" t="inlineStr">
        <is>
          <t>Gerenciamento Financeiro de TI</t>
        </is>
      </c>
    </row>
    <row r="47">
      <c r="A47" t="inlineStr">
        <is>
          <t>398</t>
        </is>
      </c>
      <c r="B47" t="inlineStr">
        <is>
          <t>Suporte Urgente para Problema de Laptop</t>
        </is>
      </c>
      <c r="C47" t="inlineStr">
        <is>
          <t>Caro Suporte da Tech Online Store,
Estou escrevendo para solicitar urgentemente assistência referente a uma séria falha de hardware com meu laptop Dell XPS 13 9310. Este dispositivo de alto desempenho é crítico para meu trabalho diário e, atualmente, está inutilizável devido a esse problema.
Preciso de ajuda imediata para que o problema seja diagnosticado e resolvido. Por favor, informe os próximos passos para um reparo ou substituição. Meu número de conta é &lt;acc_num&gt;. Estou disponível em &lt;tel_num&gt;, caso você precise de mais detalhes. Agradeço sua rápida atenção a este assunto urgente.
Obrigado.
Atenciosamente,
&lt;name&gt;</t>
        </is>
      </c>
      <c r="D47" t="inlineStr">
        <is>
          <t>Gerenciamento de Incidentes</t>
        </is>
      </c>
      <c r="E47" t="inlineStr">
        <is>
          <t>Gerenciamento de Ativos de TI</t>
        </is>
      </c>
      <c r="F47" t="inlineStr">
        <is>
          <t>Gerenciamento de Incidentes</t>
        </is>
      </c>
      <c r="G47" t="inlineStr">
        <is>
          <t>Gerenciamento de Ativos de TI</t>
        </is>
      </c>
      <c r="H47" t="inlineStr">
        <is>
          <t>Gerenciamento de Incidentes</t>
        </is>
      </c>
      <c r="I47" t="inlineStr">
        <is>
          <t>Gerenciamento de Ativos de TI</t>
        </is>
      </c>
      <c r="J47" t="inlineStr">
        <is>
          <t>Gerenciamento de Incidentes</t>
        </is>
      </c>
      <c r="K47" t="inlineStr">
        <is>
          <t>Gerenciamento de Ativos de TI</t>
        </is>
      </c>
      <c r="L47" t="inlineStr">
        <is>
          <t>Gerenciamento de Incidentes</t>
        </is>
      </c>
      <c r="M47" t="inlineStr">
        <is>
          <t>Gerenciamento de Disponibilidade</t>
        </is>
      </c>
    </row>
    <row r="48">
      <c r="A48" t="inlineStr">
        <is>
          <t>403</t>
        </is>
      </c>
      <c r="B48" t="inlineStr">
        <is>
          <t>Relatório de Problema: Dell XPS 13 Superaquecendo Durante o Uso</t>
        </is>
      </c>
      <c r="C48" t="inlineStr">
        <is>
          <t>Prezado Suporte ao Cliente,
Estou escrevendo para relatar um problema persistente que venho enfrentando com meu Dell XPS 13 9310 recém-adquirido. Durante o uso regular, o laptop tende a superaquecer significativamente, causando não apenas desconforto durante a utilização, mas também levando a quedas notáveis no desempenho. Esse superaquecimento ocorre mesmo em tarefas que deveriam ser relativamente de baixa intensidade.
Quando optei pelo Dell XPS 13 9310, esperava encontrar um dispositivo confiável e eficiente que pudesse lidar com minhas necessidades computacionais com suavidade. No entanto, esse problema persistente de superaquecimento se tornou bastante frustrante e impacta minha rotina de trabalho diária.
Agradeceria sua orientação sobre o assunto. Você poderia fornecer instruções sobre como resolver ou solucionar esse problema de superaquecimento? Alternativamente, se necessário, gostaria de discutir opções possíveis para reparo ou substituição. Sua assistência rápida nesta situação seria muito apreciada.
Obrigado pela sua compreensão e apoio.
Melhores cumprimentos,
&lt;name&gt;
&lt;acc_num&gt;
&lt;tel_num&gt;</t>
        </is>
      </c>
      <c r="D48" t="inlineStr">
        <is>
          <t>Gerenciamento de Incidentes</t>
        </is>
      </c>
      <c r="E48" t="inlineStr">
        <is>
          <t>Gerenciamento de Problemas</t>
        </is>
      </c>
      <c r="F48" t="inlineStr">
        <is>
          <t>Gerenciamento de Incidentes</t>
        </is>
      </c>
      <c r="G48" t="inlineStr">
        <is>
          <t>Gerenciamento de Problemas</t>
        </is>
      </c>
      <c r="H48" t="inlineStr">
        <is>
          <t>Gerenciamento de Incidentes</t>
        </is>
      </c>
      <c r="I48" t="inlineStr">
        <is>
          <t>Gerenciamento de Problemas</t>
        </is>
      </c>
      <c r="J48" t="inlineStr">
        <is>
          <t>Gerenciamento de Problemas</t>
        </is>
      </c>
      <c r="K48" t="inlineStr">
        <is>
          <t>Gerenciamento de Capacidade e Desempenho</t>
        </is>
      </c>
      <c r="L48" t="inlineStr">
        <is>
          <t>Gerenciamento de Incidentes</t>
        </is>
      </c>
      <c r="M48" t="inlineStr">
        <is>
          <t>Gerenciamento de Problemas</t>
        </is>
      </c>
    </row>
    <row r="49">
      <c r="A49" t="inlineStr">
        <is>
          <t>405</t>
        </is>
      </c>
      <c r="B49" t="inlineStr">
        <is>
          <t>Assistência Necessária para Configuração Inicial</t>
        </is>
      </c>
      <c r="C49" t="inlineStr">
        <is>
          <t>Caro Equipe de Suporte da Tech Online Store,
Espero que esta mensagem os encontre bem. Recentemente, comprei um Dell XPS 13 9310 em sua loja e estou buscando assistência com a configuração inicial do laptop. Como alguém que aprecia produtos fáceis de usar, fui atraído pelo Dell XPS 13 por sua reputação de recursos de facilidade de uso. No entanto, apesar das avaliações positivas, sinto que preciso de algumas orientações adicionais para garantir que estou otimizando todos os recursos disponíveis desde o início.
Uma área particular com a qual eu gostaria de ajuda é o processo de instalação de software. Quero garantir que todo o software necessário seja instalado corretamente para evitar quaisquer problemas futuros. Além disso, se houver dicas ou recursos que você acha que melhorariam minha experiência como usuário, eu apreciaria suas opiniões.
Já tentei seguir as instruções fornecidas, mas estou encontrando algumas dificuldades e apreciaria muito seu apoio para resolvê-las. Se houver um manual de suporte ou recurso online que você recomenda, por favor, me avise.
Obrigado pelo seu tempo e assistência.
Atenciosamente,
&lt;name&gt;
&lt;email&gt;</t>
        </is>
      </c>
      <c r="D49" t="inlineStr">
        <is>
          <t>Solicitação de Serviço</t>
        </is>
      </c>
      <c r="E49" t="inlineStr">
        <is>
          <t>Gerenciamento de Configuração</t>
        </is>
      </c>
      <c r="F49" t="inlineStr">
        <is>
          <t>Gerenciamento de Requisição de Serviço</t>
        </is>
      </c>
      <c r="G49" t="inlineStr">
        <is>
          <t>Gerenciamento de Configuração de Serviço</t>
        </is>
      </c>
      <c r="H49" t="inlineStr">
        <is>
          <t>Gerenciamento de Requisição de Serviço</t>
        </is>
      </c>
      <c r="I49" t="inlineStr">
        <is>
          <t>Gerenciamento de Configuração de Serviço</t>
        </is>
      </c>
      <c r="J49" t="inlineStr">
        <is>
          <t>Gerenciamento de Requisição de Serviço</t>
        </is>
      </c>
      <c r="K49" t="inlineStr">
        <is>
          <t>Central de Serviço</t>
        </is>
      </c>
      <c r="L49" t="inlineStr">
        <is>
          <t>Gerenciamento de Requisição de Serviço</t>
        </is>
      </c>
      <c r="M49" t="inlineStr">
        <is>
          <t>Não se aplica</t>
        </is>
      </c>
    </row>
    <row r="50">
      <c r="A50" t="inlineStr">
        <is>
          <t>424</t>
        </is>
      </c>
      <c r="B50" t="inlineStr">
        <is>
          <t>Solicitando Alterações para Melhoria da Estratégia AWS</t>
        </is>
      </c>
      <c r="C50" t="inlineStr">
        <is>
          <t>Caro Suporte de Serviços de TI,
Espero que este e-mail o encontre bem. Estou escrevendo para solicitar mudanças em nossa estratégia atual de Gestão da AWS para melhorar nossa otimização de custos e eficiência de implantação para nossas necessidades de infraestrutura. Nossa configuração atual é funcional, mas acreditamos que há potencial para um desempenho melhorado e maiores economias. Agradeceríamos uma revisão detalhada de nossos planos de serviço e recomendações específicas sobre como implementar essas mudanças. Por favor, nos informe os próximos passos para iniciar um processo de avaliação. Sua atenção rápida a este assunto é muito apreciada.
Obrigado,
&lt;name&gt;</t>
        </is>
      </c>
      <c r="D50" t="inlineStr">
        <is>
          <t>Solicitação de Serviço</t>
        </is>
      </c>
      <c r="E50" t="inlineStr">
        <is>
          <t>Gerenciamento Financeiro</t>
        </is>
      </c>
      <c r="F50" t="inlineStr">
        <is>
          <t>Gerenciamento de Requisição de Serviço</t>
        </is>
      </c>
      <c r="G50" t="inlineStr">
        <is>
          <t>Gerenciamento Financeiro de Serviços</t>
        </is>
      </c>
      <c r="H50" t="inlineStr">
        <is>
          <t>Gerenciamento de Requisição de Serviço</t>
        </is>
      </c>
      <c r="I50" t="inlineStr">
        <is>
          <t>Gerenciamento de Nível de Serviço</t>
        </is>
      </c>
      <c r="J50" t="inlineStr">
        <is>
          <t>Gerenciamento de Nível de Serviço</t>
        </is>
      </c>
      <c r="K50" t="inlineStr">
        <is>
          <t>Gerenciamento Financeiro de Serviços</t>
        </is>
      </c>
      <c r="L50" t="inlineStr">
        <is>
          <t>Gerenciamento de Nível de Serviço</t>
        </is>
      </c>
      <c r="M50" t="inlineStr">
        <is>
          <t>Planejamento Estratégico</t>
        </is>
      </c>
    </row>
    <row r="51">
      <c r="A51" t="inlineStr">
        <is>
          <t>451</t>
        </is>
      </c>
      <c r="B51" t="inlineStr">
        <is>
          <t>Solicitação de Troca de Impressora</t>
        </is>
      </c>
      <c r="C51" t="inlineStr">
        <is>
          <t>Caro Suporte da Loja Online Tech,
Estou enfrentando travamentos de papel frequentes com minha impressora Canon PIXMA MG3620, o que torna quase impossível usá-la de forma eficaz. Podemos arranjar uma troca para esta unidade? Meus detalhes de compra: Número do Pedido &lt;acc_num&gt;, sob &lt;name&gt;. Por favor, me avise sobre os próximos passos. Obrigado pela sua ajuda.
Atenciosamente,
&lt;name&gt;
&lt;tel_num&gt;</t>
        </is>
      </c>
      <c r="D51" t="inlineStr">
        <is>
          <t>Solicitação de Serviço</t>
        </is>
      </c>
      <c r="E51" t="inlineStr">
        <is>
          <t>Gerenciamento de Ativos de TI</t>
        </is>
      </c>
      <c r="F51" t="inlineStr">
        <is>
          <t>Gerenciamento de Requisição de Serviço</t>
        </is>
      </c>
      <c r="G51" t="inlineStr">
        <is>
          <t>Gerenciamento de Ativos de TI</t>
        </is>
      </c>
      <c r="H51" t="inlineStr">
        <is>
          <t>Gerenciamento de Requisição de Serviço</t>
        </is>
      </c>
      <c r="I51" t="inlineStr">
        <is>
          <t>Gerenciamento de Ativos de TI</t>
        </is>
      </c>
      <c r="J51" t="inlineStr">
        <is>
          <t>Gerenciamento de Incidentes</t>
        </is>
      </c>
      <c r="K51" t="inlineStr">
        <is>
          <t>Gerenciamento de Fornecedor</t>
        </is>
      </c>
      <c r="L51" t="inlineStr">
        <is>
          <t>Gerenciamento de Incidentes</t>
        </is>
      </c>
      <c r="M51" t="inlineStr">
        <is>
          <t>Gerenciamento de Problemas</t>
        </is>
      </c>
    </row>
    <row r="52">
      <c r="A52" t="inlineStr">
        <is>
          <t>452</t>
        </is>
      </c>
      <c r="B52" t="inlineStr">
        <is>
          <t>Assistência imediata necessária para problemas de cobrança</t>
        </is>
      </c>
      <c r="C52" t="inlineStr">
        <is>
          <t>Caro Suporte ao Cliente,
Estou escrevendo para relatar um problema de cobrança que estou enfrentando com várias compras feitas através da Loja Online Tech usando a extensão do Google Chrome para a versão 102.0. Parece que estão aparecendo cobranças inesperadas na minha conta &lt;acc_num&gt;. As compras listadas não estão alinhadas com minhas atividades recentes, e acredito que possa haver um erro.
Preciso urgentemente da sua assistência para resolver esse assunto. Por favor, revise as cobranças assim que possível e informe sobre os passos para corrigir os erros. Minhas informações de contato são &lt;tel_num&gt;, e você pode entrar em contato comigo diretamente se mais detalhes forem necessários.
Obrigado pela sua rápida atenção a este problema.
Atenciosamente,
&lt;name&gt;</t>
        </is>
      </c>
      <c r="D52" t="inlineStr">
        <is>
          <t>Gerenciamento Financeiro</t>
        </is>
      </c>
      <c r="E52" t="inlineStr">
        <is>
          <t>Gerenciamento de Incidentes</t>
        </is>
      </c>
      <c r="F52" t="inlineStr">
        <is>
          <t>Gerenciamento Financeiro de Serviços</t>
        </is>
      </c>
      <c r="G52" t="inlineStr">
        <is>
          <t>Gerenciamento de Incidentes</t>
        </is>
      </c>
      <c r="H52" t="inlineStr">
        <is>
          <t>Gerenciamento Financeiro de Serviços</t>
        </is>
      </c>
      <c r="I52" t="inlineStr">
        <is>
          <t>Gerenciamento de Incidentes</t>
        </is>
      </c>
      <c r="J52" t="inlineStr">
        <is>
          <t>Gerenciamento Financeiro de Serviços</t>
        </is>
      </c>
      <c r="K52" t="inlineStr">
        <is>
          <t>Gerenciamento de Segurança da Informação</t>
        </is>
      </c>
      <c r="L52" t="inlineStr">
        <is>
          <t>Gerenciamento de Requisição de Serviço</t>
        </is>
      </c>
      <c r="M52" t="inlineStr">
        <is>
          <t>Gerenciamento Financeiro de TI</t>
        </is>
      </c>
    </row>
    <row r="53">
      <c r="A53" t="inlineStr">
        <is>
          <t>459</t>
        </is>
      </c>
      <c r="B53" t="inlineStr">
        <is>
          <t>Pedido de Alteração para o Plano de Assinatura do Office 365</t>
        </is>
      </c>
      <c r="C53" t="inlineStr">
        <is>
          <t>Olá Atendimento ao Cliente,
Estou escrevendo para solicitar uma alteração no meu atual plano de assinatura do Microsoft Office 365. Estou interessado em fazer um upgrade para incluir armazenamento em nuvem adicional e as últimas atualizações para o cliente de e-mail. Além disso, gostaria de entender como essa mudança pode impactar o custo total.
Meu número de conta é &lt;acc_num&gt;, e meu número de telefone é &lt;tel_num&gt;. Por favor, me avise quais informações você precisa de mim para processar essa mudança.
Obrigado pela sua assistência.
Atenciosamente,
&lt;name&gt;</t>
        </is>
      </c>
      <c r="D53" t="inlineStr">
        <is>
          <t>Solicitação de Serviço</t>
        </is>
      </c>
      <c r="E53" t="inlineStr">
        <is>
          <t>Gerenciamento Financeiro</t>
        </is>
      </c>
      <c r="F53" t="inlineStr">
        <is>
          <t>Gerenciamento de Requisição de Serviço</t>
        </is>
      </c>
      <c r="G53" t="inlineStr">
        <is>
          <t>Gerenciamento Financeiro de Serviços</t>
        </is>
      </c>
      <c r="H53" t="inlineStr">
        <is>
          <t>Gerenciamento de Requisição de Serviço</t>
        </is>
      </c>
      <c r="I53" t="inlineStr">
        <is>
          <t>Gerenciamento de Catálogo de Serviço</t>
        </is>
      </c>
      <c r="J53" t="inlineStr">
        <is>
          <t>Gerenciamento de Requisição de Serviço</t>
        </is>
      </c>
      <c r="K53" t="inlineStr">
        <is>
          <t>Habilitação de Mudança</t>
        </is>
      </c>
      <c r="L53" t="inlineStr">
        <is>
          <t>Gerenciamento de Requisição de Serviço</t>
        </is>
      </c>
      <c r="M53" t="inlineStr">
        <is>
          <t>Não se aplica</t>
        </is>
      </c>
    </row>
    <row r="54">
      <c r="A54" t="inlineStr">
        <is>
          <t>461</t>
        </is>
      </c>
      <c r="B54" t="inlineStr">
        <is>
          <t>Solicitação de Otimização de Recursos e Estabilidade da Nuvem AWS</t>
        </is>
      </c>
      <c r="C54" t="inlineStr">
        <is>
          <t>Caro Suporte ao Cliente de Serviços de TI,
Estou escrevendo para informar sobre um aumento notável nas despesas de implantação e instabilidade da infraestrutura em relação ao nosso Serviço de Gerenciamento AWS. No último mês, observamos esses desafios e valorizaríamos orientações sobre como otimizar nossos recursos na nuvem para melhorar a eficiência e a estabilidade. Por favor, examine nossa conta &lt;acc_num&gt; e forneça sugestões para resolver esses problemas. Se precisar de mais detalhes, sinta-se à vontade para me contatar em &lt;name&gt; por e-mail ou me ligue para &lt;tel_num&gt;.
Obrigado,
&lt;name&gt;</t>
        </is>
      </c>
      <c r="D54" t="inlineStr">
        <is>
          <t>Gerenciamento de Incidentes</t>
        </is>
      </c>
      <c r="E54" t="inlineStr">
        <is>
          <t>Gerenciamento Financeiro</t>
        </is>
      </c>
      <c r="F54" t="inlineStr">
        <is>
          <t>Gerenciamento de Problemas</t>
        </is>
      </c>
      <c r="G54" t="inlineStr">
        <is>
          <t>Gerenciamento Financeiro de Serviços</t>
        </is>
      </c>
      <c r="H54" t="inlineStr">
        <is>
          <t>Gerenciamento de Requisição de Serviço</t>
        </is>
      </c>
      <c r="I54" t="inlineStr">
        <is>
          <t>Gerenciamento de Capacidade e Desempenho</t>
        </is>
      </c>
      <c r="J54" t="inlineStr">
        <is>
          <t>Gerenciamento Financeiro de Serviços</t>
        </is>
      </c>
      <c r="K54" t="inlineStr">
        <is>
          <t>Gerenciamento de Capacidade e Desempenho</t>
        </is>
      </c>
      <c r="L54" t="inlineStr">
        <is>
          <t>Gerenciamento de Problemas</t>
        </is>
      </c>
      <c r="M54" t="inlineStr">
        <is>
          <t>Gerenciamento Financeiro de TI</t>
        </is>
      </c>
    </row>
    <row r="55">
      <c r="A55" t="inlineStr">
        <is>
          <t>466</t>
        </is>
      </c>
      <c r="B55" t="inlineStr">
        <is>
          <t>Solicitação de Devolução para HP DeskJet 3755</t>
        </is>
      </c>
      <c r="C55" t="inlineStr">
        <is>
          <t>Caro Suporte ao Cliente da Tech Online Store,
Espero que esta mensagem o encontre bem. Estou escrevendo para buscar assistência em relação a uma compra recente que fiz através de sua loja, a impressora HP DeskJet 3755. Infelizmente, após a instalação, encontrei problemas persistentes de conectividade sem fio que tornaram a impressora inutilizável para suas funções pretendidas, particularmente aquelas que exigem acesso à internet sem fio.
A impressora foi adquirida em minha conta com o número da conta &lt;acc_num&gt; e foi entregue no meu endereço em [delivery date]. Ao configurar o dispositivo seguindo as instruções fornecidas no manual do usuário e após inúmeras tentativas e esforços de solução de problemas, descobri que a função sem fio, um recurso crucial para o meu uso, não funciona conforme o esperado. Isso é crucial, pois minha configuração depende fortemente de conectividade sem fio, e a falta dela prejudica a capacidade operacional que eu necessito do dispositivo.
Tentei entrar em contato através das diretrizes de solução de problemas fornecidas, bem como seus recursos online, sem sucesso. Consequentemente, gostaria de solicitar uma autorização de devolução para este dispositivo. Por favor, me avise sobre o processo que preciso seguir para iniciar uma devolução, incluindo quaisquer instruções de envio ou se há um serviço de correio preferido que eu deva usar.
Além disso, como também estou interessado em adquirir um modelo semelhante que suporte conectividade sem fio sem problemas, apreciaria qualquer conselho ou recomendações alternativas que se adequassem melhor a esses requisitos. Além disso, se for possível agilizar este processo, ficaria grato, pois dependo muito de ter uma impressora funcional para tarefas diárias. É importante para trabalho e uso pessoal que isso seja resolvido prontamente. Espero que a excelente reputação de atendimento ao cliente que sua loja possui ajude a resolver essa questão de maneira eficiente.
Obrigado pela sua atenção a este assunto. Por favor, me avise sobre os próximos passos e qualquer informação que você precisar da minha parte para facilitar esse processo de forma tranquila. Espero resolver essa questão rapidamente com sua assistência.
Atenciosamente,
&lt;name&gt;
&lt;name@example.com&gt;
&lt;tel_num&gt;</t>
        </is>
      </c>
      <c r="D55" t="inlineStr">
        <is>
          <t>Solicitação de Serviço</t>
        </is>
      </c>
      <c r="E55" t="inlineStr">
        <is>
          <t>Gerenciamento de Ativos de TI</t>
        </is>
      </c>
      <c r="F55" t="inlineStr">
        <is>
          <t>Gerenciamento de Requisição de Serviço</t>
        </is>
      </c>
      <c r="G55" t="inlineStr">
        <is>
          <t>Gerenciamento de Ativos de TI</t>
        </is>
      </c>
      <c r="H55" t="inlineStr">
        <is>
          <t>Gerenciamento de Requisição de Serviço</t>
        </is>
      </c>
      <c r="I55" t="inlineStr">
        <is>
          <t>Gerenciamento de Ativos de TI</t>
        </is>
      </c>
      <c r="J55" t="inlineStr">
        <is>
          <t>Gerenciamento de Requisição de Serviço</t>
        </is>
      </c>
      <c r="K55" t="inlineStr">
        <is>
          <t>Gerenciamento de Relacionamento</t>
        </is>
      </c>
      <c r="L55" t="inlineStr">
        <is>
          <t>Gerenciamento de Incidentes</t>
        </is>
      </c>
      <c r="M55" t="inlineStr">
        <is>
          <t>Gerenciamento de Nível de Serviço</t>
        </is>
      </c>
    </row>
    <row r="56">
      <c r="A56" t="inlineStr">
        <is>
          <t>468</t>
        </is>
      </c>
      <c r="B56" t="inlineStr">
        <is>
          <t>Solicitação para Iniciar Devolução da Impressora Epson EcoTank ET-4760</t>
        </is>
      </c>
      <c r="C56" t="inlineStr">
        <is>
          <t>Prezado Atendimento ao Cliente,
Espero que este e-mail o encontre bem. Estou escrevendo para informar sobre um pedido de devolução enviado por &lt;name&gt;, referente à impressora Epson EcoTank ET-4760, que foi comprada sob o número da conta &lt;acc_num&gt;. O cliente teve problemas de qualidade de impressão que não foram resolvidos através dos esforços de solução de problemas fornecidos em seu site. Eles estão buscando devolver o produto para obter um reembolso ou uma substituição.
Por favor, informe sobre os passos necessários para processar essa devolução, incluindo qualquer documentação necessária de &lt;name&gt;.
O contato principal é em &lt;tel_num&gt;, e eles apreciariam assistência rápida com esta questão. Obrigado pela sua atenção a este assunto.
Atenciosamente,
&lt;name&gt;</t>
        </is>
      </c>
      <c r="D56" t="inlineStr">
        <is>
          <t>Solicitação de Serviço</t>
        </is>
      </c>
      <c r="E56" t="inlineStr">
        <is>
          <t>Gerenciamento de Ativos de TI</t>
        </is>
      </c>
      <c r="F56" t="inlineStr">
        <is>
          <t>Gerenciamento de Requisição de Serviço</t>
        </is>
      </c>
      <c r="G56" t="inlineStr">
        <is>
          <t>Gerenciamento de Ativos de TI</t>
        </is>
      </c>
      <c r="H56" t="inlineStr">
        <is>
          <t>Gerenciamento de Requisição de Serviço</t>
        </is>
      </c>
      <c r="I56" t="inlineStr">
        <is>
          <t>Gerenciamento de Ativos de TI</t>
        </is>
      </c>
      <c r="J56" t="inlineStr">
        <is>
          <t>Gerenciamento de Requisição de Serviço</t>
        </is>
      </c>
      <c r="K56" t="inlineStr">
        <is>
          <t>Gerenciamento de Fornecedor</t>
        </is>
      </c>
      <c r="L56" t="inlineStr">
        <is>
          <t>Gerenciamento de Incidentes</t>
        </is>
      </c>
      <c r="M56" t="inlineStr">
        <is>
          <t>Não se aplica</t>
        </is>
      </c>
    </row>
    <row r="57">
      <c r="A57" t="inlineStr">
        <is>
          <t>470</t>
        </is>
      </c>
      <c r="B57" t="inlineStr">
        <is>
          <t>Problema com erro de assinatura</t>
        </is>
      </c>
      <c r="C57" t="inlineStr">
        <is>
          <t>Não conseguimos acessar o e-mail e o Excel na última semana.</t>
        </is>
      </c>
      <c r="D57" t="inlineStr">
        <is>
          <t>Gerenciamento de Incidentes</t>
        </is>
      </c>
      <c r="E57" t="inlineStr">
        <is>
          <t>Gerenciamento de Acesso</t>
        </is>
      </c>
      <c r="F57" t="inlineStr">
        <is>
          <t>Gerenciamento de Incidentes</t>
        </is>
      </c>
      <c r="G57" t="inlineStr">
        <is>
          <t>Gerenciamento de Acessos</t>
        </is>
      </c>
      <c r="H57" t="inlineStr">
        <is>
          <t>Gerenciamento de Incidentes</t>
        </is>
      </c>
      <c r="I57" t="inlineStr">
        <is>
          <t>Gerenciamento de Problemas</t>
        </is>
      </c>
      <c r="J57" t="inlineStr">
        <is>
          <t>Gerenciamento de Incidentes</t>
        </is>
      </c>
      <c r="K57" t="inlineStr">
        <is>
          <t>Gerenciamento de Problemas</t>
        </is>
      </c>
      <c r="L57" t="inlineStr">
        <is>
          <t>Gerenciamento de Incidentes</t>
        </is>
      </c>
      <c r="M57" t="inlineStr">
        <is>
          <t>Gerenciamento de Disponibilidade</t>
        </is>
      </c>
    </row>
    <row r="58">
      <c r="A58" t="inlineStr">
        <is>
          <t>479</t>
        </is>
      </c>
      <c r="B58" t="inlineStr">
        <is>
          <t>Otimização Urgente da AWS</t>
        </is>
      </c>
      <c r="C58" t="inlineStr">
        <is>
          <t>Caro Suporte ao Cliente,
Precisamos urgentemente de ajuda com a otimização de custos da AWS devido a cobranças inesperadas decorrentes do aumento do uso de dados e poder computacional com seu Serviço de Gerenciamento da AWS.
Obrigado,
&lt;name&gt;</t>
        </is>
      </c>
      <c r="D58" t="inlineStr">
        <is>
          <t>Gerenciamento Financeiro</t>
        </is>
      </c>
      <c r="E58" t="inlineStr">
        <is>
          <t>Gerenciamento de Incidentes</t>
        </is>
      </c>
      <c r="F58" t="inlineStr">
        <is>
          <t>Gerenciamento Financeiro de Serviços</t>
        </is>
      </c>
      <c r="G58" t="inlineStr">
        <is>
          <t>Gerenciamento de Capacidade e Desempenho</t>
        </is>
      </c>
      <c r="H58" t="inlineStr">
        <is>
          <t>Gerenciamento de Requisição de Serviço</t>
        </is>
      </c>
      <c r="I58" t="inlineStr">
        <is>
          <t>Gerenciamento Financeiro de Serviços</t>
        </is>
      </c>
      <c r="J58" t="inlineStr">
        <is>
          <t>Gerenciamento Financeiro de Serviços</t>
        </is>
      </c>
      <c r="K58" t="inlineStr">
        <is>
          <t>Gerenciamento de Capacidade e Desempenho</t>
        </is>
      </c>
      <c r="L58" t="inlineStr">
        <is>
          <t>Gerenciamento Financeiro de TI</t>
        </is>
      </c>
      <c r="M58" t="inlineStr">
        <is>
          <t>Gerenciamento de Requisição de Serviço</t>
        </is>
      </c>
    </row>
    <row r="59">
      <c r="A59" t="inlineStr">
        <is>
          <t>485</t>
        </is>
      </c>
      <c r="B59" t="inlineStr">
        <is>
          <t>Urgente: Problema de Interrupção do Serviço AWS</t>
        </is>
      </c>
      <c r="C59" t="inlineStr">
        <is>
          <t>Caro Time de Suporte ao Cliente de Serviços de TI,
Espero que esta mensagem o encontre bem. Estou escrevendo para trazer à sua atenção imediata um problema de alta prioridade que estamos enfrentando com nosso Serviço de Gerenciamento AWS, que parece estar afetando a acessibilidade dos clientes e a implantação de recursos em nuvem. Nossas operações dependem muito da sua infraestrutura AWS, e essa atual interrupção do serviço causou retrocessos significativos, impactando não apenas nossos processos internos, mas também nossos compromissos com nossos clientes.
Desde esta manhã, notamos interrupções irregulares de acessibilidade que nos impedem de acessar nossos recursos em nuvem de maneira confiável. Isso também resultou em paradas inesperadas para nossos aplicativos hospedados nessas plataformas, causando interrupções na acessibilidade dos clientes. Tentamos resolver esses problemas usando nossos procedimentos internos de solução de problemas, mas constatamos que a causa raiz parece estar ligada aos controles do Serviço de Gerenciamento AWS.
À luz desses acontecimentos, instamos você a tratar dessa situação com a máxima prioridade. Nossa equipe interrompeu temporariamente todas as implantações em nuvem da AWS até nova ordem, uma vez que estas se tornaram não confiáveis devido à atual interrupção. Este problema também levanta preocupações sobre o potencial impacto na integridade dos dados, e apreciaríamos qualquer diagnóstico disponível sobre a questão do seu lado.
Solicitamos gentilmente uma revisão urgente e resolução deste problema o mais rápido possível. Além disso, por favor, mantenha-nos atualizados com qualquer progresso ou descobertas que possam ajudar a acelerar uma solução. Sua atenção rápida e ação ágil nesta questão serão muito apreciadas e contribuirão muito para manter nossa confiança em seus serviços.
Obrigado pela sua atenção imediata a esta questão de alta prioridade. Aguardamos sua pronta resposta.
Atenciosamente,
&lt;name&gt; 
&lt;acc_num&gt; 
&lt;tel_num&gt;</t>
        </is>
      </c>
      <c r="D59" t="inlineStr">
        <is>
          <t>Gerenciamento de Incidentes</t>
        </is>
      </c>
      <c r="E59" t="inlineStr">
        <is>
          <t>Gerenciamento de Disponibilidade</t>
        </is>
      </c>
      <c r="F59" t="inlineStr">
        <is>
          <t>Gerenciamento de Incidentes</t>
        </is>
      </c>
      <c r="G59" t="inlineStr">
        <is>
          <t>Gerenciamento de Continuidade de Serviço</t>
        </is>
      </c>
      <c r="H59" t="inlineStr">
        <is>
          <t>Gerenciamento de Incidentes</t>
        </is>
      </c>
      <c r="I59" t="inlineStr">
        <is>
          <t>Gerenciamento de Continuidade de Serviço</t>
        </is>
      </c>
      <c r="J59" t="inlineStr">
        <is>
          <t>Gerenciamento de Incidentes</t>
        </is>
      </c>
      <c r="K59" t="inlineStr">
        <is>
          <t>Gerenciamento de Continuidade de Serviço</t>
        </is>
      </c>
      <c r="L59" t="inlineStr">
        <is>
          <t>Gerenciamento de Incidentes</t>
        </is>
      </c>
      <c r="M59" t="inlineStr">
        <is>
          <t>Gerenciamento de Disponibilidade</t>
        </is>
      </c>
    </row>
    <row r="60">
      <c r="A60" t="inlineStr">
        <is>
          <t>492</t>
        </is>
      </c>
      <c r="B60" t="inlineStr">
        <is>
          <t>Investigação Imediata Necessária: Problemas de Conectividade</t>
        </is>
      </c>
      <c r="C60" t="inlineStr">
        <is>
          <t>Olá equipe de Suporte ao Cliente,
Espero que esta mensagem os encontre bem. Estou entrando em contato para chamar sua atenção para um problema sério que estamos enfrentando com nosso Router Cisco ISR4331. Especificamente, estamos lidando com problemas esporádicos de conectividade de rede que estão interrompendo severamente nossas operações. Esses problemas estão ocorrendo há algum tempo e exigem urgentemente seu foco imediato para evitar mais complicações.
Dada a função essencial que este roteador desempenha em nossa infraestrutura de TI, solicito gentilmente que sua equipe inicie uma investigação urgente, seguida por uma solução rápida. Seu conhecimento nesta área seria muito valorizado, e estou esperançoso em sua capacidade de resolver efetivamente este problema. Você poderia nos aconselhar sobre a melhor maneira de prosseguir com a solução deste problema ou nos informar se algum diagnóstico particular é necessário?
Obrigado pela sua atenção atempada a este assunto urgente. Aguardo sua resposta rápida e eficaz.
Atenciosamente,
&lt;name&gt;
&lt;acc_num&gt;
Número de Contato: &lt;tel_num&gt;</t>
        </is>
      </c>
      <c r="D60" t="inlineStr">
        <is>
          <t>Gerenciamento de Incidentes</t>
        </is>
      </c>
      <c r="E60" t="inlineStr">
        <is>
          <t>Gerenciamento de Problemas</t>
        </is>
      </c>
      <c r="F60" t="inlineStr">
        <is>
          <t>Gerenciamento de Incidentes</t>
        </is>
      </c>
      <c r="G60" t="inlineStr">
        <is>
          <t>Gerenciamento de Problemas</t>
        </is>
      </c>
      <c r="H60" t="inlineStr">
        <is>
          <t>Gerenciamento de Incidentes</t>
        </is>
      </c>
      <c r="I60" t="inlineStr">
        <is>
          <t>Gerenciamento de Problemas</t>
        </is>
      </c>
      <c r="J60" t="inlineStr">
        <is>
          <t>Gerenciamento de Problemas</t>
        </is>
      </c>
      <c r="K60" t="inlineStr">
        <is>
          <t>Gerenciamento de Infraestrutura e Plataforma</t>
        </is>
      </c>
      <c r="L60" t="inlineStr">
        <is>
          <t>Gerenciamento de Problemas</t>
        </is>
      </c>
      <c r="M60" t="inlineStr">
        <is>
          <t>Gerenciamento de Disponibilidade</t>
        </is>
      </c>
    </row>
    <row r="61">
      <c r="A61" t="inlineStr">
        <is>
          <t>496</t>
        </is>
      </c>
      <c r="B61" t="inlineStr">
        <is>
          <t>Assistência Necessária para Problemas Persistentes de Atolamento de Papel com Impressora Canon</t>
        </is>
      </c>
      <c r="C61" t="inlineStr">
        <is>
          <t>Prezado Suporte ao Cliente,
Estou escrevendo para relatar problemas persistentes de atolamento de papel com minha impressora Canon PIXMA MG3620. O problema ocorre durante a impressão de documentação leve de checkout. Eu garanti que o papel não está sobrecarregado e também verifiquei se há obstruções visíveis. Apesar desses esforços, o problema persiste. Você poderia, por favor, me fornecer mais assistência ou sugerir alguns passos adicionais de solução de problemas? O número de série da minha impressora é &lt;acc_num&gt;.
Obrigado pela sua pronta atenção a este assunto.
Atenciosamente,
&lt;name&gt;
&lt;tel_num&gt;</t>
        </is>
      </c>
      <c r="D61" t="inlineStr">
        <is>
          <t>Gerenciamento de Incidentes</t>
        </is>
      </c>
      <c r="E61" t="inlineStr">
        <is>
          <t>Gerenciamento de Problemas</t>
        </is>
      </c>
      <c r="F61" t="inlineStr">
        <is>
          <t>Gerenciamento de Incidentes</t>
        </is>
      </c>
      <c r="G61" t="inlineStr">
        <is>
          <t>Gerenciamento de Problemas</t>
        </is>
      </c>
      <c r="H61" t="inlineStr">
        <is>
          <t>Gerenciamento de Incidentes</t>
        </is>
      </c>
      <c r="I61" t="inlineStr">
        <is>
          <t>Gerenciamento de Problemas</t>
        </is>
      </c>
      <c r="J61" t="inlineStr">
        <is>
          <t>Gerenciamento de Problemas</t>
        </is>
      </c>
      <c r="K61" t="inlineStr">
        <is>
          <t>Gerenciamento de Incidentes</t>
        </is>
      </c>
      <c r="L61" t="inlineStr">
        <is>
          <t>Gerenciamento de Incidentes</t>
        </is>
      </c>
      <c r="M61" t="inlineStr">
        <is>
          <t>Gerenciamento de Problemas</t>
        </is>
      </c>
    </row>
    <row r="62">
      <c r="A62" t="inlineStr">
        <is>
          <t>504</t>
        </is>
      </c>
      <c r="B62" t="inlineStr">
        <is>
          <t>Problema de Acesso ao Outlook</t>
        </is>
      </c>
      <c r="C62" t="inlineStr">
        <is>
          <t>Caro Equipe de Suporte ao Cliente,
Estou escrevendo para buscar a sua assistência em relação a um problema recorrente que venho enfrentando com o acesso ao meu email do Outlook. Sempre que tento fazer login, sou continuamente solicitado a inserir minha senha, apesar de garantir que está correta e atualizada. Este problema diz respeito ao meu Microsoft Office 365: Cliente de Email, que, como você apreciará, é crucial para minhas operações diárias.
Este aviso persistente para a senha não está apenas interrompendo meu fluxo de trabalho, mas também levanta preocupações se pode haver um problema subjacente com minha conta. Tentei várias etapas de solução de problemas, incluindo redefinir minha senha e verificar minha conexão com a internet, mas o problema continua sem solução. Além disso, garanti que meu aplicativo está atualizado para a versão mais recente.
Você poderia investigar este problema e fornecer orientações sobre quaisquer possíveis soluções? Estou ansioso para resolver isso o mais rápido possível para restaurar meus níveis habituais de eficiência. Meu número de conta é &lt;acc_num&gt;, e anexei quaisquer capturas de tela de erros que possam ser pertinentes.
Sinta-se à vontade para entrar em contato comigo em &lt;tel_num&gt;, caso precise de mais informações ou esclarecimentos.
Obrigado pela sua atenção a esta questão.
Atenciosamente,
&lt;name&gt;</t>
        </is>
      </c>
      <c r="D62" t="inlineStr">
        <is>
          <t>Gerenciamento de Incidentes</t>
        </is>
      </c>
      <c r="E62" t="inlineStr">
        <is>
          <t>Gerenciamento de Acesso</t>
        </is>
      </c>
      <c r="F62" t="inlineStr">
        <is>
          <t>Gerenciamento de Incidentes</t>
        </is>
      </c>
      <c r="G62" t="inlineStr">
        <is>
          <t>Gerenciamento de Acessos</t>
        </is>
      </c>
      <c r="H62" t="inlineStr">
        <is>
          <t>Gerenciamento de Incidentes</t>
        </is>
      </c>
      <c r="I62" t="inlineStr">
        <is>
          <t>Gerenciamento de Acessos</t>
        </is>
      </c>
      <c r="J62" t="inlineStr">
        <is>
          <t>Gerenciamento de Problemas</t>
        </is>
      </c>
      <c r="K62" t="inlineStr">
        <is>
          <t>Gerenciamento de Configuração de Serviço</t>
        </is>
      </c>
      <c r="L62" t="inlineStr">
        <is>
          <t>Gerenciamento de Incidentes</t>
        </is>
      </c>
      <c r="M62" t="inlineStr">
        <is>
          <t>Gerenciamento de Problemas</t>
        </is>
      </c>
    </row>
    <row r="63">
      <c r="A63" t="inlineStr">
        <is>
          <t>516</t>
        </is>
      </c>
      <c r="B63" t="inlineStr">
        <is>
          <t>Solicitação de Otimização das Configurações da AWS</t>
        </is>
      </c>
      <c r="C63" t="inlineStr">
        <is>
          <t>Prezado Time de Suporte ao Cliente,
Espero que esta mensagem o encontre bem. Estou entrando em contato para solicitar modificações em nossas configurações atuais da AWS para uma melhor otimização de custos. Esta assistência técnica é classificada como prioridade média. Estamos utilizando seu Serviço de Gerenciamento da AWS e precisamos de orientações sobre configurações eficientes para reduzir despesas desnecessárias.
Por favor, nos informe os passos apropriados para prosseguir ou se você precisar de detalhes adicionais sobre nossa configuração atual. Seu apoio rápido na resolução deste assunto de forma eficiente será muito apreciado.
Obrigado pela sua atenção.
Atenciosamente,
&lt;name&gt;
&lt;acc_num&gt;
&lt;tel_num&gt;</t>
        </is>
      </c>
      <c r="D63" t="inlineStr">
        <is>
          <t>Solicitação de Serviço</t>
        </is>
      </c>
      <c r="E63" t="inlineStr">
        <is>
          <t>Gerenciamento Financeiro</t>
        </is>
      </c>
      <c r="F63" t="inlineStr">
        <is>
          <t>Gerenciamento de Requisição de Serviço</t>
        </is>
      </c>
      <c r="G63" t="inlineStr">
        <is>
          <t>Gerenciamento Financeiro de Serviços</t>
        </is>
      </c>
      <c r="H63" t="inlineStr">
        <is>
          <t>Gerenciamento de Requisição de Serviço</t>
        </is>
      </c>
      <c r="I63" t="inlineStr">
        <is>
          <t>Gerenciamento Financeiro de Serviços</t>
        </is>
      </c>
      <c r="J63" t="inlineStr">
        <is>
          <t>Gerenciamento Financeiro de Serviços</t>
        </is>
      </c>
      <c r="K63" t="inlineStr">
        <is>
          <t>Gerenciamento de Capacidade e Desempenho</t>
        </is>
      </c>
      <c r="L63" t="inlineStr">
        <is>
          <t>Gerenciamento de Ativos de TI</t>
        </is>
      </c>
      <c r="M63" t="inlineStr">
        <is>
          <t>Gerenciamento Financeiro de TI</t>
        </is>
      </c>
    </row>
    <row r="64">
      <c r="A64" t="inlineStr">
        <is>
          <t>537</t>
        </is>
      </c>
      <c r="B64" t="inlineStr">
        <is>
          <t>Assistência de Desempenho do Servidor</t>
        </is>
      </c>
      <c r="C64" t="inlineStr">
        <is>
          <t>Prezado Cliente de Suporte ao Cliente de Serviços de TI,&lt;br&gt;&lt;br&gt;Estamos entrando em contato para solicitar sua assistência na otimização do desempenho do nosso servidor. Como parte de seus Serviços de Consultoria de TI, precisamos de uma análise especializada de nossa configuração atual para identificar possíveis gargalos ou ineficiências. Com nossas operações em expansão, é imperativo que nossos servidores estejam funcionando em sua capacidade máxima para atender eficientemente às necessidades do nosso negócio.&lt;br&gt;&lt;br&gt;Nossa avaliação preliminar indica que pode haver alguns problemas que afetam o desempenho do servidor, levando a paradas ocasionais e redução nas velocidades de processamento, o que impacta nossa entrega de serviços. Acreditamos que a experiência da sua equipe em diagnosticar e otimizar configurações de sistema será inestimável nesta situação.&lt;br&gt;&lt;br&gt;Agradeceríamos se um consultor especializado pudesse avaliar nossa configuração de hardware e software, oferecer insights sobre as melhores práticas e recomendar quaisquer alterações necessárias para aprimorar o desempenho. Além disso, gostaríamos de orientações sobre a implementação de técnicas e ferramentas avançadas de otimização adequadas aos nossos requisitos operacionais.&lt;br&gt;&lt;br&gt;Por favor, informe-nos sua disponibilidade para uma consulta inicial. Estamos ansiosos para colaborar e resolver os problemas em andamento o mais rápido possível.&lt;br&gt;&lt;br&gt;Obrigado pela sua atenção a este assunto.&lt;br&gt;&lt;br&gt;Atenciosamente,&lt;br&gt;&lt;name&gt;&lt;br&gt;Número da Conta: &lt;acc_num&gt;&lt;br&gt;E-mail: &lt;name&gt;@business.com&lt;br&gt;Número de Contato: &lt;tel_num&gt;</t>
        </is>
      </c>
      <c r="D64" t="inlineStr">
        <is>
          <t>Solicitação de Serviço</t>
        </is>
      </c>
      <c r="E64" t="inlineStr">
        <is>
          <t>Gerenciamento de Capacidade</t>
        </is>
      </c>
      <c r="F64" t="inlineStr">
        <is>
          <t>Gerenciamento de Capacidade e Desempenho</t>
        </is>
      </c>
      <c r="G64" t="inlineStr">
        <is>
          <t>Gerenciamento de Problemas</t>
        </is>
      </c>
      <c r="H64" t="inlineStr">
        <is>
          <t>Gerenciamento de Capacidade e Desempenho</t>
        </is>
      </c>
      <c r="I64" t="inlineStr">
        <is>
          <t>Gerenciamento de Nível de Serviço</t>
        </is>
      </c>
      <c r="J64" t="inlineStr">
        <is>
          <t>Gerenciamento de Capacidade e Desempenho</t>
        </is>
      </c>
      <c r="K64" t="inlineStr">
        <is>
          <t>Gerenciamento de Nível de Serviço</t>
        </is>
      </c>
      <c r="L64" t="inlineStr">
        <is>
          <t>Gerenciamento de Capacidade e Desempenho</t>
        </is>
      </c>
      <c r="M64" t="inlineStr">
        <is>
          <t>Gerenciamento de Problemas</t>
        </is>
      </c>
    </row>
    <row r="65">
      <c r="A65" t="inlineStr">
        <is>
          <t>546</t>
        </is>
      </c>
      <c r="B65" t="inlineStr">
        <is>
          <t>Problemas com Instâncias de Implantação da AWS</t>
        </is>
      </c>
      <c r="C65" t="inlineStr">
        <is>
          <t>Prezado suporte ao cliente, estamos enfrentando problemas com o serviço de gerenciamento da AWS em que as instâncias do servidor não estão sendo iniciadas corretamente. Isso está impactando severamente a disponibilidade do nosso serviço. Por favor, forneça assistência para resolver este problema prontamente. Obrigado.</t>
        </is>
      </c>
      <c r="D65" t="inlineStr">
        <is>
          <t>Gerenciamento de Incidentes</t>
        </is>
      </c>
      <c r="E65" t="inlineStr">
        <is>
          <t>Gerenciamento de Disponibilidade</t>
        </is>
      </c>
      <c r="F65" t="inlineStr"/>
      <c r="G65" t="inlineStr"/>
      <c r="H65" t="inlineStr"/>
      <c r="I65" t="inlineStr"/>
      <c r="J65" t="inlineStr">
        <is>
          <t>Gerenciamento de Liberação</t>
        </is>
      </c>
      <c r="K65" t="inlineStr">
        <is>
          <t>Gerenciamento de Disponibilidade</t>
        </is>
      </c>
      <c r="L65" t="inlineStr">
        <is>
          <t>Gerenciamento de Incidentes</t>
        </is>
      </c>
      <c r="M65" t="inlineStr">
        <is>
          <t>Gerenciamento de Eventos</t>
        </is>
      </c>
    </row>
    <row r="66">
      <c r="A66" t="inlineStr">
        <is>
          <t>547</t>
        </is>
      </c>
      <c r="B66" t="inlineStr">
        <is>
          <t>Problema de Rede Empresarial</t>
        </is>
      </c>
      <c r="C66" t="inlineStr">
        <is>
          <t>Caro Time de Suporte de Serviços de TI,
Estou entrando em contato para relatar um problema que estamos enfrentando com nosso Roteador Cisco ISR4331 na gestão das necessidades de rede empresarial. Nossa organização tem encontrado dificuldades significativas, pois o roteador parece incapaz de lidar com as demandas de alto desempenho necessárias para conexões seguras, que são uma função essencial para nossas operações.
Recentemente, nossas necessidades de capacidade de rede aumentaram devido ao aumento do trabalho remoto, exigindo acesso seguro 24/7 para múltiplos usuários. Infelizmente, o roteador parece estar lutando nessas condições, levando a interrupções frequentes e uma incapacidade de manter conexões confiáveis e seguras. Essa degradação de desempenho está causando preocupação considerável, pois impacta severamente nossos processos e produtividade de negócios.
Inicialmente, selecionamos o Roteador Cisco ISR4331 por suas especificações robustas, que, no papel, pareciam mais do que adequadas para nossas necessidades. No entanto, na prática, está provando ser inadequado para nossas demandas crescentes. Apesar de várias tentativas de ajustes de configuração e uma atualização para o firmware mais recente, o problema persiste. Especulamos que as limitações atuais de hardware podem não ser suficientes para nossas necessidades, mas apreciaríamos uma avaliação especializada de sua equipe para confirmar isso e aconselhar sobre possíveis soluções.
Nosso objetivo é garantir conectividade robusta e de alta velocidade para nossas operações internas e voltadas para o cliente, com as medidas de segurança necessárias não comprometidas. Por favor, reconheça este pedido o mais rápido possível e aconselhe sobre etapas ou oportunidades para suporte aprimorado, avaliação ou até mesmo uma atualização para um modelo de roteador mais adequado, se considerado necessário.
Obrigado pela sua atenção a este assunto urgente. Aguardo sua rápida resposta.
Atenciosamente,
&lt;name&gt;
&lt;tel_num&gt;
&lt;acc_num&gt;</t>
        </is>
      </c>
      <c r="D66" t="inlineStr">
        <is>
          <t>Gerenciamento de Incidentes</t>
        </is>
      </c>
      <c r="E66" t="inlineStr">
        <is>
          <t>Gerenciamento de Capacidade</t>
        </is>
      </c>
      <c r="F66" t="inlineStr"/>
      <c r="G66" t="inlineStr"/>
      <c r="H66" t="inlineStr"/>
      <c r="I66" t="inlineStr"/>
      <c r="J66" t="inlineStr">
        <is>
          <t>Gerenciamento de Capacidade e Desempenho</t>
        </is>
      </c>
      <c r="K66" t="inlineStr">
        <is>
          <t>Gerenciamento de Ativos de TI</t>
        </is>
      </c>
      <c r="L66" t="inlineStr">
        <is>
          <t>Gerenciamento de Capacidade e Desempenho</t>
        </is>
      </c>
      <c r="M66" t="inlineStr">
        <is>
          <t>Gerenciamento de Mudanças</t>
        </is>
      </c>
    </row>
    <row r="67">
      <c r="A67" t="inlineStr">
        <is>
          <t>579</t>
        </is>
      </c>
      <c r="B67" t="inlineStr">
        <is>
          <t>Solicitação de Serviço de Garantia</t>
        </is>
      </c>
      <c r="C67" t="inlineStr">
        <is>
          <t>Prezado Suporte ao Cliente da Tech Online Store,
Espero que esta mensagem o encontre bem. Estou escrevendo para chamar sua atenção para um problema preocupante que venho enfrentando com meu laptop Dell XPS 13 9310, que comprei em sua loja. Recentemente, a tela do dispositivo começou a piscar inesperadamente, e esse problema se tornou mais frequente nas últimas semanas, afetando significativamente minha produtividade e experiência do usuário.
Dado que o piscar da tela parece sugerir uma possível falha de hardware, espero poder utilizar o serviço de garantia para obter assistência. Tentei etapas básicas de solução de problemas, como atualizar os drivers da tela e garantir que todo o software do meu dispositivo esteja atualizado, mas infelizmente, essas etapas não resolveram o problema.
Além disso, este laptop ainda está dentro do período de garantia oferecido pela Dell e sua loja, uma vez que foi comprado há menos de seis meses. Portanto, solicito gentilmente orientação sobre como processar esta reclamação através do serviço de garantia. Estou particularmente interessado em saber quais etapas devo realizar a seguir e se precisarei enviar o laptop para o seu centro de serviço ou se pode haver uma resolução alternativa.
Além disso, por favor, me avise se for necessário algum documento adicional da minha parte para agilizar a reclamação ou qualquer informação sobre os detalhes da minha compra. Meu número do pedido é &lt;order_num&gt;, e comprei este laptop em &lt;purchase_date&gt;. O número de série do laptop é &lt;serial_num&gt;. Por favor, entre em contato comigo assim que possível através do meu e-mail ou pelo &lt;tel_num&gt;, caso necessite de mais informações.
Agradeço antecipadamente pela sua ajuda rápida neste assunto. Espero resolver este problema rapidamente com a sua ajuda.
Atenciosamente,
&lt;name&gt;</t>
        </is>
      </c>
      <c r="D67" t="inlineStr">
        <is>
          <t>Solicitação de Serviço</t>
        </is>
      </c>
      <c r="E67" t="inlineStr">
        <is>
          <t>Gerenciamento de Ativos de TI</t>
        </is>
      </c>
      <c r="F67" t="inlineStr"/>
      <c r="G67" t="inlineStr"/>
      <c r="H67" t="inlineStr"/>
      <c r="I67" t="inlineStr"/>
      <c r="J67" t="inlineStr">
        <is>
          <t>Gerenciamento de Fornecedor</t>
        </is>
      </c>
      <c r="K67" t="inlineStr">
        <is>
          <t>Gerenciamento de Ativos de TI</t>
        </is>
      </c>
      <c r="L67" t="inlineStr">
        <is>
          <t>Gerenciamento de Solicitação de Serviço</t>
        </is>
      </c>
      <c r="M67" t="inlineStr">
        <is>
          <t>Gerenciamento de Ativos de TI</t>
        </is>
      </c>
    </row>
    <row r="68">
      <c r="A68" t="inlineStr">
        <is>
          <t>580</t>
        </is>
      </c>
      <c r="B68" t="inlineStr">
        <is>
          <t>Problema na Rede da Empresa</t>
        </is>
      </c>
      <c r="C68" t="inlineStr">
        <is>
          <t>Caro Suporte ao Cliente,
Estou escrevendo para relatar um problema com nosso Router Cisco ISR4331 em nossa sede. Estamos experimentando quedas de conexão intermitentes que estão frequentemente interrompendo as atividades de rede da nossa empresa. Este problema se tornou cada vez mais problemático, afetando nossas operações diárias e causando considerável inconveniência. Nosso departamento de TI verificou que o problema não é originado do nosso lado. Agradeceríamos se sua equipe pudesse nos fornecer uma solução ou sugerir os próximos passos para a solução de problemas. Sua atenção rápida a este assunto seria muito apreciada.
Obrigado,
&lt;name&gt;
Departamento de TI
&lt;name&gt; Ltd.</t>
        </is>
      </c>
      <c r="D68" t="inlineStr">
        <is>
          <t>Gerenciamento de Incidentes</t>
        </is>
      </c>
      <c r="E68" t="inlineStr">
        <is>
          <t>Gerenciamento de Problemas</t>
        </is>
      </c>
      <c r="F68" t="inlineStr"/>
      <c r="G68" t="inlineStr"/>
      <c r="H68" t="inlineStr"/>
      <c r="I68" t="inlineStr"/>
      <c r="J68" t="inlineStr">
        <is>
          <t>Gerenciamento de Problemas</t>
        </is>
      </c>
      <c r="K68" t="inlineStr">
        <is>
          <t>Gerenciamento de Configuração de Serviço</t>
        </is>
      </c>
      <c r="L68" t="inlineStr">
        <is>
          <t>Gerenciamento de Problemas</t>
        </is>
      </c>
      <c r="M68" t="inlineStr">
        <is>
          <t>Gerenciamento de Incidentes</t>
        </is>
      </c>
    </row>
    <row r="69">
      <c r="A69" t="inlineStr">
        <is>
          <t>585</t>
        </is>
      </c>
      <c r="B69" t="inlineStr">
        <is>
          <t>Experienciando problemas de qualidade de vídeo em reuniões com o cliente Zoom</t>
        </is>
      </c>
      <c r="C69" t="inlineStr">
        <is>
          <t>Ajuda urgente necessária para problemas de vídeo no Zoom 5.11.0.</t>
        </is>
      </c>
      <c r="D69" t="inlineStr">
        <is>
          <t>Gerenciamento de Incidentes</t>
        </is>
      </c>
      <c r="E69" t="inlineStr">
        <is>
          <t>Gerenciamento de Problemas</t>
        </is>
      </c>
      <c r="F69" t="inlineStr"/>
      <c r="G69" t="inlineStr"/>
      <c r="H69" t="inlineStr"/>
      <c r="I69" t="inlineStr"/>
      <c r="J69" t="inlineStr">
        <is>
          <t>Gerenciamento de Capacidade e Desempenho</t>
        </is>
      </c>
      <c r="K69" t="inlineStr">
        <is>
          <t>Habilitação de Mudança</t>
        </is>
      </c>
      <c r="L69" t="inlineStr">
        <is>
          <t>Gerenciamento de Solicitação de Serviço</t>
        </is>
      </c>
      <c r="M69" t="inlineStr">
        <is>
          <t>Não se aplica</t>
        </is>
      </c>
    </row>
    <row r="70">
      <c r="A70" t="inlineStr">
        <is>
          <t>620</t>
        </is>
      </c>
      <c r="B70" t="inlineStr">
        <is>
          <t>Solicitação para Abordar Discrepâncias na Fatura</t>
        </is>
      </c>
      <c r="C70" t="inlineStr">
        <is>
          <t>Olá Atendimento ao Cliente,
Espero que esta mensagem o encontre bem. Estou escrevendo para solicitar uma revisão da minha fatura em relação à minha assinatura do Microsoft Office 365. Notei algumas discrepâncias na última cobrança para o número da conta &lt;acc_num&gt;. Parece que há taxas adicionais que não foram divulgadas anteriormente. Por favor, ajude a esclarecer este problema e garanta que quaisquer cobranças não autorizadas sejam revertidas. Além disso, por favor confirme os termos atuais da assinatura e a discriminação dos custos. Você pode me contatar diretamente pelo &lt;tel_num&gt;.
Obrigado pela sua assistência rápida.
Atenciosamente,
&lt;name&gt;</t>
        </is>
      </c>
      <c r="D70" t="inlineStr">
        <is>
          <t>Gerenciamento Financeiro</t>
        </is>
      </c>
      <c r="E70" t="inlineStr">
        <is>
          <t>Gerenciamento de Incidentes</t>
        </is>
      </c>
      <c r="F70" t="inlineStr"/>
      <c r="G70" t="inlineStr"/>
      <c r="H70" t="inlineStr"/>
      <c r="I70" t="inlineStr"/>
      <c r="J70" t="inlineStr">
        <is>
          <t>Gerenciamento Financeiro de Serviços</t>
        </is>
      </c>
      <c r="K70" t="inlineStr">
        <is>
          <t>Gerenciamento de Catálogo de Serviço</t>
        </is>
      </c>
      <c r="L70" t="inlineStr">
        <is>
          <t>Gerenciamento Financeiro de TI</t>
        </is>
      </c>
      <c r="M70" t="inlineStr">
        <is>
          <t>Gerenciamento de Solicitação de Serviço</t>
        </is>
      </c>
    </row>
    <row r="71">
      <c r="A71" t="inlineStr">
        <is>
          <t>634</t>
        </is>
      </c>
      <c r="B71" t="inlineStr">
        <is>
          <t>Consulta de Serviço</t>
        </is>
      </c>
      <c r="C71" t="inlineStr">
        <is>
          <t>Olá,
Espero que esta mensagem o encontre bem. Estou entrando em contato para solicitar mais informações sobre os seus Serviços de Consultoria em TI, especificamente em relação à administração de servidores e implementação de sistemas de tickets. Estamos considerando esses serviços para otimizar nossas operações de TI e melhorar nosso sistema de suporte. Você poderia, por favor, fornecer detalhes sobre seus serviços, preços e qualquer opção de personalização disponível?
Aguardamos sua resposta rápida.
Obrigado e melhores cumprimentos,
&lt;name&gt;
&lt;name&gt; Empresa
&lt;email&gt;
&lt;tel_num&gt;</t>
        </is>
      </c>
      <c r="D71" t="inlineStr">
        <is>
          <t>Solicitação de Serviço</t>
        </is>
      </c>
      <c r="E71" t="inlineStr">
        <is>
          <t>Gerenciamento de Nível de Serviço</t>
        </is>
      </c>
      <c r="F71" t="inlineStr"/>
      <c r="G71" t="inlineStr"/>
      <c r="H71" t="inlineStr"/>
      <c r="I71" t="inlineStr"/>
      <c r="J71" t="inlineStr">
        <is>
          <t>Gerenciamento de Catálogo de Serviço</t>
        </is>
      </c>
      <c r="K71" t="inlineStr">
        <is>
          <t>Gerenciamento de Relacionamento</t>
        </is>
      </c>
      <c r="L71" t="inlineStr">
        <is>
          <t>Gerenciamento de Relacionamento</t>
        </is>
      </c>
      <c r="M71" t="inlineStr">
        <is>
          <t>Não se aplica</t>
        </is>
      </c>
    </row>
    <row r="72">
      <c r="A72" t="inlineStr">
        <is>
          <t>650</t>
        </is>
      </c>
      <c r="B72" t="inlineStr">
        <is>
          <t>Solicitação de Devolução de Produto - Canon PIXMA MG3620</t>
        </is>
      </c>
      <c r="C72" t="inlineStr">
        <is>
          <t>Caro Suporte ao Cliente,
Espero que esta mensagem o encontre bem. Estou escrevendo para solicitar a devolução de um produto comprado na sua Loja Online Tech, que atualmente está enfrentando problemas de conectividade. O item em questão é a impressora Canon PIXMA MG3620, que comprei em &lt;purchase_date&gt; usando meu número de conta &lt;acc_num&gt;.
Desde a configuração da impressora, enfrentei interrupções repetidas durante a impressão sem fio, o que prejudicou minha capacidade de concluir efetivamente as tarefas de impressão. Apesar de seguir todos os passos de solução de problemas descritos no manual e no seu site de suporte, os problemas de conectividade persistem. Tentei várias soluções, incluindo reinicializações de rede e atualizações de firmware, mas o problema continua sem solução.
Diante disso, eu apreciaria se você pudesse autorizar uma devolução deste produto, uma vez que está dentro do período de garantia. Por favor, me avise sobre o procedimento que preciso seguir, incluindo quaisquer documentos ou informações que você precise da minha parte.
Obrigado pela sua atenção a este assunto. Aguardo sua resposta rápida para arranjar a devolução e reembolso da impressora. Se precisar entrar em contato comigo, por favor, fale pelo meu número de telefone registrado, &lt;tel_num&gt;.
Atenciosamente,
&lt;name&gt;</t>
        </is>
      </c>
      <c r="D72" t="inlineStr">
        <is>
          <t>Solicitação de Serviço</t>
        </is>
      </c>
      <c r="E72" t="inlineStr">
        <is>
          <t>Gerenciamento de Ativos de TI</t>
        </is>
      </c>
      <c r="F72" t="inlineStr"/>
      <c r="G72" t="inlineStr"/>
      <c r="H72" t="inlineStr"/>
      <c r="I72" t="inlineStr"/>
      <c r="J72" t="inlineStr">
        <is>
          <t>Gerenciamento de Problemas</t>
        </is>
      </c>
      <c r="K72" t="inlineStr">
        <is>
          <t>Gerenciamento de Fornecedor</t>
        </is>
      </c>
      <c r="L72" t="inlineStr">
        <is>
          <t>Gerenciamento de Incidentes</t>
        </is>
      </c>
      <c r="M72" t="inlineStr">
        <is>
          <t>Gerenciamento de Solicitação de Serviço</t>
        </is>
      </c>
    </row>
    <row r="73">
      <c r="A73" t="inlineStr">
        <is>
          <t>656</t>
        </is>
      </c>
      <c r="B73" t="inlineStr">
        <is>
          <t>Ajuda solicitada para problemas de inicialização do Dell XPS 13</t>
        </is>
      </c>
      <c r="C73" t="inlineStr">
        <is>
          <t>Caro Suporte ao Cliente,
Espero que esta mensagem o encontre bem. Estou entrando em contato para buscar assistência com meu Dell XPS 13 9310, que tem enfrentado problemas de inicialização após uma recente atualização do sistema operacional. O laptop não inicia corretamente e fica travado durante o processo de inicialização. Tentei etapas básicas de solução de problemas, como reiniciar no modo de segurança e realizar a restauração do sistema, mas infelizmente, essas ações não resolveram o problema.
Por favor, aconselhe sobre quaisquer outras medidas que eu possa tomar para resolver essa situação ou se é necessário agendar um atendimento de serviço. Obrigado pela sua pronta atenção a este assunto. Meu número de referência do caso é &lt;ref_num&gt;.
Atenciosamente,
&lt;name&gt;</t>
        </is>
      </c>
      <c r="D73" t="inlineStr">
        <is>
          <t>Gerenciamento de Incidentes</t>
        </is>
      </c>
      <c r="E73" t="inlineStr">
        <is>
          <t>Gerenciamento de Problemas</t>
        </is>
      </c>
      <c r="F73" t="inlineStr"/>
      <c r="G73" t="inlineStr"/>
      <c r="H73" t="inlineStr"/>
      <c r="I73" t="inlineStr"/>
      <c r="J73" t="inlineStr">
        <is>
          <t>Habilitação de Mudança</t>
        </is>
      </c>
      <c r="K73" t="inlineStr">
        <is>
          <t>Gerenciamento de Liberação</t>
        </is>
      </c>
      <c r="L73" t="inlineStr">
        <is>
          <t>Gerenciamento de Mudanças</t>
        </is>
      </c>
      <c r="M73" t="inlineStr">
        <is>
          <t>Gerenciamento de Incidentes</t>
        </is>
      </c>
    </row>
    <row r="74">
      <c r="A74" t="inlineStr">
        <is>
          <t>658</t>
        </is>
      </c>
      <c r="B74" t="inlineStr">
        <is>
          <t>Urgente: Assistência Imediata Necessária para Problema com AWS</t>
        </is>
      </c>
      <c r="C74" t="inlineStr">
        <is>
          <t>Caro Suporte ao Cliente,
Espero que esta mensagem o encontre bem. Estou escrevendo para informar sobre um problema urgente que está afetando nosso Serviço de Gestão da AWS. Atualmente, estamos enfrentando interrupções significativas em nossa infraestrutura, o que pode levar a um tempo de inatividade. Dada a alta prioridade desse assunto, peço gentilmente a sua assistência imediata para restaurar nossos recursos em nuvem e garantir a disponibilidade ideal dos serviços. Este problema necessita de resolução rápida e eu agradeceria sua resposta ágil. Sinta-se à vontade para me contatar diretamente pelo &lt;tel_num&gt; ou pelo meu e-mail para mais detalhes.
Obrigado pela sua atenção urgente.
Atenciosamente,
&lt;name&gt;</t>
        </is>
      </c>
      <c r="D74" t="inlineStr">
        <is>
          <t>Gerenciamento de Incidentes</t>
        </is>
      </c>
      <c r="E74" t="inlineStr">
        <is>
          <t>Gerenciamento de Disponibilidade</t>
        </is>
      </c>
      <c r="F74" t="inlineStr"/>
      <c r="G74" t="inlineStr"/>
      <c r="H74" t="inlineStr"/>
      <c r="I74" t="inlineStr"/>
      <c r="J74" t="inlineStr">
        <is>
          <t>Gerenciamento de Disponibilidade</t>
        </is>
      </c>
      <c r="K74" t="inlineStr">
        <is>
          <t>Gerenciamento de Continuidade de Serviço</t>
        </is>
      </c>
      <c r="L74" t="inlineStr">
        <is>
          <t>Gerenciamento de Incidentes</t>
        </is>
      </c>
      <c r="M74" t="inlineStr">
        <is>
          <t>Gerenciamento de Disponibilidade</t>
        </is>
      </c>
    </row>
    <row r="75">
      <c r="A75" t="inlineStr">
        <is>
          <t>663</t>
        </is>
      </c>
      <c r="B75" t="inlineStr">
        <is>
          <t>Solicitação de assistência urgente sobre falhas frequentes no sistema</t>
        </is>
      </c>
      <c r="C75" t="inlineStr">
        <is>
          <t>Caro Time de Suporte ao Cliente,
Estou escrevendo para solicitar assistência urgente em relação a falhas frequentes no sistema após a atualização recente do nosso Serviço de Consultoria de TI. Desde a atualização, a estabilidade de nossos servidores foi comprometida, causando uma grande interrupção em nossas operações. Acreditamos que há problemas de otimização que precisam ser resolvidos para evitar essas falhas.
Você poderia, por favor, nos fornecer orientações ou arranjar um especialista técnico para avaliar nossa configuração atual? Uma resolução rápida seria muito apreciada para restaurar nossa eficiência operacional.
Nossa equipe pode ser contatada a qualquer momento pelo &lt;tel_num&gt;.
Obrigado pela sua atenção a este assunto crítico.
Atenciosamente,
&lt;name&gt;</t>
        </is>
      </c>
      <c r="D75" t="inlineStr">
        <is>
          <t>Gerenciamento de Problemas</t>
        </is>
      </c>
      <c r="E75" t="inlineStr">
        <is>
          <t>Gerenciamento de Mudanças</t>
        </is>
      </c>
      <c r="F75" t="inlineStr"/>
      <c r="G75" t="inlineStr"/>
      <c r="H75" t="inlineStr"/>
      <c r="I75" t="inlineStr"/>
      <c r="J75" t="inlineStr">
        <is>
          <t>Habilitação de Mudança</t>
        </is>
      </c>
      <c r="K75" t="inlineStr">
        <is>
          <t>Gerenciamento de Problemas</t>
        </is>
      </c>
      <c r="L75" t="inlineStr">
        <is>
          <t>Gerenciamento de Mudanças</t>
        </is>
      </c>
      <c r="M75" t="inlineStr">
        <is>
          <t>Gerenciamento de Problemas</t>
        </is>
      </c>
    </row>
    <row r="76">
      <c r="A76" t="inlineStr">
        <is>
          <t>664</t>
        </is>
      </c>
      <c r="B76" t="inlineStr">
        <is>
          <t>Problema Urgente de Implantação da AWS</t>
        </is>
      </c>
      <c r="C76" t="inlineStr">
        <is>
          <t>Caro Suporte ao Cliente,
Estamos enfrentando um problema de alta prioridade com nossa implantação da AWS, causando um tempo de inatividade significativo. Isso afeta o nosso Serviço de Gerenciamento da AWS. Precisamos da sua atenção imediata para restaurar os servidores. Por favor, trate este assunto com urgência.
Obrigado,
&lt;name&gt;
&lt;acc_num&gt;</t>
        </is>
      </c>
      <c r="D76" t="inlineStr">
        <is>
          <t>Gerenciamento de Incidentes</t>
        </is>
      </c>
      <c r="E76" t="inlineStr">
        <is>
          <t>Gerenciamento de Disponibilidade</t>
        </is>
      </c>
      <c r="F76" t="inlineStr"/>
      <c r="G76" t="inlineStr"/>
      <c r="H76" t="inlineStr"/>
      <c r="I76" t="inlineStr"/>
      <c r="J76" t="inlineStr">
        <is>
          <t>Gerenciamento de Disponibilidade</t>
        </is>
      </c>
      <c r="K76" t="inlineStr">
        <is>
          <t>Gerenciamento de Liberação</t>
        </is>
      </c>
      <c r="L76" t="inlineStr">
        <is>
          <t>Gerenciamento de Incidentes</t>
        </is>
      </c>
      <c r="M76" t="inlineStr">
        <is>
          <t>Gerenciamento de Disponibilidade</t>
        </is>
      </c>
    </row>
    <row r="77">
      <c r="A77" t="inlineStr">
        <is>
          <t>670</t>
        </is>
      </c>
      <c r="B77" t="inlineStr">
        <is>
          <t>Solicitação de Processamento de Troca de Laptop Dell</t>
        </is>
      </c>
      <c r="C77" t="inlineStr">
        <is>
          <t>Caro Suporte da Loja Online Tech,
Estou escrevendo para relatar que meu Dell XPS 13 9310 comprado sob o número da conta &lt;acc_num&gt; não está ligando. Por favor, inicie o processo de troca e investigue um possível problema na bateria. Para qualquer atualização, entre em contato comigo pelo &lt;tel_num&gt;.
Obrigado,
&lt;name&gt;</t>
        </is>
      </c>
      <c r="D77" t="inlineStr">
        <is>
          <t>Solicitação de Serviço</t>
        </is>
      </c>
      <c r="E77" t="inlineStr">
        <is>
          <t>Gerenciamento de Ativos de TI</t>
        </is>
      </c>
      <c r="F77" t="inlineStr"/>
      <c r="G77" t="inlineStr"/>
      <c r="H77" t="inlineStr"/>
      <c r="I77" t="inlineStr"/>
      <c r="J77" t="inlineStr">
        <is>
          <t>Gerenciamento de Ativos de TI</t>
        </is>
      </c>
      <c r="K77" t="inlineStr">
        <is>
          <t>Gerenciamento de Fornecedor</t>
        </is>
      </c>
      <c r="L77" t="inlineStr">
        <is>
          <t>Gerenciamento de Solicitação de Serviço</t>
        </is>
      </c>
      <c r="M77" t="inlineStr">
        <is>
          <t>Gerenciamento de Ativos de TI</t>
        </is>
      </c>
    </row>
    <row r="78">
      <c r="A78" t="inlineStr">
        <is>
          <t>674</t>
        </is>
      </c>
      <c r="B78" t="inlineStr">
        <is>
          <t>Problema urgente de conectividade com a AWS</t>
        </is>
      </c>
      <c r="C78" t="inlineStr">
        <is>
          <t>Estamos enfrentando problemas de conectividade com o AWS Management Service, resultando em inatividade do site do cliente. Resolução imediata necessária. Por favor, priorize este incidente de alta prioridade. Número da conta: &lt;acc_num&gt;. Obrigado, &lt;name&gt;.</t>
        </is>
      </c>
      <c r="D78" t="inlineStr">
        <is>
          <t>Gerenciamento de Incidentes</t>
        </is>
      </c>
      <c r="E78" t="inlineStr">
        <is>
          <t>Gerenciamento de Disponibilidade</t>
        </is>
      </c>
      <c r="F78" t="inlineStr"/>
      <c r="G78" t="inlineStr"/>
      <c r="H78" t="inlineStr"/>
      <c r="I78" t="inlineStr"/>
      <c r="J78" t="inlineStr">
        <is>
          <t>Gerenciamento de Disponibilidade</t>
        </is>
      </c>
      <c r="K78" t="inlineStr">
        <is>
          <t>Gerenciamento de Nível de Serviço</t>
        </is>
      </c>
      <c r="L78" t="inlineStr">
        <is>
          <t>Gerenciamento de Incidentes</t>
        </is>
      </c>
      <c r="M78" t="inlineStr">
        <is>
          <t>Gerenciamento de Disponibilidade</t>
        </is>
      </c>
    </row>
    <row r="79">
      <c r="A79" t="inlineStr">
        <is>
          <t>683</t>
        </is>
      </c>
      <c r="B79" t="inlineStr">
        <is>
          <t>Solicitação de Alterações no Painel de Gerenciamento da AWS</t>
        </is>
      </c>
      <c r="C79" t="inlineStr">
        <is>
          <t>Caro Suporte ao Cliente dos Serviços de TI,
Estou escrevendo para solicitar algumas alterações no Painel de Gerenciamento da AWS, especificamente relacionadas à atualização das configurações de autoescalonamento de implantação. A configuração atual não suporta completamente nossos objetivos de otimização de custos, e acredito que alguns ajustes poderiam aumentar nossa eficiência. Você poderia, por favor, fornecer assistência na reconfiguração dessas configurações? Sua experiência nessas modificações seria muito valorizada. Por favor, deixe-nos saber os passos que precisamos seguir ou se informações adicionais são necessárias. Obrigado pela sua ajuda na resolução deste assunto.
Atenciosamente,
&lt;name&gt;</t>
        </is>
      </c>
      <c r="D79" t="inlineStr">
        <is>
          <t>Solicitação de Serviço</t>
        </is>
      </c>
      <c r="E79" t="inlineStr">
        <is>
          <t>Gerenciamento Financeiro</t>
        </is>
      </c>
      <c r="F79" t="inlineStr"/>
      <c r="G79" t="inlineStr"/>
      <c r="H79" t="inlineStr"/>
      <c r="I79" t="inlineStr"/>
      <c r="J79" t="inlineStr">
        <is>
          <t>Gerenciamento de Capacidade e Desempenho</t>
        </is>
      </c>
      <c r="K79" t="inlineStr">
        <is>
          <t>Gerenciamento Financeiro de Serviços</t>
        </is>
      </c>
      <c r="L79" t="inlineStr">
        <is>
          <t>Gerenciamento de Mudanças</t>
        </is>
      </c>
      <c r="M79" t="inlineStr">
        <is>
          <t>Gerenciamento de Capacidade e Desempenho</t>
        </is>
      </c>
    </row>
    <row r="80">
      <c r="A80" t="inlineStr">
        <is>
          <t>698</t>
        </is>
      </c>
      <c r="B80" t="inlineStr">
        <is>
          <t>Urgente: Interrupção de Rede - Roteador Cisco ISR4331</t>
        </is>
      </c>
      <c r="C80" t="inlineStr">
        <is>
          <t>Prezado Suporte ao Cliente,
Estou escrevendo para relatar uma interrupção de rede de alta prioridade que está afetando atualmente nossos serviços empresariais. Esse problema parece estar ligado ao nosso Roteador Cisco ISR4331, que requer solução de problemas e restauração imediatas. A interrupção está impactando significativamente nossas operações diárias, e assistência oportuna é necessária para resolvê-lo o mais rápido possível.
Por favor, priorize este pedido e nos informe quais etapas precisamos seguir para acelerar o processo de resolução.
Obrigado pela sua rápida atenção a este assunto.
Atenciosamente,
&lt;name&gt;
&lt;acc_num&gt;
&lt;tel_num&gt;</t>
        </is>
      </c>
      <c r="D80" t="inlineStr">
        <is>
          <t>Gerenciamento de Incidentes</t>
        </is>
      </c>
      <c r="E80" t="inlineStr">
        <is>
          <t>Gerenciamento de Disponibilidade</t>
        </is>
      </c>
      <c r="F80" t="inlineStr"/>
      <c r="G80" t="inlineStr"/>
      <c r="H80" t="inlineStr"/>
      <c r="I80" t="inlineStr"/>
      <c r="J80" t="inlineStr">
        <is>
          <t>Gerenciamento de Disponibilidade</t>
        </is>
      </c>
      <c r="K80" t="inlineStr">
        <is>
          <t>Gerenciamento de Problemas</t>
        </is>
      </c>
      <c r="L80" t="inlineStr">
        <is>
          <t>Gerenciamento de Incidentes</t>
        </is>
      </c>
      <c r="M80" t="inlineStr">
        <is>
          <t>Gerenciamento de Problemas</t>
        </is>
      </c>
    </row>
    <row r="81">
      <c r="A81" t="inlineStr">
        <is>
          <t>706</t>
        </is>
      </c>
      <c r="B81" t="inlineStr">
        <is>
          <t>Problemas de rede com o roteador Cisco</t>
        </is>
      </c>
      <c r="C81" t="inlineStr">
        <is>
          <t>Prezado Suporte ao Cliente,
Estou entrando em contato para relatar desconexões frequentes da rede que temos experimentado em nosso sistema, potencialmente devido a configurações incorretas ou uma falha de hardware em nosso roteador Cisco ISR4331. Dependemos fortemente de uma conectividade estável e contínua para operar nossas atividades de maneira eficiente, e essas interrupções estão afetando consideravelmente nossa produtividade.
Esses problemas começaram aproximadamente duas semanas atrás e pioraram progressivamente, ocorrendo em intervalos imprevisíveis e causando considerável interrupção em nosso fluxo de trabalho. Suspeitamos que pode ser uma configuração dentro do roteador que precisa ser atualizada ou um possível defeito de hardware que requer reparo ou substituição.
O dispositivo em questão está localizado em nosso escritório principal e serve como o roteador principal em nossa infraestrutura de rede. Nosso departamento de TI já revisou e confirmou que todos os outros equipamentos e configurações de rede estão operacionais e consistentes com os padrões de desempenho ideais, indicando que o problema está isolado a este modelo específico da Cisco.
Qualquer orientação ou suporte que você puder fornecer para resolver este assunto seria muito apreciado. Se necessário, por favor, nos informe a oportunidade mais próxima disponível para agendar uma avaliação de serviço. Podemos acomodar investigações fora do horário comercial regular, se isso ajudar a acelerar a resolução.
Obrigado pela sua atenção rápida a este problema. Sinta-se à vontade para me contatar a qualquer momento pelo &lt;tel_num&gt;, ou responder a este e-mail para discussões adicionais. Aguardamos seu apoio para corrigir esse inconveniente.
Atenciosamente,
&lt;name&gt;
&lt;acc_num&gt;</t>
        </is>
      </c>
      <c r="D81" t="inlineStr">
        <is>
          <t>Gerenciamento de Incidentes</t>
        </is>
      </c>
      <c r="E81" t="inlineStr">
        <is>
          <t>Gerenciamento de Problemas</t>
        </is>
      </c>
      <c r="F81" t="inlineStr"/>
      <c r="G81" t="inlineStr"/>
      <c r="H81" t="inlineStr"/>
      <c r="I81" t="inlineStr"/>
      <c r="J81" t="inlineStr">
        <is>
          <t>Gerenciamento de Problemas</t>
        </is>
      </c>
      <c r="K81" t="inlineStr">
        <is>
          <t>Gerenciamento de Configuração de Serviço</t>
        </is>
      </c>
      <c r="L81" t="inlineStr">
        <is>
          <t>Gerenciamento de Problemas</t>
        </is>
      </c>
      <c r="M81" t="inlineStr">
        <is>
          <t>Gerenciamento de Incidentes</t>
        </is>
      </c>
    </row>
    <row r="82">
      <c r="A82" t="inlineStr">
        <is>
          <t>707</t>
        </is>
      </c>
      <c r="B82" t="inlineStr">
        <is>
          <t>Solicitação para Alterar o Processo de Administração do Servidor</t>
        </is>
      </c>
      <c r="C82" t="inlineStr">
        <is>
          <t>Caro time de Suporte de Consultoria de TI,
Espero que esta mensagem o encontre bem. Estou escrevendo para solicitar uma avaliação e alteração do nosso atual processo de administração do servidor. Acreditamos que melhorar esses protocolos resultará em operações mais eficientes e soluções de TI aprimoradas no geral. Tornar esses processos mais simples é vital para manter serviços de consultoria de alta qualidade e responder mais rapidamente às necessidades dos clientes. Por favor, nos informe sobre os próximos passos para iniciar essa mudança e aumentar nossa produtividade de forma eficaz.
Aguardando sua resposta rápida.
Obrigado.
Atenciosamente,
&lt;name&gt;</t>
        </is>
      </c>
      <c r="D82" t="inlineStr">
        <is>
          <t>Solicitação de Serviço</t>
        </is>
      </c>
      <c r="E82" t="inlineStr">
        <is>
          <t>Gerenciamento de Mudanças</t>
        </is>
      </c>
      <c r="F82" t="inlineStr"/>
      <c r="G82" t="inlineStr"/>
      <c r="H82" t="inlineStr"/>
      <c r="I82" t="inlineStr"/>
      <c r="J82" t="inlineStr">
        <is>
          <t>Melhoria Contínua</t>
        </is>
      </c>
      <c r="K82" t="inlineStr">
        <is>
          <t>Gerenciamento de Configuração de Serviço</t>
        </is>
      </c>
      <c r="L82" t="inlineStr">
        <is>
          <t>Melhoria Contínua</t>
        </is>
      </c>
      <c r="M82" t="inlineStr">
        <is>
          <t>Gerenciamento de Relacionamento</t>
        </is>
      </c>
    </row>
    <row r="83">
      <c r="A83" t="inlineStr">
        <is>
          <t>709</t>
        </is>
      </c>
      <c r="B83" t="inlineStr">
        <is>
          <t>Consulta sobre Integrações Adicionais</t>
        </is>
      </c>
      <c r="C83" t="inlineStr">
        <is>
          <t>Caro Suporte ao Cliente,
Estou entrando em contato para perguntar sobre integrações adicionais com o Jira Software para melhorar o rastreamento de projetos e a colaboração da equipe. Essas capacidades extras melhorariam significativamente nosso fluxo de trabalho, proporcionando melhor supervisão e controle. Estamos atualmente utilizando o Jira Software 8.20 e buscamos melhorias que possam oferecer opções de integração mais eficientes.
Acreditamos que funcionalidades de interação aprimoradas irão promover a produtividade entre nossa equipe. Você poderia compartilhar qualquer informação sobre integrações disponíveis ou atualizações futuras que possam atender a esses requisitos?
Agradeço pela sua atenção e assistência.
Atenciosamente,
&lt;name&gt;</t>
        </is>
      </c>
      <c r="D83" t="inlineStr">
        <is>
          <t>Solicitação de Serviço</t>
        </is>
      </c>
      <c r="E83" t="inlineStr">
        <is>
          <t>Gerenciamento de Problemas</t>
        </is>
      </c>
      <c r="F83" t="inlineStr"/>
      <c r="G83" t="inlineStr"/>
      <c r="H83" t="inlineStr"/>
      <c r="I83" t="inlineStr"/>
      <c r="J83" t="inlineStr">
        <is>
          <t>Gerenciamento de Catálogo de Serviço</t>
        </is>
      </c>
      <c r="K83" t="inlineStr">
        <is>
          <t>Gerenciamento de Relacionamento</t>
        </is>
      </c>
      <c r="L83" t="inlineStr">
        <is>
          <t>Gerenciamento de Solicitação de Serviço</t>
        </is>
      </c>
      <c r="M83" t="inlineStr">
        <is>
          <t>Não se aplica</t>
        </is>
      </c>
    </row>
    <row r="84">
      <c r="A84" t="inlineStr">
        <is>
          <t>710</t>
        </is>
      </c>
      <c r="B84" t="inlineStr">
        <is>
          <t>Solicitação de Retorno: Recurso HDR Defeituoso do Samsung QN90A</t>
        </is>
      </c>
      <c r="C84" t="inlineStr">
        <is>
          <t>Caro Suporte da Tech Online Store,
Estou escrevendo para solicitar um retorno para meu Samsung QLED QN90A devido a um recurso HDR defeituoso. O problema foi descoberto dentro do prazo de devolução. Por favor, informe os próximos passos para processar essa devolução.
Obrigado,
&lt;name&gt;
&lt;acc_num&gt;
&lt;tel_num&gt;</t>
        </is>
      </c>
      <c r="D84" t="inlineStr">
        <is>
          <t>Solicitação de Serviço</t>
        </is>
      </c>
      <c r="E84" t="inlineStr">
        <is>
          <t>Gerenciamento de Ativos de TI</t>
        </is>
      </c>
      <c r="F84" t="inlineStr"/>
      <c r="G84" t="inlineStr"/>
      <c r="H84" t="inlineStr"/>
      <c r="I84" t="inlineStr"/>
      <c r="J84" t="inlineStr">
        <is>
          <t>Gerenciamento de Fornecedor</t>
        </is>
      </c>
      <c r="K84" t="inlineStr">
        <is>
          <t>Gerenciamento de Ativos de TI</t>
        </is>
      </c>
      <c r="L84" t="inlineStr">
        <is>
          <t>Gerenciamento de Solicitação de Serviço</t>
        </is>
      </c>
      <c r="M84" t="inlineStr">
        <is>
          <t>Não se aplica</t>
        </is>
      </c>
    </row>
    <row r="85">
      <c r="A85" t="inlineStr">
        <is>
          <t>720</t>
        </is>
      </c>
      <c r="B85" t="inlineStr">
        <is>
          <t>Solicitação de detalhes sobre o plano de transição dos sistemas de TI e suporte</t>
        </is>
      </c>
      <c r="C85" t="inlineStr">
        <is>
          <t>Prezado Suporte ao Cliente de Serviços de TI,
Estou escrevendo para perguntar sobre o plano de transição solicitado para as funcionalidades administrativas de nossos sistemas de TI, com foco principalmente no suporte e otimização de servidores. Como clientes, buscamos uma visão detalhada para entender como essas melhorias, especialmente sob seu Serviço de Consultoria de TI, serão implementadas. Nossa equipe está ansiosa para garantir uma transição suave, e a orientação detalhada de seus especialistas será crucial.
Por favor, inclua quaisquer prazos relevantes, expectativas ou ações preparatórias necessárias de nossa parte. Agradecemos sua pronta resposta e conselhos especializados que nos ajudarão a alcançar o desempenho ideal do sistema.
Obrigado,
&lt;name&gt;</t>
        </is>
      </c>
      <c r="D85" t="inlineStr">
        <is>
          <t>Solicitação de Serviço</t>
        </is>
      </c>
      <c r="E85" t="inlineStr">
        <is>
          <t>Gerenciamento de Nível de Serviço</t>
        </is>
      </c>
      <c r="F85" t="inlineStr"/>
      <c r="G85" t="inlineStr"/>
      <c r="H85" t="inlineStr"/>
      <c r="I85" t="inlineStr"/>
      <c r="J85" t="inlineStr">
        <is>
          <t>Gerenciamento de Liberação</t>
        </is>
      </c>
      <c r="K85" t="inlineStr">
        <is>
          <t>Gerenciamento de Configuração de Serviço</t>
        </is>
      </c>
      <c r="L85" t="inlineStr">
        <is>
          <t>Gerenciamento de Mudanças</t>
        </is>
      </c>
      <c r="M85" t="inlineStr">
        <is>
          <t>Gerenciamento de Relacionamento</t>
        </is>
      </c>
    </row>
    <row r="86">
      <c r="A86" t="inlineStr">
        <is>
          <t>752</t>
        </is>
      </c>
      <c r="B86" t="inlineStr">
        <is>
          <t>Solicitação de Alteração de Permissões de Acesso</t>
        </is>
      </c>
      <c r="C86" t="inlineStr">
        <is>
          <t>Caro Time de Suporte ao Cliente, Espero que esta mensagem o encontre bem. Atualmente usamos o Jira Software 8.20 para gerenciar nossos projetos e melhorar a colaboração da equipe. No entanto, estamos enfrentando desafios devido às permissões de acesso atuais, que limitam nossa eficiência de forma significativa. Portanto, solicito gentilmente uma revisão e possível alteração das permissões de acesso para melhor alinhar com nossas necessidades de gerenciamento de projetos. Você poderia nos informar como podemos prosseguir com esta solicitação? Sua assistência com este assunto é muito apreciada. Obrigado pela sua pronta atenção a este pedido. Atenciosamente, &lt;name&gt;</t>
        </is>
      </c>
      <c r="D86" t="inlineStr">
        <is>
          <t>Solicitação de Serviço</t>
        </is>
      </c>
      <c r="E86" t="inlineStr">
        <is>
          <t>Gerenciamento de Acesso</t>
        </is>
      </c>
      <c r="F86" t="inlineStr"/>
      <c r="G86" t="inlineStr"/>
      <c r="H86" t="inlineStr"/>
      <c r="I86" t="inlineStr"/>
      <c r="J86" t="inlineStr">
        <is>
          <t>Gerenciamento de Segurança da Informação</t>
        </is>
      </c>
      <c r="K86" t="inlineStr">
        <is>
          <t>Gerenciamento de Configuração de Serviço</t>
        </is>
      </c>
      <c r="L86" t="inlineStr">
        <is>
          <t>Gerenciamento de Solicitação de Serviço</t>
        </is>
      </c>
      <c r="M86" t="inlineStr">
        <is>
          <t>Não se aplica</t>
        </is>
      </c>
    </row>
    <row r="87">
      <c r="A87" t="inlineStr">
        <is>
          <t>756</t>
        </is>
      </c>
      <c r="B87" t="inlineStr">
        <is>
          <t>Solicitação de Devolução: Problema de Vazamento no Tanque de Tinta</t>
        </is>
      </c>
      <c r="C87" t="inlineStr">
        <is>
          <t>Prezado Atendimento ao Cliente,
Estou escrevendo para solicitar a devolução da impressora Epson EcoTank ET-4760, que comprei recentemente em sua loja online. Infelizmente, durante a configuração inicial da impressora, experimentei um vazamento do tanque de tinta, causando considerável inconveniência.
Os detalhes do produto são os seguintes:
- Produto: Epson EcoTank ET-4760
- Número do Pedido: &lt;order_number&gt;
Segui todos os passos de solução de problemas descritos no manual, mas o problema persiste. Agradeceria uma assistência urgente para processar a devolução e receber uma substituição ou reembolso.
Por favor, entre em contato comigo assim que possível em &lt;tel_num&gt;. Obrigado pela sua rápida atenção a este assunto.
Atenciosamente,
&lt;name&gt;</t>
        </is>
      </c>
      <c r="D87" t="inlineStr">
        <is>
          <t>Solicitação de Serviço</t>
        </is>
      </c>
      <c r="E87" t="inlineStr">
        <is>
          <t>Gerenciamento de Ativos de TI</t>
        </is>
      </c>
      <c r="F87" t="inlineStr"/>
      <c r="G87" t="inlineStr"/>
      <c r="H87" t="inlineStr"/>
      <c r="I87" t="inlineStr"/>
      <c r="J87" t="inlineStr">
        <is>
          <t>Gerenciamento de Fornecedor</t>
        </is>
      </c>
      <c r="K87" t="inlineStr">
        <is>
          <t>Gerenciamento de Ativos de TI</t>
        </is>
      </c>
      <c r="L87" t="inlineStr">
        <is>
          <t>Gerenciamento de Solicitação de Serviço</t>
        </is>
      </c>
      <c r="M87" t="inlineStr">
        <is>
          <t>Não se aplica</t>
        </is>
      </c>
    </row>
    <row r="88">
      <c r="A88" t="inlineStr">
        <is>
          <t>757</t>
        </is>
      </c>
      <c r="B88" t="inlineStr">
        <is>
          <t>Urgente: Problema com Dell XPS 13 9310</t>
        </is>
      </c>
      <c r="C88" t="inlineStr">
        <is>
          <t>Caro Suporte da Loja Online Tech,
Estou enfrentando um problema com meu Dell XPS 13 9310, que às vezes congela e interrompe meu fluxo de trabalho. Você poderia me ajudar a diagnosticar e resolver esse problema?
Obrigado,
&lt;name&gt;
Número da Conta: &lt;acc_num&gt;
Telefone: &lt;tel_num&gt;</t>
        </is>
      </c>
      <c r="D88" t="inlineStr">
        <is>
          <t>Gerenciamento de Incidentes</t>
        </is>
      </c>
      <c r="E88" t="inlineStr">
        <is>
          <t>Gerenciamento de Problemas</t>
        </is>
      </c>
      <c r="F88" t="inlineStr"/>
      <c r="G88" t="inlineStr"/>
      <c r="H88" t="inlineStr"/>
      <c r="I88" t="inlineStr"/>
      <c r="J88" t="inlineStr">
        <is>
          <t>Gerenciamento de Problemas</t>
        </is>
      </c>
      <c r="K88" t="inlineStr">
        <is>
          <t>Gerenciamento de Capacidade e Desempenho</t>
        </is>
      </c>
      <c r="L88" t="inlineStr">
        <is>
          <t>Gerenciamento de Incidentes</t>
        </is>
      </c>
      <c r="M88" t="inlineStr">
        <is>
          <t>Gerenciamento de Problemas</t>
        </is>
      </c>
    </row>
    <row r="89">
      <c r="A89" t="inlineStr">
        <is>
          <t>764</t>
        </is>
      </c>
      <c r="B89" t="inlineStr">
        <is>
          <t>Pedido de Devolução para Compra do MacBook Air M1</t>
        </is>
      </c>
      <c r="C89" t="inlineStr">
        <is>
          <t>Caro Suporte ao Cliente,
Espero que esta mensagem o encontre bem. Recentemente, comprei um MacBook Air M1 na sua loja online e meu pedido chegou há alguns dias. O número do pedido associado a esta compra é &lt;acc_num&gt;. Embora a transação tenha sido tranquila e o produto tenha chegado no prazo, estou reconsiderando minha decisão e estou enfrentando arrependimento de comprador.
A embalagem do MacBook Air M1 permanece fechada, pois ainda não o usei desde a entrega. Decidi não mantê-lo e gostaria de explorar outras opções que possam se adequar melhor às minhas necessidades atuais. De acordo com a política de devolução da sua loja, entendo que as devoluções podem ser feitas dentro de 30 dias após a compra, desde que o produto esteja em sua condição original e não tenha sido aberto.
Agradeceria sua orientação sobre como proceder com esta devolução. Você poderia, por favor, fornecer instruções detalhadas sobre o processo de devolução, incluindo quaisquer etiquetas ou formulários necessários que eu possa precisar e prazos que devo cumprir para garantir que a devolução seja bem-sucedida?
Obrigado pela sua assistência.
Atenciosamente,
&lt;name&gt;
&lt;name&gt; &lt;tel_num&gt;</t>
        </is>
      </c>
      <c r="D89" t="inlineStr">
        <is>
          <t>Solicitação de Serviço</t>
        </is>
      </c>
      <c r="E89" t="inlineStr">
        <is>
          <t>Gerenciamento de Ativos de TI</t>
        </is>
      </c>
      <c r="F89" t="inlineStr"/>
      <c r="G89" t="inlineStr"/>
      <c r="H89" t="inlineStr"/>
      <c r="I89" t="inlineStr"/>
      <c r="J89" t="inlineStr">
        <is>
          <t>Gerenciamento de Relacionamento</t>
        </is>
      </c>
      <c r="K89" t="inlineStr">
        <is>
          <t>Gerenciamento de Requisição de Serviço</t>
        </is>
      </c>
      <c r="L89" t="inlineStr">
        <is>
          <t>Gerenciamento de Solicitação de Serviço</t>
        </is>
      </c>
      <c r="M89" t="inlineStr">
        <is>
          <t>Não se aplica</t>
        </is>
      </c>
    </row>
    <row r="90">
      <c r="A90" t="inlineStr">
        <is>
          <t>768</t>
        </is>
      </c>
      <c r="B90" t="inlineStr">
        <is>
          <t>Urgente: Bug Grave no Sistema de Tickets</t>
        </is>
      </c>
      <c r="C90" t="inlineStr">
        <is>
          <t>Caro Suporte ao Cliente,
Estamos enfrentando interrupções significativas no fluxo de trabalho em nosso gerenciamento de projetos devido a um bug grave no sistema de tickets Jira Software 8.20. Este problema requer sua atenção imediata para solução e resolução. Por favor, forneça uma atualização na primeira oportunidade, pois isso impacta severamente nossas operações diárias.
Por favor, priorize este pedido.
Obrigado.
Atenciosamente,
&lt;name&gt;</t>
        </is>
      </c>
      <c r="D90" t="inlineStr">
        <is>
          <t>Gerenciamento de Incidentes</t>
        </is>
      </c>
      <c r="E90" t="inlineStr">
        <is>
          <t>Gerenciamento de Problemas</t>
        </is>
      </c>
      <c r="F90" t="inlineStr"/>
      <c r="G90" t="inlineStr"/>
      <c r="H90" t="inlineStr"/>
      <c r="I90" t="inlineStr"/>
      <c r="J90" t="inlineStr">
        <is>
          <t>Gerenciamento de Problemas</t>
        </is>
      </c>
      <c r="K90" t="inlineStr">
        <is>
          <t>Gerenciamento de Liberação</t>
        </is>
      </c>
      <c r="L90" t="inlineStr">
        <is>
          <t>Gerenciamento de Problemas</t>
        </is>
      </c>
      <c r="M90" t="inlineStr">
        <is>
          <t>Gerenciamento de Incidentes</t>
        </is>
      </c>
    </row>
    <row r="91">
      <c r="A91" t="inlineStr">
        <is>
          <t>783</t>
        </is>
      </c>
      <c r="B91" t="inlineStr">
        <is>
          <t>Problemas de Conectividade</t>
        </is>
      </c>
      <c r="C91" t="inlineStr">
        <is>
          <t>Caro Suporte da Loja Online de Tecnologia, estou tendo problemas para configurar minha HP DeskJet 3755. A conectividade sem fio está problemática. Você poderia me ajudar com a configuração? Obrigado, &lt;name&gt;, &lt;acc_num&gt;.</t>
        </is>
      </c>
      <c r="D91" t="inlineStr">
        <is>
          <t>Solicitação de Serviço</t>
        </is>
      </c>
      <c r="E91" t="inlineStr">
        <is>
          <t>Gerenciamento de Incidentes</t>
        </is>
      </c>
      <c r="F91" t="inlineStr"/>
      <c r="G91" t="inlineStr"/>
      <c r="H91" t="inlineStr"/>
      <c r="I91" t="inlineStr"/>
      <c r="J91" t="inlineStr">
        <is>
          <t>Gerenciamento de Configuração de Serviço</t>
        </is>
      </c>
      <c r="K91" t="inlineStr">
        <is>
          <t>Gerenciamento de Catálogo de Serviço</t>
        </is>
      </c>
      <c r="L91" t="inlineStr">
        <is>
          <t>Gerenciamento de Solicitação de Serviço</t>
        </is>
      </c>
      <c r="M91" t="inlineStr">
        <is>
          <t>Não se aplica</t>
        </is>
      </c>
    </row>
    <row r="92">
      <c r="A92" t="inlineStr">
        <is>
          <t>787</t>
        </is>
      </c>
      <c r="B92" t="inlineStr">
        <is>
          <t>Quedas frequentes de áudio durante videochamadas</t>
        </is>
      </c>
      <c r="C92" t="inlineStr">
        <is>
          <t>Caro equipe de suporte de TI, estou enfrentando quedas frequentes de áudio durante minhas videochamadas, apesar de ter condições de rede estáveis. Este problema persiste especificamente com a versão 5.11.0 do Zoom. Meu número de conta é &lt;acc_num&gt;. Você poderia me ajudar a resolver esse problema contínuo? Sinta-se à vontade para me contatar a qualquer momento no &lt;tel_num&gt;. Sua atenção urgente a este assunto seria muito apreciada. Obrigado, &lt;name&gt;.</t>
        </is>
      </c>
      <c r="D92" t="inlineStr">
        <is>
          <t>Gerenciamento de Incidentes</t>
        </is>
      </c>
      <c r="E92" t="inlineStr">
        <is>
          <t>Gerenciamento de Problemas</t>
        </is>
      </c>
      <c r="F92" t="inlineStr"/>
      <c r="G92" t="inlineStr"/>
      <c r="H92" t="inlineStr"/>
      <c r="I92" t="inlineStr"/>
      <c r="J92" t="inlineStr">
        <is>
          <t>Gerenciamento de Problemas</t>
        </is>
      </c>
      <c r="K92" t="inlineStr">
        <is>
          <t>Gerenciamento de Liberação</t>
        </is>
      </c>
      <c r="L92" t="inlineStr"/>
      <c r="M92" t="inlineStr"/>
    </row>
    <row r="93">
      <c r="A93" t="inlineStr">
        <is>
          <t>788</t>
        </is>
      </c>
      <c r="B93" t="inlineStr">
        <is>
          <t>Problema com o Microsoft Surface Pro 7</t>
        </is>
      </c>
      <c r="C93" t="inlineStr">
        <is>
          <t>Caro Suporte ao Cliente,
Estou enfrentando um problema com meu Microsoft Surface Pro 7, onde a tela sensível ao toque ocasionalmente fica sem resposta. Essa interrupção está afetando significativamente minha produtividade no trabalho. Agradeceria assistência para resolver esta questão. Obrigado pela sua atenção e apoio.
Atenciosamente,
&lt;name&gt;
&lt;acc_num&gt;</t>
        </is>
      </c>
      <c r="D93" t="inlineStr">
        <is>
          <t>Gerenciamento de Incidentes</t>
        </is>
      </c>
      <c r="E93" t="inlineStr">
        <is>
          <t>Gerenciamento de Problemas</t>
        </is>
      </c>
      <c r="F93" t="inlineStr"/>
      <c r="G93" t="inlineStr"/>
      <c r="H93" t="inlineStr"/>
      <c r="I93" t="inlineStr"/>
      <c r="J93" t="inlineStr">
        <is>
          <t>Gerenciamento de Problemas</t>
        </is>
      </c>
      <c r="K93" t="inlineStr">
        <is>
          <t>Gerenciamento de Configuração de Serviço</t>
        </is>
      </c>
      <c r="L93" t="inlineStr">
        <is>
          <t>Gerenciamento de Incidentes</t>
        </is>
      </c>
      <c r="M93" t="inlineStr">
        <is>
          <t>Gerenciamento de Ativos de TI</t>
        </is>
      </c>
    </row>
    <row r="94">
      <c r="A94" t="inlineStr">
        <is>
          <t>794</t>
        </is>
      </c>
      <c r="B94" t="inlineStr">
        <is>
          <t>Problema de Desempenho do Navegador</t>
        </is>
      </c>
      <c r="C94" t="inlineStr">
        <is>
          <t>Caro Suporte ao Cliente,
Espero que este e-mail o encontre bem. Estou escrevendo para expressar minha preocupação em relação a um problema com o Google Chrome versão 102.0. Parece que toda vez que tento abrir várias abas simultaneamente, o navegador trava de forma inesperada. Esse problema impacta significativamente meu fluxo de trabalho e, pelo que gather, muitos outros usuários estão enfrentando dificuldades semelhantes. Agradeceria muito qualquer orientação ou solução que você pudesse fornecer para resolver essa questão da maneira mais eficiente possível. Obrigado pela sua atenção a este problema urgente.
Atenciosamente,
&lt;name&gt;</t>
        </is>
      </c>
      <c r="D94" t="inlineStr">
        <is>
          <t>Gerenciamento de Incidentes</t>
        </is>
      </c>
      <c r="E94" t="inlineStr">
        <is>
          <t>Gerenciamento de Problemas</t>
        </is>
      </c>
      <c r="F94" t="inlineStr"/>
      <c r="G94" t="inlineStr"/>
      <c r="H94" t="inlineStr"/>
      <c r="I94" t="inlineStr"/>
      <c r="J94" t="inlineStr">
        <is>
          <t>Gerenciamento de Problemas</t>
        </is>
      </c>
      <c r="K94" t="inlineStr">
        <is>
          <t>Gerenciamento de Capacidade e Desempenho</t>
        </is>
      </c>
      <c r="L94" t="inlineStr">
        <is>
          <t>Gerenciamento de Problemas</t>
        </is>
      </c>
      <c r="M94" t="inlineStr">
        <is>
          <t>Gerenciamento de Incidentes</t>
        </is>
      </c>
    </row>
    <row r="95">
      <c r="A95" t="inlineStr">
        <is>
          <t>800</t>
        </is>
      </c>
      <c r="B95" t="inlineStr">
        <is>
          <t>Assistência Necessária para Configuração da Impressora Canon</t>
        </is>
      </c>
      <c r="C95" t="inlineStr">
        <is>
          <t>Olá Suporte da Loja Online Tech,
Estou tendo dificuldade em configurar a conectividade sem fio para a minha impressora Canon PIXMA MG3620. Apesar de seguir as instruções fornecidas, ela não consegue se conectar à minha rede doméstica. Você poderia me oferecer orientações para resolver esse problema? Além disso, qualquer passo de solução de problemas ou recursos que você puder fornecer seriam muito apreciados.
Obrigado pela sua assistência.
Atenciosamente,
&lt;name&gt;</t>
        </is>
      </c>
      <c r="D95" t="inlineStr">
        <is>
          <t>Solicitação de Serviço</t>
        </is>
      </c>
      <c r="E95" t="inlineStr">
        <is>
          <t>Gerenciamento de Incidentes</t>
        </is>
      </c>
      <c r="F95" t="inlineStr"/>
      <c r="G95" t="inlineStr"/>
      <c r="H95" t="inlineStr"/>
      <c r="I95" t="inlineStr"/>
      <c r="J95" t="inlineStr">
        <is>
          <t>Gerenciamento de Requisição de Serviço</t>
        </is>
      </c>
      <c r="K95" t="inlineStr">
        <is>
          <t>Gerenciamento de Catálogo de Serviço</t>
        </is>
      </c>
      <c r="L95" t="inlineStr">
        <is>
          <t>Gerenciamento de Incidentes</t>
        </is>
      </c>
      <c r="M95" t="inlineStr">
        <is>
          <t>Gerenciamento de Nível de Serviço</t>
        </is>
      </c>
    </row>
    <row r="96">
      <c r="A96" t="inlineStr">
        <is>
          <t>801</t>
        </is>
      </c>
      <c r="B96" t="inlineStr">
        <is>
          <t>Problema de Tela Preta com LG OLED C1</t>
        </is>
      </c>
      <c r="C96" t="inlineStr">
        <is>
          <t>Caro Suporte ao Cliente,  
Estou escrevendo para relatar um problema com minha LG OLED C1, que comprei recentemente. Após a configuração inicial, a TV exibiu uma tela preta, e as tentativas de solucioná-la foram malsucedidas. O modelo é uma Tela OLED, Smart TV, 4K, Dolby Vision. Por favor, informe como esse problema pode ser resolvido ou se uma substituição é necessária. Aguardo sua resposta rápida para resolver esta situação inconveniente.  
Atenciosamente,  
&lt;name&gt;  
&lt;tel_num&gt;  
&lt;acc_num&gt;</t>
        </is>
      </c>
      <c r="D96" t="inlineStr">
        <is>
          <t>Gerenciamento de Incidentes</t>
        </is>
      </c>
      <c r="E96" t="inlineStr">
        <is>
          <t>Gerenciamento de Ativos de TI</t>
        </is>
      </c>
      <c r="F96" t="inlineStr"/>
      <c r="G96" t="inlineStr"/>
      <c r="H96" t="inlineStr"/>
      <c r="I96" t="inlineStr"/>
      <c r="J96" t="inlineStr">
        <is>
          <t>Gerenciamento de Incidentes</t>
        </is>
      </c>
      <c r="K96" t="inlineStr">
        <is>
          <t>Gerenciamento de Ativos de TI</t>
        </is>
      </c>
      <c r="L96" t="inlineStr">
        <is>
          <t>Gerenciamento de Incidentes</t>
        </is>
      </c>
      <c r="M96" t="inlineStr">
        <is>
          <t>Gerenciamento de Ativos de TI</t>
        </is>
      </c>
    </row>
    <row r="97">
      <c r="A97" t="inlineStr">
        <is>
          <t>807</t>
        </is>
      </c>
      <c r="B97" t="inlineStr">
        <is>
          <t>Assistência Técnica Necessária para Surface Pro 7 Touchscreen</t>
        </is>
      </c>
      <c r="C97" t="inlineStr">
        <is>
          <t>Caro Suporte ao Cliente da Tech Online Store, Espero que esta mensagem o encontre bem. Estou escrevendo para buscar assistência em relação a um problema que estou enfrentando com meu Microsoft Surface Pro 7. Recentemente, a tela sensível ao toque tornou-se não responsiva, impactando severamente minha capacidade de usar o dispositivo de forma eficaz. Revisei os passos de solução de problemas em seu site, mas não consegui resolver o problema. Como o dispositivo é crucial para minhas tarefas diárias, estou ansioso para resolver isso o mais rápido possível. Comprei o dispositivo através de sua loja e ele tem funcionado bem até este problema recente surgir. Assim, suspeito que possa precisar de avaliação ou reparo profissional. Você poderia, por favor, nos orientar sobre os próximos passos para obter suporte técnico para este problema? Além disso, quaisquer detalhes sobre cobertura de garantia ou serviços de reparo disponíveis seriam muito apreciados. Se houver métodos ou verificações de solução de problemas que eu possa ter negligenciado, gentilmente compartilhe-os. Obrigado pela sua atenção a este assunto. Espero ouvir de você em breve com orientações sobre como proceder para garantir que meu Surface Pro 7 esteja operando como esperado. Atenciosamente, &lt;name&gt; &lt;tel_num&gt; &lt;acc_num&gt;</t>
        </is>
      </c>
      <c r="D97" t="inlineStr">
        <is>
          <t>Gerenciamento de Incidentes</t>
        </is>
      </c>
      <c r="E97" t="inlineStr">
        <is>
          <t>Gerenciamento de Ativos de TI</t>
        </is>
      </c>
      <c r="F97" t="inlineStr"/>
      <c r="G97" t="inlineStr"/>
      <c r="H97" t="inlineStr"/>
      <c r="I97" t="inlineStr"/>
      <c r="J97" t="inlineStr">
        <is>
          <t>Gerenciamento de Problemas</t>
        </is>
      </c>
      <c r="K97" t="inlineStr">
        <is>
          <t>Gerenciamento de Ativos de TI</t>
        </is>
      </c>
      <c r="L97" t="inlineStr"/>
      <c r="M97" t="inlineStr"/>
    </row>
    <row r="98">
      <c r="A98" t="inlineStr">
        <is>
          <t>824</t>
        </is>
      </c>
      <c r="B98" t="inlineStr">
        <is>
          <t>Resolução Urgente Necessária: Cobrança Incorreta para o Plano Google Workspace</t>
        </is>
      </c>
      <c r="C98" t="inlineStr">
        <is>
          <t>Caro Suporte ao Cliente,
Espero que esta mensagem o encontre bem. Estou escrevendo para tratar de um problema de cobrança na minha conta, &lt;acc_num&gt;. Fui cobrando erroneamente pelo plano Google Workspace Business Standard. Por gentileza, revise minha fatura recente e restitua a diferença assim que possível. Por favor, entre em contato comigo se detalhes adicionais forem necessários.
Aguardando sua resposta rápida,
&lt;name&gt;
&lt;tel_num&gt;
Obrigado pela sua atenção imediata a este assunto.</t>
        </is>
      </c>
      <c r="D98" t="inlineStr">
        <is>
          <t>Gerenciamento Financeiro</t>
        </is>
      </c>
      <c r="E98" t="inlineStr">
        <is>
          <t>Gerenciamento de Incidentes</t>
        </is>
      </c>
      <c r="F98" t="inlineStr"/>
      <c r="G98" t="inlineStr"/>
      <c r="H98" t="inlineStr"/>
      <c r="I98" t="inlineStr"/>
      <c r="J98" t="inlineStr">
        <is>
          <t>Gerenciamento Financeiro de Serviços</t>
        </is>
      </c>
      <c r="K98" t="inlineStr">
        <is>
          <t>Gerenciamento de Relacionamento</t>
        </is>
      </c>
      <c r="L98" t="inlineStr">
        <is>
          <t>Gerenciamento de Requisições de Serviço</t>
        </is>
      </c>
      <c r="M98" t="inlineStr">
        <is>
          <t>Gerenciamento Financeiro de TI</t>
        </is>
      </c>
    </row>
    <row r="99">
      <c r="A99" t="inlineStr">
        <is>
          <t>825</t>
        </is>
      </c>
      <c r="B99" t="inlineStr">
        <is>
          <t>Consulta Sobre Consultoria de TI</t>
        </is>
      </c>
      <c r="C99" t="inlineStr">
        <is>
          <t>Caro Suporte ao Cliente de Serviços de TI,
Estou escrevendo para perguntar sobre as ofertas de Serviços de Consultoria de TI e como elas podem beneficiar minhas necessidades gerais de negócios. Especificamente, gostaria de entender mais sobre a gama de serviços que vocês oferecem na área de Consultoria de TI e como esses podem ser ajustados para melhorar as operações da minha empresa. Seria útil obter informações detalhadas sobre sua abordagem para integrar soluções tecnológicas e qualquer caso de sucesso que demonstre melhorias tangíveis nos negócios.
Além disso, por favor, forneça insights sobre as estruturas de custo e como o valor do seu serviço justifica o investimento. Qualquer brochura ou recurso que você puder compartilhar seria muito apreciado.
Obrigado pela sua assistência.
Atenciosamente,
&lt;name&gt;
&lt;acc_num&gt;</t>
        </is>
      </c>
      <c r="D99" t="inlineStr">
        <is>
          <t>Solicitação de Serviço</t>
        </is>
      </c>
      <c r="E99" t="inlineStr">
        <is>
          <t>Gerenciamento de Nível de Serviço</t>
        </is>
      </c>
      <c r="F99" t="inlineStr"/>
      <c r="G99" t="inlineStr"/>
      <c r="H99" t="inlineStr"/>
      <c r="I99" t="inlineStr"/>
      <c r="J99" t="inlineStr">
        <is>
          <t>Gerenciamento de Relacionamento</t>
        </is>
      </c>
      <c r="K99" t="inlineStr">
        <is>
          <t>Gerenciamento de Catálogo de Serviço</t>
        </is>
      </c>
      <c r="L99" t="inlineStr">
        <is>
          <t>Gerenciamento de Requisições de Serviço</t>
        </is>
      </c>
      <c r="M99" t="inlineStr">
        <is>
          <t>Não se aplica</t>
        </is>
      </c>
    </row>
    <row r="100">
      <c r="A100" t="inlineStr">
        <is>
          <t>830</t>
        </is>
      </c>
      <c r="B100" t="inlineStr">
        <is>
          <t>Urgente: Atrasos na Resposta no Serviço de Consultoria em TI</t>
        </is>
      </c>
      <c r="C100" t="inlineStr">
        <is>
          <t>Caro Suporte ao Cliente,
Espero que esta mensagem o encontre bem. Estou escrevendo para chamar sua atenção para um problema que estamos enfrentando atualmente com o Serviço de Consultoria em TI fornecido por sua empresa. Tem havido atrasos perceptíveis nos tempos de resposta que estão afetando significativamente nossas operações. Nossa equipe tem confiado nesses serviços para uma implementação eficiente de projetos, e os longos tempos de espera estão afetando nossa produtividade e satisfação do cliente.
Você pode, por favor, iniciar uma investigação para entender a causa raiz desses atrasos e nos fornecer um cronograma estimado para quando podemos esperar resoluções ou melhorias? Valorizamos a experiência e o suporte de sua equipe e entendemos que atrasos ocasionais podem ocorrer, mas a comunicação e resolução em tempo hábil são cruciais para manter nossos cronogramas de projeto.
Obrigado pela sua rápida atenção a este assunto.
Atenciosamente,
&lt;name&gt;
&lt;acc_num&gt;
&lt;tel_num&gt;</t>
        </is>
      </c>
      <c r="D100" t="inlineStr">
        <is>
          <t>Gerenciamento de Nível de Serviço</t>
        </is>
      </c>
      <c r="E100" t="inlineStr">
        <is>
          <t>Gerenciamento de Incidentes</t>
        </is>
      </c>
      <c r="F100" t="inlineStr"/>
      <c r="G100" t="inlineStr"/>
      <c r="H100" t="inlineStr"/>
      <c r="I100" t="inlineStr"/>
      <c r="J100" t="inlineStr">
        <is>
          <t>Gerenciamento de Nível de Serviço</t>
        </is>
      </c>
      <c r="K100" t="inlineStr">
        <is>
          <t>Gerenciamento de Problemas</t>
        </is>
      </c>
      <c r="L100" t="inlineStr">
        <is>
          <t>Gerenciamento de Nível de Serviço</t>
        </is>
      </c>
      <c r="M100" t="inlineStr">
        <is>
          <t>Gerenciamento de Incidentes</t>
        </is>
      </c>
    </row>
    <row r="101">
      <c r="A101" t="inlineStr">
        <is>
          <t>837</t>
        </is>
      </c>
      <c r="B101" t="inlineStr">
        <is>
          <t>Assistência para Solicitação de Migração</t>
        </is>
      </c>
      <c r="C101" t="inlineStr">
        <is>
          <t>Caro Suporte ao Cliente,
Nosso cliente, &lt;name&gt;, busca assistência na migração de suas contas gratuitas do Gmail para o Google Workspace Business Standard. É essencial garantir a retenção de dados durante esse processo. Cuidar e oferecer suporte adequado durante essa transição será apreciado. Nós delineamos todos os passos necessários, mas precisamos de sua ajuda especializada para manter a integridade dos dados e proporcionar uma experiência do usuário suave. Por favor, aconselhe sobre as melhores práticas a serem seguidas e o cronograma esperado. Você pode me contatar diretamente pelo &lt;tel_num&gt; para mais detalhes. Agradecemos sua atenção a este assunto.
Atenciosamente,
&lt;name&gt;</t>
        </is>
      </c>
      <c r="D101" t="inlineStr">
        <is>
          <t>Solicitação de Serviço</t>
        </is>
      </c>
      <c r="E101" t="inlineStr">
        <is>
          <t>Gerenciamento de Mudanças</t>
        </is>
      </c>
      <c r="F101" t="inlineStr"/>
      <c r="G101" t="inlineStr"/>
      <c r="H101" t="inlineStr"/>
      <c r="I101" t="inlineStr"/>
      <c r="J101" t="inlineStr">
        <is>
          <t>Gerenciamento de Requisição de Serviço</t>
        </is>
      </c>
      <c r="K101" t="inlineStr">
        <is>
          <t>Habilitação de Mudança</t>
        </is>
      </c>
      <c r="L101" t="inlineStr">
        <is>
          <t>Gerenciamento de Requisições de Serviço</t>
        </is>
      </c>
      <c r="M101" t="inlineStr">
        <is>
          <t>Gerenciamento de Mudanças</t>
        </is>
      </c>
    </row>
    <row r="102">
      <c r="A102" t="inlineStr">
        <is>
          <t>852</t>
        </is>
      </c>
      <c r="B102" t="inlineStr">
        <is>
          <t>Assistência Necessária para Problema de Atualização do macOS</t>
        </is>
      </c>
      <c r="C102" t="inlineStr">
        <is>
          <t>Prezado Suporte da Loja Online de Tecnologia,
Espero que esta mensagem o encontre bem. Estou entrando em contato para solicitar assistência com a atualização do macOS no meu MacBook Air M1 devido a problemas de desempenho lento. Tentei o processo de atualização várias vezes sem sucesso. O modelo do produto é MacBook Air M1, e acredito que uma atualização possa resolver os problemas de desempenho em andamento. Você poderia me guiar através dos passos necessários ou fornecer mais informações para ajudar a resolver este problema? Aguardo sua resposta pronta.
Muito obrigado.
Atenciosamente,
&lt;name&gt;</t>
        </is>
      </c>
      <c r="D102" t="inlineStr">
        <is>
          <t>Solicitação de Serviço</t>
        </is>
      </c>
      <c r="E102" t="inlineStr">
        <is>
          <t>Gerenciamento de Incidentes</t>
        </is>
      </c>
      <c r="F102" t="inlineStr"/>
      <c r="G102" t="inlineStr"/>
      <c r="H102" t="inlineStr"/>
      <c r="I102" t="inlineStr"/>
      <c r="J102" t="inlineStr">
        <is>
          <t>Gerenciamento de Problemas</t>
        </is>
      </c>
      <c r="K102" t="inlineStr">
        <is>
          <t>Gerenciamento de Capacidade e Desempenho</t>
        </is>
      </c>
      <c r="L102" t="inlineStr">
        <is>
          <t>Gerenciamento de Mudanças</t>
        </is>
      </c>
      <c r="M102" t="inlineStr">
        <is>
          <t>Gerenciamento de Incidentes</t>
        </is>
      </c>
    </row>
    <row r="103">
      <c r="A103" t="inlineStr">
        <is>
          <t>863</t>
        </is>
      </c>
      <c r="B103" t="inlineStr">
        <is>
          <t>Erro Código 502 Frequente no Acesso à Plataforma Jira</t>
        </is>
      </c>
      <c r="C103" t="inlineStr">
        <is>
          <t>Caro Suporte de Serviços de TI,
Espero que esta mensagem o encontre bem. Estou escrevendo para informar sobre um problema em andamento onde não consigo acessar a plataforma Jira enquanto encontro regularmente um erro código 502. Isso está impactando significativamente nossas capacidades de gestão de projeto. Nossa equipe depende do Jira Software 8.20 para acompanhar o progresso e coordenar tarefas de forma eficiente. O erro persistente interrompe nosso fluxo de trabalho, levando a atrasos.
Você pode nos ajudar a resolver esta questão o mais rápido possível? Entendemos que falhas técnicas ocorrem, mas uma solução rápida será extremamente apreciada. Obrigado pela sua atenção e suporte.
Aguardando sua resposta rápida.
Atenciosamente,
&lt;name&gt;
&lt;acc_num&gt;
&lt;tel_num&gt;</t>
        </is>
      </c>
      <c r="D103" t="inlineStr">
        <is>
          <t>Gerenciamento de Incidentes</t>
        </is>
      </c>
      <c r="E103" t="inlineStr">
        <is>
          <t>Gerenciamento de Disponibilidade</t>
        </is>
      </c>
      <c r="F103" t="inlineStr"/>
      <c r="G103" t="inlineStr"/>
      <c r="H103" t="inlineStr"/>
      <c r="I103" t="inlineStr"/>
      <c r="J103" t="inlineStr">
        <is>
          <t>Gerenciamento de Disponibilidade</t>
        </is>
      </c>
      <c r="K103" t="inlineStr">
        <is>
          <t>Gerenciamento de Incidentes</t>
        </is>
      </c>
      <c r="L103" t="inlineStr"/>
      <c r="M103" t="inlineStr"/>
    </row>
    <row r="104">
      <c r="A104" t="inlineStr">
        <is>
          <t>866</t>
        </is>
      </c>
      <c r="B104" t="inlineStr">
        <is>
          <t>Consulta sobre a disponibilidade do MacBook Air M1</t>
        </is>
      </c>
      <c r="C104" t="inlineStr">
        <is>
          <t>Caro Suporte ao Cliente,
Espero que esta mensagem o encontre bem. Gostaria de saber sobre a disponibilidade e o preço atual do MacBook Air M1 em sua loja online. Você poderia me informar se está em estoque e fornecer informações sobre quaisquer promoções ou descontos em andamento? Além disso, tenho algumas perguntas sobre os prazos e opções de envio. Sua resposta rápida seria muito apreciada, pois estou ansioso para fazer uma compra em breve.
Obrigado pela sua assistência.
Atenciosamente,
&lt;name&gt;</t>
        </is>
      </c>
      <c r="D104" t="inlineStr">
        <is>
          <t>Solicitação de Serviço</t>
        </is>
      </c>
      <c r="E104" t="inlineStr">
        <is>
          <t>Gerenciamento de Ativos de TI</t>
        </is>
      </c>
      <c r="F104" t="inlineStr"/>
      <c r="G104" t="inlineStr"/>
      <c r="H104" t="inlineStr"/>
      <c r="I104" t="inlineStr"/>
      <c r="J104" t="inlineStr">
        <is>
          <t>Gerenciamento de Catálogo de Serviço</t>
        </is>
      </c>
      <c r="K104" t="inlineStr">
        <is>
          <t>Gerenciamento de Relacionamento</t>
        </is>
      </c>
      <c r="L104" t="inlineStr">
        <is>
          <t>Gerenciamento de Requisições de Serviço</t>
        </is>
      </c>
      <c r="M104" t="inlineStr">
        <is>
          <t>Não se aplica</t>
        </is>
      </c>
    </row>
    <row r="105">
      <c r="A105" t="inlineStr">
        <is>
          <t>872</t>
        </is>
      </c>
      <c r="B105" t="inlineStr">
        <is>
          <t>Problema com a Cobrança do Office 365</t>
        </is>
      </c>
      <c r="C105" t="inlineStr">
        <is>
          <t>Prezado Suporte ao Cliente, estou enfrentando um problema com a renovação automática da minha assinatura do Office 365. Apesar do pagamento ter sido processado, estou recebendo erros de confirmação. Por favor, ajudem a resolver este problema o mais rápido possível. Meu número de conta é &lt;acc_num&gt;. Obrigado, &lt;name&gt;.</t>
        </is>
      </c>
      <c r="D105" t="inlineStr">
        <is>
          <t>Gerenciamento Financeiro</t>
        </is>
      </c>
      <c r="E105" t="inlineStr">
        <is>
          <t>Gerenciamento de Incidentes</t>
        </is>
      </c>
      <c r="F105" t="inlineStr"/>
      <c r="G105" t="inlineStr"/>
      <c r="H105" t="inlineStr"/>
      <c r="I105" t="inlineStr"/>
      <c r="J105" t="inlineStr">
        <is>
          <t>Gerenciamento Financeiro de Serviços</t>
        </is>
      </c>
      <c r="K105" t="inlineStr">
        <is>
          <t>Gerenciamento de Incidentes</t>
        </is>
      </c>
      <c r="L105" t="inlineStr"/>
      <c r="M105" t="inlineStr"/>
    </row>
    <row r="106">
      <c r="A106" t="inlineStr">
        <is>
          <t>873</t>
        </is>
      </c>
      <c r="B106" t="inlineStr">
        <is>
          <t>Problemas Frequentes de Encravamento de Papel: HP DeskJet 3755</t>
        </is>
      </c>
      <c r="C106" t="inlineStr">
        <is>
          <t>Caro Suporte ao Cliente,
Estou enfrentando problemas frequentes de encravamento de papel com minha impressora HP DeskJet 3755, especialmente ao imprimir várias páginas. Este se tornou um problema consistente e interrompe muito minha capacidade de imprimir documentos de forma eficiente. Eu apreciaria qualquer passo ou aconselhamento de solução que você possa fornecer para ajudar a resolver esse problema. Aguardo sua orientação ou, se necessário, suporte adicional.
Obrigado pela sua assistência.
Atenciosamente,
&lt;name&gt;</t>
        </is>
      </c>
      <c r="D106" t="inlineStr">
        <is>
          <t>Gerenciamento de Incidentes</t>
        </is>
      </c>
      <c r="E106" t="inlineStr">
        <is>
          <t>Gerenciamento de Problemas</t>
        </is>
      </c>
      <c r="F106" t="inlineStr"/>
      <c r="G106" t="inlineStr"/>
      <c r="H106" t="inlineStr"/>
      <c r="I106" t="inlineStr"/>
      <c r="J106" t="inlineStr">
        <is>
          <t>Gerenciamento de Problemas</t>
        </is>
      </c>
      <c r="K106" t="inlineStr">
        <is>
          <t>Gerenciamento de Ativos de TI</t>
        </is>
      </c>
      <c r="L106" t="inlineStr"/>
      <c r="M106" t="inlineStr"/>
    </row>
    <row r="107">
      <c r="A107" t="inlineStr">
        <is>
          <t>890</t>
        </is>
      </c>
      <c r="B107" t="inlineStr">
        <is>
          <t>Jams frequentes de papel com Canon PIXMA MG3620</t>
        </is>
      </c>
      <c r="C107" t="inlineStr">
        <is>
          <t>Caro Suporte ao Cliente, estou entrando em contato para tratar de um problema que estou enfrentando com minha impressora Canon PIXMA MG3620, adquirida em sua loja. Recentemente, tenho encontrado jams frequentes de papel ao realizar impressão duplex. Esse problema interrompe meu fluxo de trabalho e suspeito que possa ser um defeito no modelo da impressora. Você poderia me orientar sobre os passos que devo seguir para resolver esse problema? Existe alguma solução de problemas que eu possa tentar? Além disso, você poderia me informar se há opções para substituição ou reparo sob garantia? Obrigado pela sua assistência. Atenciosamente, &lt;name&gt;.</t>
        </is>
      </c>
      <c r="D107" t="inlineStr">
        <is>
          <t>Gerenciamento de Incidentes</t>
        </is>
      </c>
      <c r="E107" t="inlineStr">
        <is>
          <t>Gerenciamento de Ativos de TI</t>
        </is>
      </c>
      <c r="F107" t="inlineStr"/>
      <c r="G107" t="inlineStr"/>
      <c r="H107" t="inlineStr"/>
      <c r="I107" t="inlineStr"/>
      <c r="J107" t="inlineStr">
        <is>
          <t>Gerenciamento de Problemas</t>
        </is>
      </c>
      <c r="K107" t="inlineStr">
        <is>
          <t>Gerenciamento de Ativos de TI</t>
        </is>
      </c>
      <c r="L107" t="inlineStr"/>
      <c r="M107" t="inlineStr"/>
    </row>
    <row r="108">
      <c r="A108" t="inlineStr">
        <is>
          <t>895</t>
        </is>
      </c>
      <c r="B108" t="inlineStr">
        <is>
          <t>Problemas com os Recursos de Refatoração do IntelliJ IDEA 2024.1</t>
        </is>
      </c>
      <c r="C108" t="inlineStr">
        <is>
          <t>Caro time de suporte ao cliente,
Espero que esta mensagem o encontre bem. Estou escrevendo para expressar minha preocupação em relação a alguns problemas que venho enfrentando ao usar o IntelliJ IDEA 2024.1, especificamente relacionados aos recursos de refatoração para desenvolvimento de código Java. Parece que esses recursos não estão funcionando conforme o esperado, causando interrupções no meu fluxo de trabalho. Encontrei problemas onde certas ações de refatoração estão incompletas ou não são executadas, levando a resultados inesperados no meu código. Esses problemas têm sido persistentes e estão prejudicando significativamente minha produtividade.
Agradeceria qualquer orientação ou soluções que você pudesse oferecer para resolver essa questão. Se houver atualizações ou patches disponíveis, por favor, informe os passos necessários para aplicá-los. Além disso, se houver soluções conhecidas, ficaria grato por qualquer documentação ou materiais de suporte que pudessem me ajudar a navegar por esta situação.
Obrigado pela sua atenção a este assunto e aguardo sua pronta resposta.
Atenciosamente,
&lt;name&gt;
&lt;tel_num&gt;
&lt;acc_num&gt;</t>
        </is>
      </c>
      <c r="D108" t="inlineStr">
        <is>
          <t>Gerenciamento de Problemas</t>
        </is>
      </c>
      <c r="E108" t="inlineStr">
        <is>
          <t>Gerenciamento de Mudanças</t>
        </is>
      </c>
      <c r="F108" t="inlineStr"/>
      <c r="G108" t="inlineStr"/>
      <c r="H108" t="inlineStr"/>
      <c r="I108" t="inlineStr"/>
      <c r="J108" t="inlineStr">
        <is>
          <t>Gerenciamento de Problemas</t>
        </is>
      </c>
      <c r="K108" t="inlineStr">
        <is>
          <t>Gerenciamento de Liberação</t>
        </is>
      </c>
      <c r="L108" t="inlineStr">
        <is>
          <t>Gerenciamento de Problemas</t>
        </is>
      </c>
      <c r="M108" t="inlineStr">
        <is>
          <t>Gerenciamento de Incidentes</t>
        </is>
      </c>
    </row>
    <row r="109">
      <c r="A109" t="inlineStr">
        <is>
          <t>896</t>
        </is>
      </c>
      <c r="B109" t="inlineStr">
        <is>
          <t>Problema com a Canon PIXMA MG3620</t>
        </is>
      </c>
      <c r="C109" t="inlineStr">
        <is>
          <t>Caro Suporte ao Cliente,
Espero que esta mensagem o encontre bem. Estou entrando em contato para relatar um problema relacionado a uma impressora Canon PIXMA MG3620 que comprei em sua Loja Online Tech. O problema ocorreu ao tentar realizar uma impressão duplex, um recurso essencial que uso com frequência. Durante esse processo, a impressora teve um atolamento de papel, que se tornou um problema recorrente afetando sua funcionalidade e minha produtividade.
Após minhas tentativas de resolver o problema, que incluíram remover cuidadosamente o papel atolado e reiniciar a impressora, o problema, infelizmente, persiste. Cada tentativa de impressão duplex resulta em um atolamento de papel similar, sugerindo que pode haver um problema técnico subjacente com a própria impressora. Consultei o manual do usuário e segui todos os passos básicos de resolução de problemas recomendados para tais problemas, mas sem sucesso.
Agradeceria sua orientação sobre como proceder. Especificamente, gostaria de saber se há etapas adicionais de resolução de problemas que você poderia recomendar ou se este problema poderia estar coberto por alguma garantia ou acordo de serviço.
Obrigado pela sua assistência na resolução deste assunto de forma rápida. Aguardo sua orientação na sua primeira oportunidade.
Atenciosamente,
&lt;name&gt;
&lt;tel_num&gt;</t>
        </is>
      </c>
      <c r="D109" t="inlineStr">
        <is>
          <t>Gerenciamento de Incidentes</t>
        </is>
      </c>
      <c r="E109" t="inlineStr">
        <is>
          <t>Gerenciamento de Ativos de TI</t>
        </is>
      </c>
      <c r="F109" t="inlineStr"/>
      <c r="G109" t="inlineStr"/>
      <c r="H109" t="inlineStr"/>
      <c r="I109" t="inlineStr"/>
      <c r="J109" t="inlineStr">
        <is>
          <t>Gerenciamento de Problemas</t>
        </is>
      </c>
      <c r="K109" t="inlineStr">
        <is>
          <t>Gerenciamento de Configuração de Serviço</t>
        </is>
      </c>
      <c r="L109" t="inlineStr"/>
      <c r="M109" t="inlineStr"/>
    </row>
    <row r="110">
      <c r="A110" t="inlineStr">
        <is>
          <t>909</t>
        </is>
      </c>
      <c r="B110" t="inlineStr">
        <is>
          <t>Problema com o Acesso ao Quadro Scrum</t>
        </is>
      </c>
      <c r="C110" t="inlineStr">
        <is>
          <t>Caro Time de Suporte ao Cliente,
Espero que esta mensagem o encontre bem. Estou escrevendo para chamar sua atenção para um problema relatado por um de nossos clientes, &lt;name&gt;. Eles encontraram um erro ao tentar acessar o quadro Scrum usando a versão 8.20 do Jira Software. Nossas verificações iniciais indicam que pode haver um problema relacionado a permissões ou configurações. O erro parece estar isolado a este cliente, pois nenhum outro usuário relatou problemas semelhantes até agora.
Para ajudar a agilizar a resolução, conduzi uma investigação preliminar. Até agora, garantir que todas as permissões de usuário relevantes estejam corretamente atribuídas não revelou irregularidades significativas. Agradeceríamos se seus especialistas técnicos pudessem investigar mais a fundo, particularmente no que diz respeito a quaisquer atualizações recentes do produto ou configurações do servidor que possam ter induzido esse problema.
O cliente, &lt;name&gt;, está ansioso para continuar seu projeto sem mais interrupções e conta com uma resolução rápida. Por favor, forneça qualquer assistência necessária o mais rápido possível. Se precisar de mais detalhes, sinta-se à vontade para me contatar pelo &lt;tel_num&gt; ou por e-mail.
Muito obrigado pelo seu apoio.
Atenciosamente,
&lt;name&gt;</t>
        </is>
      </c>
      <c r="D110" t="inlineStr">
        <is>
          <t>Gerenciamento de Incidentes</t>
        </is>
      </c>
      <c r="E110" t="inlineStr">
        <is>
          <t>Gerenciamento de Acesso</t>
        </is>
      </c>
      <c r="F110" t="inlineStr"/>
      <c r="G110" t="inlineStr"/>
      <c r="H110" t="inlineStr"/>
      <c r="I110" t="inlineStr"/>
      <c r="J110" t="inlineStr">
        <is>
          <t>Gerenciamento de Configuração de Serviço</t>
        </is>
      </c>
      <c r="K110" t="inlineStr">
        <is>
          <t>Gerenciamento de Segurança da Informação</t>
        </is>
      </c>
      <c r="L110" t="inlineStr">
        <is>
          <t>Gerenciamento de Acesso</t>
        </is>
      </c>
      <c r="M110" t="inlineStr">
        <is>
          <t>Gerenciamento de Incidentes</t>
        </is>
      </c>
    </row>
    <row r="111">
      <c r="A111" t="inlineStr">
        <is>
          <t>932</t>
        </is>
      </c>
      <c r="B111" t="inlineStr">
        <is>
          <t>Interrupção Urgente do Banco de Dados</t>
        </is>
      </c>
      <c r="C111" t="inlineStr">
        <is>
          <t>Prezado Time de Suporte ao Cliente, estamos enfrentando uma grave interrupção do banco de dados afetando o MySQL 8.0.30. Dados críticos dos clientes se tornaram inacessíveis. Precisamos urgentemente do seu suporte para resolver este problema. Por favor, priorize nosso pedido. Entre em contato com &lt;name&gt; pelo &lt;tel_num&gt; para detalhes adicionais. Obrigado pela sua atenção imediata.</t>
        </is>
      </c>
      <c r="D111" t="inlineStr">
        <is>
          <t>Gerenciamento de Incidentes</t>
        </is>
      </c>
      <c r="E111" t="inlineStr">
        <is>
          <t>Gerenciamento de Disponibilidade</t>
        </is>
      </c>
      <c r="F111" t="inlineStr"/>
      <c r="G111" t="inlineStr"/>
      <c r="H111" t="inlineStr"/>
      <c r="I111" t="inlineStr"/>
      <c r="J111" t="inlineStr">
        <is>
          <t>Gerenciamento de Disponibilidade</t>
        </is>
      </c>
      <c r="K111" t="inlineStr">
        <is>
          <t>Gerenciamento de Continuidade de Serviço</t>
        </is>
      </c>
      <c r="L111" t="inlineStr">
        <is>
          <t>Gerenciamento de Incidentes</t>
        </is>
      </c>
      <c r="M111" t="inlineStr">
        <is>
          <t>Gerenciamento de Disponibilidade</t>
        </is>
      </c>
    </row>
    <row r="112">
      <c r="A112" t="inlineStr">
        <is>
          <t>935</t>
        </is>
      </c>
      <c r="B112" t="inlineStr">
        <is>
          <t>Problema com a Bateria do Surface Pro</t>
        </is>
      </c>
      <c r="C112" t="inlineStr">
        <is>
          <t>Caro Cliente do Suporte ao Cliente da Loja Online de Tecnologia,
Espero que esta mensagem o encontre bem. Estou escrevendo para expressar minha preocupação em relação a uma compra que fiz em sua loja online. O produto em questão é um Microsoft Surface Pro 7. Infelizmente, estou enfrentando um problema recorrente com o desempenho da bateria. Especificamente, a bateria parece não conseguir carregar além de 50%. Essa limitação substancial está impactando significativamente minha produtividade no trabalho, já que confio neste dispositivo para diversas tarefas profissionais.
Dada esta situação, estou buscando sua assistência para avaliar o problema e explorar soluções potenciais. Idealmente, gostaria de perguntar sobre a possibilidade de receber uma unidade substituta ou de ter esta unidade reparada para resolver o problema de carregamento. Por favor, me avise os passos que devo seguir para prosseguir com qualquer uma das opções.
Anexei prova de compra e mais detalhes do dispositivo para sua referência. Sua resposta rápida será muito apreciada, dada a natureza urgente deste assunto, já que influencia meus compromissos diários de trabalho. Obrigado pela sua atenção a este problema.
Atenciosamente,
&lt;name&gt;</t>
        </is>
      </c>
      <c r="D112" t="inlineStr">
        <is>
          <t>Gerenciamento de Incidentes</t>
        </is>
      </c>
      <c r="E112" t="inlineStr">
        <is>
          <t>Gerenciamento de Ativos de TI</t>
        </is>
      </c>
      <c r="F112" t="inlineStr"/>
      <c r="G112" t="inlineStr"/>
      <c r="H112" t="inlineStr"/>
      <c r="I112" t="inlineStr"/>
      <c r="J112" t="inlineStr">
        <is>
          <t>Gerenciamento de Problemas</t>
        </is>
      </c>
      <c r="K112" t="inlineStr">
        <is>
          <t>Gerenciamento de Ativos de TI</t>
        </is>
      </c>
      <c r="L112" t="inlineStr"/>
      <c r="M112" t="inlineStr"/>
    </row>
    <row r="113">
      <c r="A113" t="inlineStr">
        <is>
          <t>948</t>
        </is>
      </c>
      <c r="B113" t="inlineStr">
        <is>
          <t>Urgente: Tentativas de Acesso Não Autorizadas à Conta AWS</t>
        </is>
      </c>
      <c r="C113" t="inlineStr">
        <is>
          <t>Prezado Time de Suporte ao Cliente,
Estou escrevendo para expressar minhas sérias preocupações em relação a múltiplas tentativas de acesso não autorizadas à nossa conta AWS, que é gerenciada por meio do seu Serviço de Gerenciamento da AWS. Este problema requer urgentemente uma avaliação de segurança abrangente e uma remediação imediata para prevenir quaisquer potenciais violações de dados ou outros incidentes de segurança.
Ao revisar a atividade da nossa conta recentemente, observamos tentativas de login suspeitas que não corresponderam aos nossos padrões habituais de atividade do usuário. Garantimos que nossas credenciais internas permanecem intactas e suspeitamos de ameaças externas direcionadas aos nossos recursos da AWS. A natureza repetida dessas tentativas sugere que pode haver esforços em andamento, direcionados, para obter acesso não autorizado.
Considerando a gravidade desta situação, é imperativo que abordemos prontamente as vulnerabilidades de segurança expostas dentro do nosso ambiente AWS. Estamos particularmente preocupados com as implicações para a integridade e confidencialidade dos dados, uma vez que a integridade de nossas operações principais depende fortemente do funcionamento seguro de nossas plataformas AWS.
Por favor, inicie uma avaliação imediata de segurança da nossa infraestrutura AWS e nos ajude na implementação de medidas de segurança robustas para proteger nossos ativos. Estamos também solicitando sua orientação especializada na revisão dos logs de acesso e na identificação de quaisquer tendências de atividade incomuns que possam indicar mais preocupações de segurança.
Diante dos potenciais riscos e nosso compromisso em manter um ambiente seguro para nossos stakeholders, sua atenção imediata e resposta ágil a esta questão seriam altamente apreciadas.
Obrigado pela sua ação rápida sobre este problema urgente. Aguardamos sua orientação sobre os passos necessários para a resolução do incidente.
Atenciosamente,
&lt;name&gt;
Gerente de TI
&lt;company name&gt;
&lt;email&gt;
&lt;tel_num&gt;</t>
        </is>
      </c>
      <c r="D113" t="inlineStr">
        <is>
          <t>Gerenciamento de Segurança da Informação</t>
        </is>
      </c>
      <c r="E113" t="inlineStr">
        <is>
          <t>Gerenciamento de Incidentes</t>
        </is>
      </c>
      <c r="F113" t="inlineStr"/>
      <c r="G113" t="inlineStr"/>
      <c r="H113" t="inlineStr"/>
      <c r="I113" t="inlineStr"/>
      <c r="J113" t="inlineStr">
        <is>
          <t>Gerenciamento de Segurança da Informação</t>
        </is>
      </c>
      <c r="K113" t="inlineStr">
        <is>
          <t>Gerenciamento de Monitoração e Eventos</t>
        </is>
      </c>
      <c r="L113" t="inlineStr">
        <is>
          <t>Gerenciamento de Segurança da Informação</t>
        </is>
      </c>
      <c r="M113" t="inlineStr">
        <is>
          <t>Gerenciamento de Incidentes</t>
        </is>
      </c>
    </row>
    <row r="114">
      <c r="A114" t="inlineStr">
        <is>
          <t>960</t>
        </is>
      </c>
      <c r="B114" t="inlineStr">
        <is>
          <t>Problema de Faturamento com o Serviço de Gerenciamento da AWS</t>
        </is>
      </c>
      <c r="C114" t="inlineStr">
        <is>
          <t>Caro Suporte ao Cliente,
Espero que esta mensagem o encontre bem. Estou escrevendo para chamar sua atenção para um problema que enfrentei em relação a cobranças incorretas. Após utilizar o Serviço de Gerenciamento da AWS para infraestrutura em nuvem e otimização de serviços, minha conta, &lt;acc_num&gt;, foi faturada erroneamente. As cobranças não refletem com precisão o uso relatado e parecem significativamente mais altas do que o esperado.
Por favor, revise meus detalhes de faturamento e corrija quaisquer discrepâncias na sua primeira oportunidade. Por favor, me avise se você precisar de informações adicionais para facilitar uma resolução rápida. Você pode me contatar em &lt;email&gt; ou &lt;tel_num&gt; para discutir mais.
Obrigado pela sua assistência nesta questão.
Atenciosamente,
&lt;name&gt;</t>
        </is>
      </c>
      <c r="D114" t="inlineStr">
        <is>
          <t>Gerenciamento Financeiro</t>
        </is>
      </c>
      <c r="E114" t="inlineStr">
        <is>
          <t>Gerenciamento de Incidentes</t>
        </is>
      </c>
      <c r="F114" t="inlineStr"/>
      <c r="G114" t="inlineStr"/>
      <c r="H114" t="inlineStr"/>
      <c r="I114" t="inlineStr"/>
      <c r="J114" t="inlineStr">
        <is>
          <t>Gerenciamento Financeiro de Serviços</t>
        </is>
      </c>
      <c r="K114" t="inlineStr">
        <is>
          <t>Gerenciamento de Nível de Serviço</t>
        </is>
      </c>
      <c r="L114" t="inlineStr"/>
      <c r="M114" t="inlineStr"/>
    </row>
    <row r="115">
      <c r="A115" t="inlineStr">
        <is>
          <t>967</t>
        </is>
      </c>
      <c r="B115" t="inlineStr">
        <is>
          <t>Solicitação de Detalhamento da Declaração de Cobrança</t>
        </is>
      </c>
      <c r="C115" t="inlineStr">
        <is>
          <t>Caro Suporte ao Cliente,
Espero que esta mensagem o encontre bem. Estou escrevendo para solicitar um detalhamento detalhado da minha recente declaração de cobrança pelo serviço de assinatura do Microsoft Office 365. Como notei algumas discrepâncias, peço gentilmente um relato detalhado de todas as cobranças referentes à minha assinatura. Meu número da conta é &lt;acc_num&gt;. Por favor, entre em contato comigo pelo &lt;tel_num&gt; se precisar de mais informações. Sua pronta atenção a este assunto seria muito apreciada. Obrigado pela sua assistência.
Atenciosamente,
&lt;name&gt;</t>
        </is>
      </c>
      <c r="D115" t="inlineStr">
        <is>
          <t>Gerenciamento Financeiro</t>
        </is>
      </c>
      <c r="E115" t="inlineStr">
        <is>
          <t>Solicitação de Serviço</t>
        </is>
      </c>
      <c r="F115" t="inlineStr"/>
      <c r="G115" t="inlineStr"/>
      <c r="H115" t="inlineStr"/>
      <c r="I115" t="inlineStr"/>
      <c r="J115" t="inlineStr">
        <is>
          <t>Gerenciamento Financeiro de Serviços</t>
        </is>
      </c>
      <c r="K115" t="inlineStr">
        <is>
          <t>Gerenciamento de Requisição de Serviço</t>
        </is>
      </c>
      <c r="L115" t="inlineStr"/>
      <c r="M115" t="inlineStr"/>
    </row>
    <row r="116">
      <c r="A116" t="inlineStr">
        <is>
          <t>977</t>
        </is>
      </c>
      <c r="B116" t="inlineStr">
        <is>
          <t>Urgente: Erro Grave no Sistema de Tickets</t>
        </is>
      </c>
      <c r="C116" t="inlineStr">
        <is>
          <t>Prezado Suporte ao Cliente,
Estamos enfrentando interrupções significativas no fluxo de trabalho em nossa gestão de projetos devido a um erro grave no sistema de tickets Jira Software 8.20. Este problema requer sua atenção imediata para diagnóstico e resolução. Por favor, forneça uma atualização na sua primeira oportunidade, pois isso afeta severamente nossas operações diárias.
Por favor, priorize este pedido.
Obrigado.
Atenciosamente,
&lt;name&gt;</t>
        </is>
      </c>
      <c r="D116" t="inlineStr">
        <is>
          <t>Gerenciamento de Incidentes</t>
        </is>
      </c>
      <c r="E116" t="inlineStr">
        <is>
          <t>Gerenciamento de Problemas</t>
        </is>
      </c>
      <c r="F116" t="inlineStr"/>
      <c r="G116" t="inlineStr"/>
      <c r="H116" t="inlineStr"/>
      <c r="I116" t="inlineStr"/>
      <c r="J116" t="inlineStr">
        <is>
          <t>Gerenciamento de Disponibilidade</t>
        </is>
      </c>
      <c r="K116" t="inlineStr">
        <is>
          <t>Gerenciamento de Problemas</t>
        </is>
      </c>
      <c r="L116" t="inlineStr"/>
      <c r="M116" t="inlineStr"/>
    </row>
    <row r="117">
      <c r="A117" t="inlineStr">
        <is>
          <t>992</t>
        </is>
      </c>
      <c r="B117" t="inlineStr">
        <is>
          <t>Urgente: Tempo de Inatividade do Serviço AWS</t>
        </is>
      </c>
      <c r="C117" t="inlineStr">
        <is>
          <t>Prezado Suporte de Serviços de TI,
Estou escrevendo para relatar um tempo de inatividade inesperado em seu Serviço de Gerenciamento AWS. Dependemos muito deste serviço e a interrupção está impactando significativamente nossas operações. Precisamos urgentemente de uma solução para identificar o problema e restaurar as operações normais. Poderia priorizar esta questão e nos atualizar sobre o progresso assim que possível? Por favor, entre em contato comigo pelo &lt;tel_num&gt; para mais informações. Aguardando sua resposta rápida.
Obrigado,
&lt;name&gt;</t>
        </is>
      </c>
      <c r="D117" t="inlineStr">
        <is>
          <t>Gerenciamento de Incidentes</t>
        </is>
      </c>
      <c r="E117" t="inlineStr">
        <is>
          <t>Gerenciamento de Disponibilidade</t>
        </is>
      </c>
      <c r="F117" t="inlineStr"/>
      <c r="G117" t="inlineStr"/>
      <c r="H117" t="inlineStr"/>
      <c r="I117" t="inlineStr"/>
      <c r="J117" t="inlineStr">
        <is>
          <t>Gerenciamento de Disponibilidade</t>
        </is>
      </c>
      <c r="K117" t="inlineStr">
        <is>
          <t>Gerenciamento de Incidentes</t>
        </is>
      </c>
      <c r="L117" t="inlineStr"/>
      <c r="M117" t="inlineStr"/>
    </row>
    <row r="118">
      <c r="A118" t="inlineStr">
        <is>
          <t>994</t>
        </is>
      </c>
      <c r="B118" t="inlineStr">
        <is>
          <t>Modificações Necessárias para o Sistema de Chamadas de TI</t>
        </is>
      </c>
      <c r="C118" t="inlineStr">
        <is>
          <t>Caro Suporte ao Cliente,
Estou escrevendo para solicitar modificações específicas no sistema de tickets de TI que está atualmente utilizado em nosso pipeline de serviços de consultoria. Nosso cliente, &lt;name&gt;, forneceu feedback indicando a necessidade de mudanças para melhorar a eficiência. Por favor, entre em contato comigo pelo &lt;tel_num&gt; para discutir os ajustes necessários.
Obrigado,
&lt;name&gt;</t>
        </is>
      </c>
      <c r="D118" t="inlineStr">
        <is>
          <t>Solicitação de Serviço</t>
        </is>
      </c>
      <c r="E118" t="inlineStr">
        <is>
          <t>Gerenciamento de Mudanças</t>
        </is>
      </c>
      <c r="F118" t="inlineStr"/>
      <c r="G118" t="inlineStr"/>
      <c r="H118" t="inlineStr"/>
      <c r="I118" t="inlineStr"/>
      <c r="J118" t="inlineStr">
        <is>
          <t>Habilitação de Mudança</t>
        </is>
      </c>
      <c r="K118" t="inlineStr">
        <is>
          <t>Gerenciamento de Relacionamento</t>
        </is>
      </c>
      <c r="L118" t="inlineStr">
        <is>
          <t>Gerenciamento de Requisições de Serviço</t>
        </is>
      </c>
      <c r="M118" t="inlineStr">
        <is>
          <t>Melhoria Contínua</t>
        </is>
      </c>
    </row>
    <row r="119">
      <c r="A119" t="inlineStr">
        <is>
          <t>997</t>
        </is>
      </c>
      <c r="B119" t="inlineStr">
        <is>
          <t>Assistência Urgente Necessária para Tempo de Inatividade do Servidor</t>
        </is>
      </c>
      <c r="C119" t="inlineStr">
        <is>
          <t>Caro Time de Suporte ao Cliente,
Espero que esta mensagem o encontre bem. Estou escrevendo para solicitar assistência imediata de alta prioridade em uma questão crítica que afeta nossas operações comerciais. Nossa empresa, &lt;name&gt;, depende fortemente do Serviço de Consultoria de TI fornecido pela sua empresa. Infelizmente, estamos atualmente enfrentando um tempo de inatividade extensivo do servidor que está tendo um impacto substancial em nossa capacidade de fornecer serviços aos nossos clientes.
Os serviços oferecidos pela sua equipe sempre foram integrais à funcionalidade do nosso negócio, e a qualidade do suporte que recebemos até agora é louvável. No entanto, dado a situação atual, a urgência em resolver essa questão não pode ser exagerada. A interrupção do servidor começou em &lt;date&gt; e persistiu apesar de nossos esforços de solução de problemas internos, que incluíram a verificação de todos os sistemas e protocolos de rede internos. Como está, essa interrupção tornou várias de nossas aplicações comerciais críticas inoperáveis, afetando assim a produtividade e a satisfação do cliente.
Entendemos que tais questões podem surgir, embora estejamos interessados em entender tanto as causas subjacentes quanto as medidas que serão implementadas para evitar recorrências. Portanto, estamos ansiosos para que uma equipe do seu lado seja despachada o mais rápido possível para abordar e retificar a situação, garantindo uma mínima interrupção adicional.
Agradeceria se um técnico especializado pudesse entrar em contato comigo diretamente para discutir os passos necessários a seguir. Você pode me contatar por e-mail em &lt;email&gt; ou alternativamente no meu ramal direto em &lt;tel_num&gt;. Além disso, por favor, consulte nossa conta sob o número &lt;acc_num&gt; para quaisquer especificações necessárias relacionadas ao nosso contrato de serviço.
Obrigado pela sua atenção imediata a este assunto urgente. Aguardamos sua resposta imediata e uma resolução rápida. Por favor, não hesite em discutir quaisquer medidas preliminares que possamos adotar enquanto você organiza o suporte técnico completo.
Atenciosamente,
&lt;name&gt;
&lt;position&gt;
&lt;company&gt;
&lt;tel_num&gt;</t>
        </is>
      </c>
      <c r="D119" t="inlineStr">
        <is>
          <t>Gerenciamento de Incidentes</t>
        </is>
      </c>
      <c r="E119" t="inlineStr">
        <is>
          <t>Gerenciamento de Disponibilidade</t>
        </is>
      </c>
      <c r="F119" t="inlineStr"/>
      <c r="G119" t="inlineStr"/>
      <c r="H119" t="inlineStr"/>
      <c r="I119" t="inlineStr"/>
      <c r="J119" t="inlineStr">
        <is>
          <t>Gerenciamento de Continuidade de Serviço</t>
        </is>
      </c>
      <c r="K119" t="inlineStr">
        <is>
          <t>Gerenciamento de Disponibilidade</t>
        </is>
      </c>
      <c r="L119" t="inlineStr"/>
      <c r="M119" t="inlineStr"/>
    </row>
    <row r="120">
      <c r="A120" t="inlineStr">
        <is>
          <t>1000</t>
        </is>
      </c>
      <c r="B120" t="inlineStr">
        <is>
          <t>Urgente: Problema com Dell XPS 13</t>
        </is>
      </c>
      <c r="C120" t="inlineStr">
        <is>
          <t>Caro time de suporte ao cliente da Tech Online Store,
Espero que esta mensagem o encontre bem. Estou entrando em contato para relatar um problema urgente com um Dell XPS 13 9310 comprado recentemente. O dispositivo, de propriedade de &lt;name&gt;, com número da conta &lt;acc_num&gt;, não está ligando apesar de indicar que a bateria está cheia. Esse problema surgiu inesperadamente, causando interrupções significativas, uma vez que o laptop é essencial para as tarefas profissionais diárias.
Apesar de ter tentado várias etapas básicas de solução de problemas, como experimentar diferentes adaptadores de energia e pressionar o botão de energia por 30 segundos, o laptop permanece sem resposta. Dadas as circunstâncias e a urgência da questão, uma intervenção rápida é necessária para resolver este assunto. Por favor, informe sobre os próximos passos para acelerar os procedimentos de diagnóstico e reparo.
Para sua referência, a compra foi realizada sob o número do pedido &lt;order_num&gt; em &lt;purchase_date&gt;. Agradeceríamos se você pudesse fornecer quaisquer dicas possíveis de solução de problemas remota ou, se necessário, agendar um appointment de serviço na primeira conveniência.
Obrigado pela sua atenção rápida a este assunto. Se você precisar de mais detalhes, não hesite em me contatar pelo &lt;email&gt; ou &lt;tel_num&gt;. Aguardando sua rápida resposta para colocar o dispositivo em funcionamento.
Atenciosamente,
&lt;name&gt;</t>
        </is>
      </c>
      <c r="D120" t="inlineStr">
        <is>
          <t>Gerenciamento de Incidentes</t>
        </is>
      </c>
      <c r="E120" t="inlineStr">
        <is>
          <t>Gerenciamento de Ativos de TI</t>
        </is>
      </c>
      <c r="F120" t="inlineStr"/>
      <c r="G120" t="inlineStr"/>
      <c r="H120" t="inlineStr"/>
      <c r="I120" t="inlineStr"/>
      <c r="J120" t="inlineStr">
        <is>
          <t>Gerenciamento de Problemas</t>
        </is>
      </c>
      <c r="K120" t="inlineStr">
        <is>
          <t>Gerenciamento de Ativos de TI</t>
        </is>
      </c>
      <c r="L120" t="inlineStr"/>
      <c r="M120" t="inlineStr"/>
    </row>
    <row r="121">
      <c r="A121" t="inlineStr">
        <is>
          <t>1001</t>
        </is>
      </c>
      <c r="B121" t="inlineStr">
        <is>
          <t>Problema de impressão sem fio da HP DeskJet 3755</t>
        </is>
      </c>
      <c r="C121" t="inlineStr">
        <is>
          <t>O recurso de impressão sem fio falha em conectar constantemente.</t>
        </is>
      </c>
      <c r="D121" t="inlineStr">
        <is>
          <t>Gerenciamento de Incidentes</t>
        </is>
      </c>
      <c r="E121" t="inlineStr">
        <is>
          <t>Gerenciamento de Problemas</t>
        </is>
      </c>
      <c r="F121" t="inlineStr"/>
      <c r="G121" t="inlineStr"/>
      <c r="H121" t="inlineStr"/>
      <c r="I121" t="inlineStr"/>
      <c r="J121" t="inlineStr">
        <is>
          <t>Gerenciamento de Problemas</t>
        </is>
      </c>
      <c r="K121" t="inlineStr">
        <is>
          <t>Gerenciamento de Configuração de Serviço</t>
        </is>
      </c>
      <c r="L121" t="inlineStr"/>
      <c r="M121" t="inlineStr"/>
    </row>
    <row r="122">
      <c r="A122" t="inlineStr">
        <is>
          <t>1008</t>
        </is>
      </c>
      <c r="B122" t="inlineStr">
        <is>
          <t>Assistência Necessária para Gestão da AWS</t>
        </is>
      </c>
      <c r="C122" t="inlineStr">
        <is>
          <t>Caro Time de Suporte ao Cliente,
Espero que esta mensagem os encontre bem. Estou entrando em contato para buscar assistência com os Serviços de Gestão da AWS fornecidos pela sua empresa. Tenho utilizado esses serviços há algum tempo, mas atualmente estou enfrentando desafios na otimização de custos e alocação eficiente de recursos de nuvem. Como esses aspectos são críticos para as nossas operações, gostaria de saber sobre quaisquer estratégias ou soluções disponíveis que possam nos ajudar a gerenciá-los de forma mais eficaz.
Além disso, estou interessado em entender se há recursos ou ferramentas adicionais dentro do seu Serviço de Gestão da AWS que poderiam facilitar um melhor monitoramento e gerenciamento dos nossos recursos. Sua experiência e orientação nesta questão seriam muito valiosas.
Você poderia fornecer insights ou agendar uma consulta na sua primeira conveniência? Além disso, se houver alguma informação ou dado específico que você precisar da nossa parte para ajudá-lo melhor, por favor, me avise.
Obrigado pela sua atenção a este assunto. Aguardo sua resposta rápida. Você pode me contatar por e-mail ou pelo meu telefone em &lt;tel_num&gt; para qualquer discussão adicional.
Atenciosamente,
&lt;name&gt;
&lt;company_name&gt;</t>
        </is>
      </c>
      <c r="D122" t="inlineStr">
        <is>
          <t>Solicitação de Serviço</t>
        </is>
      </c>
      <c r="E122" t="inlineStr">
        <is>
          <t>Gerenciamento Financeiro</t>
        </is>
      </c>
      <c r="F122" t="inlineStr"/>
      <c r="G122" t="inlineStr"/>
      <c r="H122" t="inlineStr"/>
      <c r="I122" t="inlineStr"/>
      <c r="J122" t="inlineStr">
        <is>
          <t>Gerenciamento Financeiro de Serviços</t>
        </is>
      </c>
      <c r="K122" t="inlineStr">
        <is>
          <t>Gerenciamento de Relacionamento</t>
        </is>
      </c>
      <c r="L122" t="inlineStr">
        <is>
          <t>Gerenciamento de Nível de Serviço</t>
        </is>
      </c>
      <c r="M122" t="inlineStr">
        <is>
          <t>Gerenciamento Financeiro de TI</t>
        </is>
      </c>
    </row>
    <row r="123">
      <c r="A123" t="inlineStr">
        <is>
          <t>1010</t>
        </is>
      </c>
      <c r="B123" t="inlineStr">
        <is>
          <t>Problema Urgente no Banco de Dados MySQL 8.0.30</t>
        </is>
      </c>
      <c r="C123" t="inlineStr">
        <is>
          <t>Prezado Time de Suporte ao Cliente,
Estou escrevendo para trazer à sua atenção imediata um problema crítico que estamos enfrentando com o produto de banco de dados MySQL 8.0.30 fornecido pela sua empresa. Desde a atualização para esta versão, encontramos frequentes falhas e erros de inconsistência de dados, impactando significativamente o desempenho e a estabilidade das aplicações dos nossos clientes.
Nossa equipe de TI realizou uma investigação completa do nosso lado e concluiu que o problema se origina do banco de dados MySQL 8.0.30. As falhas periódicas tendem a ocorrer durante os horários de pico de operação, causando interrupções em nossos serviços voltados para o cliente. Além disso, a integridade dos dados foi comprometida, resultando em comportamentos imprevisíveis em nossas aplicações e em uma potencial perda de confiança dos clientes.
Solicitamos assistência imediata para diagnosticar e resolver esses problemas. Por favor, forneça orientações sobre quaisquer bugs conhecidos ou patches que possam aliviar esses problemas. Também apreciaríamos uma referência à base de conhecimento ou documentação que possa nos ajudar a monitorar e gerenciar efetivamente a saúde do banco de dados MySQL.
Obrigado pela sua atenção rápida a este assunto urgente. Aguardamos sua resposta rápida, garantindo continuidade e confiabilidade para nossos valiosos clientes.
Atenciosamente,
&lt;name&gt;
Engenheiro de Suporte
Empresa XYZ
Telefone: &lt;tel_num&gt;
Email: support@companyxyz.com</t>
        </is>
      </c>
      <c r="D123" t="inlineStr">
        <is>
          <t>Gerenciamento de Incidentes</t>
        </is>
      </c>
      <c r="E123" t="inlineStr">
        <is>
          <t>Gerenciamento de Problemas</t>
        </is>
      </c>
      <c r="F123" t="inlineStr"/>
      <c r="G123" t="inlineStr"/>
      <c r="H123" t="inlineStr"/>
      <c r="I123" t="inlineStr"/>
      <c r="J123" t="inlineStr">
        <is>
          <t>Gerenciamento de Problemas</t>
        </is>
      </c>
      <c r="K123" t="inlineStr">
        <is>
          <t>Habilitação de Mudança</t>
        </is>
      </c>
      <c r="L123" t="inlineStr">
        <is>
          <t>Gerenciamento de Mudanças</t>
        </is>
      </c>
      <c r="M123" t="inlineStr">
        <is>
          <t>Gerenciamento de Problemas</t>
        </is>
      </c>
    </row>
    <row r="124">
      <c r="A124" t="inlineStr">
        <is>
          <t>1014</t>
        </is>
      </c>
      <c r="B124" t="inlineStr">
        <is>
          <t>Complicações de Sincronização</t>
        </is>
      </c>
      <c r="C124" t="inlineStr">
        <is>
          <t>Caro Equipe de Suporte ao Cliente,
Estou entrando em contato para expressar minhas frustrações em relação a um desafio que tenho enfrentado com o pacote Google Workspace Business Standard. Especificamente, tenho encontrado dificuldades com a função de sincronização de e-mail ao utilizar o Gmail em conjunto com outras ferramentas colaborativas dentro do pacote Google Workspace. Esse problema parece resultar em consideráveis atrasos nas atualizações entre plataformas, causando, em última análise, interrupções intermitentes em meu fluxo de trabalho.
Observei que os e-mails enviados ou recebidos através do Gmail não estão sendo atualizados em tempo real nas ferramentas associadas, como Google Calendar ou Google Drive. Esse atraso frequentemente leva a sincronizações perdidas de eventos importantes e modificações em documentos. Em meu esforço para solucionar esse problema, examinei minha conexão com a internet e confirmei que as opções de atualização automática em todos os dispositivos estão ativadas. Infelizmente, essas ações não corrigiram o problema.
Dada a importância que este pacote desempenha em minhas operações diárias, eu apreciaria muito qualquer assistência que você possa fornecer para tratar essa situação. Existem problemas conhecidos ou interrupções de serviço em andamento que podem estar contribuindo para esse problema? Alternativamente, poderia haver configurações específicas que preciso modificar para melhorar a eficiência da sincronização?
Aguardo seu conselho e uma rápida resolução para este problema. Obrigado pelo seu apoio e compreensão.
Atenciosamente,
&lt;name&gt;
Email: &lt;email&gt;
Telefone: &lt;tel_num&gt;
Número da Conta: &lt;acc_num&gt;</t>
        </is>
      </c>
      <c r="D124" t="inlineStr">
        <is>
          <t>Gerenciamento de Incidentes</t>
        </is>
      </c>
      <c r="E124" t="inlineStr">
        <is>
          <t>Gerenciamento de Problemas</t>
        </is>
      </c>
      <c r="F124" t="inlineStr"/>
      <c r="G124" t="inlineStr"/>
      <c r="H124" t="inlineStr"/>
      <c r="I124" t="inlineStr"/>
      <c r="J124" t="inlineStr">
        <is>
          <t>Gerenciamento de Nível de Serviço</t>
        </is>
      </c>
      <c r="K124" t="inlineStr">
        <is>
          <t>Gerenciamento de Configuração de Serviço</t>
        </is>
      </c>
      <c r="L124" t="inlineStr">
        <is>
          <t>Gerenciamento de Incidentes</t>
        </is>
      </c>
      <c r="M124" t="inlineStr">
        <is>
          <t>Gerenciamento de Configuração</t>
        </is>
      </c>
    </row>
    <row r="125">
      <c r="A125" t="inlineStr">
        <is>
          <t>1029</t>
        </is>
      </c>
      <c r="B125" t="inlineStr">
        <is>
          <t>Problemas técnicos com o Jira Software afetando o fluxo de trabalho da equipe</t>
        </is>
      </c>
      <c r="C125" t="inlineStr">
        <is>
          <t>Caro suporte ao cliente de serviços de TI,
Estou escrevendo para relatar problemas significativos que nossa equipe está enfrentando com a versão 8.20 do Jira Software. Essas interrupções estão impactando severamente nosso gerenciamento de projetos e atividades de colaboração da equipe. Notamos frequentes paradas do sistema e problemas persistentes com a criação e rastreamento de tickets, o que atrasou nossos cronogramas de projeto e afetou a produtividade geral.
Nossa equipe depende muito desta plataforma para coordenar tarefas, gerenciar prazos e facilitar a comunicação entre os membros. A inconsistência do serviço está se tornando uma preocupação crescente, pois atrapalha nossa eficiência. Por exemplo, houve um incidente na semana passada em que toda a nossa equipe não conseguiu acessar a visualização do quadro por várias horas, agravando ainda mais nossos desafios de fluxo de trabalho.
Tentamos várias soluções temporárias, como redefinir caches e garantir que não haja problemas de conectividade do nosso lado. Infelizmente, essas medidas não resolveram a situação. Solicitamos sua assistência urgente para identificar e corrigir a causa subjacente desse problema.
Sua equipe poderia, por favor, investigar este assunto e nos fornecer um cronograma de resolução esperado? É crucial para nós que uma solução eficiente seja fornecida rapidamente. Obrigado pela sua atenção e resposta rápida.
Atenciosamente,
&lt;name&gt;
&lt;acc_num&gt;</t>
        </is>
      </c>
      <c r="D125" t="inlineStr">
        <is>
          <t>Gerenciamento de Incidentes</t>
        </is>
      </c>
      <c r="E125" t="inlineStr">
        <is>
          <t>Gerenciamento de Problemas</t>
        </is>
      </c>
      <c r="F125" t="inlineStr"/>
      <c r="G125" t="inlineStr"/>
      <c r="H125" t="inlineStr"/>
      <c r="I125" t="inlineStr"/>
      <c r="J125" t="inlineStr">
        <is>
          <t>Gerenciamento de Problemas</t>
        </is>
      </c>
      <c r="K125" t="inlineStr">
        <is>
          <t>Gerenciamento de Capacidade e Desempenho</t>
        </is>
      </c>
      <c r="L125" t="inlineStr">
        <is>
          <t>Gerenciamento de Problemas</t>
        </is>
      </c>
      <c r="M125" t="inlineStr">
        <is>
          <t>Gerenciamento de Disponibilidade</t>
        </is>
      </c>
    </row>
    <row r="126">
      <c r="A126" t="inlineStr">
        <is>
          <t>1031</t>
        </is>
      </c>
      <c r="B126" t="inlineStr">
        <is>
          <t>Preciso de ajuda para configurar a impressora Canon</t>
        </is>
      </c>
      <c r="C126" t="inlineStr">
        <is>
          <t>Caro time de suporte da Tech Online Store,
Preciso de assistência para configurar as capacidades de impressão sem fio e móvel da minha impressora Canon PIXMA MG3620. Enfrentei algumas dificuldades ao tentar estabelecer a conectividade sem fio e garantir que funcione sem problemas com meus dispositivos móveis. Agradeceria imensamente qualquer sugestão de aconselhamento ou resolução de problemas que você pudesse oferecer para me ajudar a corrigir esse problema. Orientações detalhadas sobre como configurar corretamente esses recursos seriam extremamente úteis. Se necessário, estou aberto a uma ligação telefônica ou a instruções adicionais.
Por favor, informe-me como podemos lidar de forma eficaz com esta situação. Aguardo sua resposta rápida e agradeço antecipadamente pela sua ajuda.
Atenciosamente,
&lt;name&gt;</t>
        </is>
      </c>
      <c r="D126" t="inlineStr">
        <is>
          <t>Solicitação de Serviço</t>
        </is>
      </c>
      <c r="E126" t="inlineStr">
        <is>
          <t>Gerenciamento de Incidentes</t>
        </is>
      </c>
      <c r="F126" t="inlineStr"/>
      <c r="G126" t="inlineStr"/>
      <c r="H126" t="inlineStr"/>
      <c r="I126" t="inlineStr"/>
      <c r="J126" t="inlineStr">
        <is>
          <t>Gerenciamento de Requisição de Serviço</t>
        </is>
      </c>
      <c r="K126" t="inlineStr">
        <is>
          <t>Gerenciamento de Conhecimento</t>
        </is>
      </c>
      <c r="L126" t="inlineStr">
        <is>
          <t>Central de Serviços</t>
        </is>
      </c>
      <c r="M126" t="inlineStr">
        <is>
          <t>Não se aplica</t>
        </is>
      </c>
    </row>
    <row r="127">
      <c r="A127" t="inlineStr">
        <is>
          <t>1034</t>
        </is>
      </c>
      <c r="B127" t="inlineStr">
        <is>
          <t>Assistência Urgente Necessária: Inatividade do Cisco ISR4331</t>
        </is>
      </c>
      <c r="C127" t="inlineStr">
        <is>
          <t>Caro Time de Suporte ao Cliente,
Espero que esta mensagem os encontre bem. Estou entrando em contato para relatar um problema urgente com o Roteador Cisco ISR4331, que recentemente sofreu uma inatividade repentina, impactando significativamente nosso desempenho de rede no escritório. Essa interrupção inesperada disruptou nossas operações do dia a dia, e precisamos de assistência técnica imediata para mitigar esses problemas.
O roteador é crítico para nossa infraestrutura de rede e qualquer inatividade prolongada pode comprometer nossos processos de negócios principais. Tentamos diagnósticos iniciais, mas não conseguimos resolver o problema sozinhos. Abaixo, incluí alguns detalhes pertinentes para sua referência:
- Modelo do Produto: Roteador Cisco ISR4331
- Data/Hora do Problema: [Por Favor, Insira Data/Hora]
Pedimos gentilmente que um especialista técnico seja designado para este assunto o mais rápido possível para nos ajudar a solucionar e resolver o problema. Por favor, nos avise se mais detalhes forem necessários de nossa parte ou se devemos seguir algum passo preliminar antes que sua equipe entre em contato.
Muito obrigado pela sua atenção rápida a este assunto. Aguardamos ansiosamente seu retorno.
Atenciosamente,
&lt;name&gt;
&lt;tel_num&gt;
&lt;acc_num&gt;</t>
        </is>
      </c>
      <c r="D127" t="inlineStr">
        <is>
          <t>Gerenciamento de Incidentes</t>
        </is>
      </c>
      <c r="E127" t="inlineStr">
        <is>
          <t>Gerenciamento de Disponibilidade</t>
        </is>
      </c>
      <c r="F127" t="inlineStr"/>
      <c r="G127" t="inlineStr"/>
      <c r="H127" t="inlineStr"/>
      <c r="I127" t="inlineStr"/>
      <c r="J127" t="inlineStr">
        <is>
          <t>Gerenciamento de Disponibilidade</t>
        </is>
      </c>
      <c r="K127" t="inlineStr">
        <is>
          <t>Monitoração e Gerenciamento de Eventos</t>
        </is>
      </c>
      <c r="L127" t="inlineStr">
        <is>
          <t>Gerenciamento de Incidentes</t>
        </is>
      </c>
      <c r="M127" t="inlineStr">
        <is>
          <t>Gerenciamento de Disponibilidade</t>
        </is>
      </c>
    </row>
    <row r="128">
      <c r="A128" t="inlineStr">
        <is>
          <t>1062</t>
        </is>
      </c>
      <c r="B128" t="inlineStr">
        <is>
          <t>Problema de Não Salvamento de Planilhas do Excel no Office 365</t>
        </is>
      </c>
      <c r="C128" t="inlineStr">
        <is>
          <t>Olá, 
Estou enfrentando problemas com as planilhas do Excel que não estão salvando corretamente no Office 365. Parece que pode haver um problema de sincronização com o armazenamento na nuvem. Sua equipe poderia ajudar a resolver esse problema? Agradeço pela sua resposta rápida. Obrigado.
Atenciosamente,
&lt;name&gt;
&lt;name&gt;, &lt;tel_num&gt;, &lt;acc_num&gt;</t>
        </is>
      </c>
      <c r="D128" t="inlineStr">
        <is>
          <t>Gerenciamento de Incidentes</t>
        </is>
      </c>
      <c r="E128" t="inlineStr">
        <is>
          <t>Gerenciamento de Problemas</t>
        </is>
      </c>
      <c r="F128" t="inlineStr"/>
      <c r="G128" t="inlineStr"/>
      <c r="H128" t="inlineStr"/>
      <c r="I128" t="inlineStr"/>
      <c r="J128" t="inlineStr">
        <is>
          <t>Gerenciamento de Incidentes</t>
        </is>
      </c>
      <c r="K128" t="inlineStr">
        <is>
          <t>Gerenciamento de Configuração de Serviço</t>
        </is>
      </c>
      <c r="L128" t="inlineStr">
        <is>
          <t>Gerenciamento de Incidentes</t>
        </is>
      </c>
      <c r="M128" t="inlineStr">
        <is>
          <t>Gerenciamento de Configuração</t>
        </is>
      </c>
    </row>
    <row r="129">
      <c r="A129" t="inlineStr">
        <is>
          <t>1067</t>
        </is>
      </c>
      <c r="B129" t="inlineStr">
        <is>
          <t>Solicitação de Orientação sobre Otimização de Custos da AWS</t>
        </is>
      </c>
      <c r="C129" t="inlineStr">
        <is>
          <t>Caro Time de Suporte da Consultoria de TI,
Espero que esta mensagem o encontre bem. Estou entrando em contato porque estou enfrentando desafios para otimizar os custos de vários serviços em nuvem da AWS. Preciso de orientação detalhada e solução de problemas em relação a essas questões. Especificamente, estou tendo dificuldades com o Serviço de Gerenciamento da AWS.
Agradeceria muito sua assistência especializada na identificação de áreas para redução de custos e melhoria de eficiência. Por favor, deixe-me saber sua disponibilidade para uma sessão de consulta na sua primeira conveniência.
Obrigado pelo seu suporte.
Atenciosamente,
&lt;name&gt; 
&lt;name&gt;</t>
        </is>
      </c>
      <c r="D129" t="inlineStr">
        <is>
          <t>Solicitação de Serviço</t>
        </is>
      </c>
      <c r="E129" t="inlineStr">
        <is>
          <t>Gerenciamento Financeiro</t>
        </is>
      </c>
      <c r="F129" t="inlineStr"/>
      <c r="G129" t="inlineStr"/>
      <c r="H129" t="inlineStr"/>
      <c r="I129" t="inlineStr"/>
      <c r="J129" t="inlineStr">
        <is>
          <t>Gerenciamento Financeiro de Serviços</t>
        </is>
      </c>
      <c r="K129" t="inlineStr">
        <is>
          <t>Gerenciamento de Nível de Serviço</t>
        </is>
      </c>
      <c r="L129" t="inlineStr">
        <is>
          <t>Gerenciamento Financeiro de TI</t>
        </is>
      </c>
      <c r="M129" t="inlineStr">
        <is>
          <t>Gerenciamento de Nível de Serviço</t>
        </is>
      </c>
    </row>
    <row r="130">
      <c r="A130" t="inlineStr">
        <is>
          <t>1068</t>
        </is>
      </c>
      <c r="B130" t="inlineStr">
        <is>
          <t>Suporte Urgente Necessário</t>
        </is>
      </c>
      <c r="C130" t="inlineStr">
        <is>
          <t>Caro Suporte ao Cliente, O touchscreen do meu Microsoft Surface Pro 7 não está respondendo e o dispositivo está travando com frequência. Preciso de suporte técnico imediato para resolver esses problemas. Meu nome é &lt;name&gt;, o número de contato é &lt;tel_num&gt;. Obrigado. Atenciosamente, &lt;name&gt;.</t>
        </is>
      </c>
      <c r="D130" t="inlineStr">
        <is>
          <t>Gerenciamento de Incidentes</t>
        </is>
      </c>
      <c r="E130" t="inlineStr">
        <is>
          <t>Gerenciamento de Ativos de TI</t>
        </is>
      </c>
      <c r="F130" t="inlineStr"/>
      <c r="G130" t="inlineStr"/>
      <c r="H130" t="inlineStr"/>
      <c r="I130" t="inlineStr"/>
      <c r="J130" t="inlineStr">
        <is>
          <t>Gerenciamento de Problemas</t>
        </is>
      </c>
      <c r="K130" t="inlineStr">
        <is>
          <t>Gerenciamento de Ativos de TI</t>
        </is>
      </c>
      <c r="L130" t="inlineStr">
        <is>
          <t>Gerenciamento de Incidentes</t>
        </is>
      </c>
      <c r="M130" t="inlineStr">
        <is>
          <t>Gerenciamento de Ativos de TI</t>
        </is>
      </c>
    </row>
    <row r="131">
      <c r="A131" t="inlineStr">
        <is>
          <t>1080</t>
        </is>
      </c>
      <c r="B131" t="inlineStr">
        <is>
          <t>Urgente: Crashes frequentes do servidor PostgreSQL</t>
        </is>
      </c>
      <c r="C131" t="inlineStr">
        <is>
          <t>Caro Suporte ao Cliente,
Estou escrevendo para expressar preocupações urgentes em relação ao nosso servidor de banco de dados PostgreSQL 14.3, que tem travado com frequência, causando grandes interrupções em nossos serviços. Este problema impacta significativamente nossas operações e necessita de atenção imediata. Você poderia, por favor, fornecer etapas de solução de problemas ou uma possível resolução para restaurar nossos sistemas? Sua assistência rápida é muito apreciada para nos ajudar a retomar a funcionalidade normal sem mais paralisações. Obrigado por abordar esse problema crítico urgentemente.
Atenciosamente,
&lt;name&gt;
Referência da Conta: &lt;acc_num&gt;</t>
        </is>
      </c>
      <c r="D131" t="inlineStr">
        <is>
          <t>Gerenciamento de Incidentes</t>
        </is>
      </c>
      <c r="E131" t="inlineStr">
        <is>
          <t>Gerenciamento de Disponibilidade</t>
        </is>
      </c>
      <c r="F131" t="inlineStr"/>
      <c r="G131" t="inlineStr"/>
      <c r="H131" t="inlineStr"/>
      <c r="I131" t="inlineStr"/>
      <c r="J131" t="inlineStr">
        <is>
          <t>Gerenciamento de Problemas</t>
        </is>
      </c>
      <c r="K131" t="inlineStr">
        <is>
          <t>Gerenciamento de Capacidade e Desempenho</t>
        </is>
      </c>
      <c r="L131" t="inlineStr">
        <is>
          <t>Gerenciamento de Problemas</t>
        </is>
      </c>
      <c r="M131" t="inlineStr">
        <is>
          <t>Gerenciamento de Disponibilidade</t>
        </is>
      </c>
    </row>
    <row r="132">
      <c r="A132" t="inlineStr">
        <is>
          <t>1107</t>
        </is>
      </c>
      <c r="B132" t="inlineStr">
        <is>
          <t>Assistência Necessária: Problema com a Instalação do Adobe Photoshop 2024</t>
        </is>
      </c>
      <c r="C132" t="inlineStr">
        <is>
          <t>Caro Suporte ao Cliente,
Estou escrevendo para solicitar assistência em relação a um problema que estou enfrentando com a instalação do Adobe Photoshop 2024. Comprei o software para o meu &lt;acc_num&gt; e tentei instalá-lo no meu computador, mas, infelizmente, estou encontrando uma mensagem de erro que diz 'instalação incompleta'. Isso persiste apesar de várias tentativas da minha parte para resolver o problema.
Verifiquei as requisitos de sistema e confirmei que meu sistema atende às especificações necessárias. Além disso, segui todas as etapas descritas no guia de instalação fornecido. Também tentei uma instalação limpa desinstalando versões anteriores, mas o problema continua sem solução.
Você poderia, por favor, fornecer orientações sobre como corrigir esse problema? Se houver etapas ou procedimentos de solução de problemas adicionais que eu deva seguir, por favor, me avise. Estou ansioso para usar o produto e agradeceria sua rápida assistência para facilitar uma instalação bem-sucedida.
Obrigado pelo seu apoio. Por favor, entre em contato comigo pelo &lt;tel_num&gt; para qualquer informação adicional que você possa precisar.
Atenciosamente,
&lt;name&gt;</t>
        </is>
      </c>
      <c r="D132" t="inlineStr">
        <is>
          <t>Gerenciamento de Incidentes</t>
        </is>
      </c>
      <c r="E132" t="inlineStr">
        <is>
          <t>Gerenciamento de Mudanças</t>
        </is>
      </c>
      <c r="F132" t="inlineStr"/>
      <c r="G132" t="inlineStr"/>
      <c r="H132" t="inlineStr"/>
      <c r="I132" t="inlineStr"/>
      <c r="J132" t="inlineStr">
        <is>
          <t>Gerenciamento de Liberação</t>
        </is>
      </c>
      <c r="K132" t="inlineStr">
        <is>
          <t>Gerenciamento de Requisição de Serviço</t>
        </is>
      </c>
      <c r="L132" t="inlineStr">
        <is>
          <t>Gerenciamento de Incidentes</t>
        </is>
      </c>
      <c r="M132" t="inlineStr">
        <is>
          <t>Gerenciamento de Configuração</t>
        </is>
      </c>
    </row>
    <row r="133">
      <c r="A133" t="inlineStr">
        <is>
          <t>1128</t>
        </is>
      </c>
      <c r="B133" t="inlineStr">
        <is>
          <t>Solicitação para Atualizar Informações de Compra - MacBook Air M1</t>
        </is>
      </c>
      <c r="C133" t="inlineStr">
        <is>
          <t>Caro Suporte ao Cliente da Tech Online Store,
Espero que esta mensagem o encontre bem. Estou escrevendo para solicitar uma alteração nas informações relacionadas a uma compra recente que fiz através da sua loja. Recentemente, encomendei um MacBook Air M1 e gostaria de atualizar o endereço de entrega associado a esta compra. O endereço atual registrado não está mais correto devido a uma mudança recente.
Você poderia atualizar o endereço de entrega para o seguinte: &lt;new_address&gt;? Meu número do pedido é &lt;order_num&gt;. Se alguma informação adicional for necessária para processar esta solicitação, por favor, me avise assim que possível.
Obrigado pela sua assistência.
Atenciosamente,
&lt;name&gt;
&lt;tel_num&gt;
&lt;email&gt;</t>
        </is>
      </c>
      <c r="D133" t="inlineStr">
        <is>
          <t>Solicitação de Serviço</t>
        </is>
      </c>
      <c r="E133" t="inlineStr">
        <is>
          <t>Gerenciamento de Ativos de TI</t>
        </is>
      </c>
      <c r="F133" t="inlineStr"/>
      <c r="G133" t="inlineStr"/>
      <c r="H133" t="inlineStr"/>
      <c r="I133" t="inlineStr"/>
      <c r="J133" t="inlineStr">
        <is>
          <t>Gerenciamento de Requisição de Serviço</t>
        </is>
      </c>
      <c r="K133" t="inlineStr">
        <is>
          <t>Gerenciamento de Relacionamento</t>
        </is>
      </c>
      <c r="L133" t="inlineStr">
        <is>
          <t>Central de Serviços</t>
        </is>
      </c>
      <c r="M133" t="inlineStr">
        <is>
          <t>Gerenciamento de Requisições</t>
        </is>
      </c>
    </row>
    <row r="134">
      <c r="A134" t="inlineStr">
        <is>
          <t>1129</t>
        </is>
      </c>
      <c r="B134" t="inlineStr">
        <is>
          <t>Urgente: Ajuda Necessária para Recuperação de Dados do MySQL 8.0.30</t>
        </is>
      </c>
      <c r="C134" t="inlineStr">
        <is>
          <t>Olá, encontramos uma perda severa de dados no MySQL 8.0.30. Suporte técnico imediato é essencial para recuperar os dados afetados rapidamente. Obrigado pela sua atenção urgente.</t>
        </is>
      </c>
      <c r="D134" t="inlineStr">
        <is>
          <t>Gerenciamento de Incidentes</t>
        </is>
      </c>
      <c r="E134" t="inlineStr">
        <is>
          <t>Gerenciamento de Disponibilidade</t>
        </is>
      </c>
      <c r="F134" t="inlineStr"/>
      <c r="G134" t="inlineStr"/>
      <c r="H134" t="inlineStr"/>
      <c r="I134" t="inlineStr"/>
      <c r="J134" t="inlineStr">
        <is>
          <t>Gerenciamento de Continuidade de Serviço de TI</t>
        </is>
      </c>
      <c r="K134" t="inlineStr">
        <is>
          <t>Gerenciamento de Segurança da Informação</t>
        </is>
      </c>
      <c r="L134" t="inlineStr">
        <is>
          <t>Gerenciamento de Incidentes</t>
        </is>
      </c>
      <c r="M134" t="inlineStr">
        <is>
          <t>Gerenciamento de Continuidade</t>
        </is>
      </c>
    </row>
    <row r="135">
      <c r="A135" t="inlineStr">
        <is>
          <t>1141</t>
        </is>
      </c>
      <c r="B135" t="inlineStr">
        <is>
          <t>Assistência Necessária Para Problema de Timeout do Jira</t>
        </is>
      </c>
      <c r="C135" t="inlineStr">
        <is>
          <t>Caro Time de Suporte de Serviços de TI,
Estou escrevendo para solicitar assistência com um problema recorrente que estamos enfrentando na versão 8.20 do Jira Software. Ocorrências frequentes de timeout acontecem ao gerenciar tarefas no backlog dentro do nosso projeto. Este bug interrompe significativamente nosso fluxo de trabalho e os cronogramas do projeto. Tentamos uma solução básica de problemas sem sucesso. Poderia investigar e fornecer uma solução rápida? Se necessário, posso fornecer detalhes adicionais ou arquivos de log.
Obrigado pela sua atenção urgente a este assunto.
Atenciosamente,
&lt;name&gt;
Gerente de Projeto
&lt;company_name&gt;
&lt;tel_num&gt;
&lt;email&gt;</t>
        </is>
      </c>
      <c r="D135" t="inlineStr">
        <is>
          <t>Gerenciamento de Incidentes</t>
        </is>
      </c>
      <c r="E135" t="inlineStr">
        <is>
          <t>Gerenciamento de Problemas</t>
        </is>
      </c>
      <c r="F135" t="inlineStr"/>
      <c r="G135" t="inlineStr"/>
      <c r="H135" t="inlineStr"/>
      <c r="I135" t="inlineStr"/>
      <c r="J135" t="inlineStr">
        <is>
          <t>Gerenciamento de Problemas</t>
        </is>
      </c>
      <c r="K135" t="inlineStr">
        <is>
          <t>Gerenciamento de Capacidade e Desempenho</t>
        </is>
      </c>
      <c r="L135" t="inlineStr">
        <is>
          <t>Gerenciamento de Problemas</t>
        </is>
      </c>
      <c r="M135" t="inlineStr">
        <is>
          <t>Gerenciamento de Disponibilidade</t>
        </is>
      </c>
    </row>
    <row r="136">
      <c r="A136" t="inlineStr">
        <is>
          <t>1148</t>
        </is>
      </c>
      <c r="B136" t="inlineStr">
        <is>
          <t>Assistência Necessária para Problema de Conectividade WiFi</t>
        </is>
      </c>
      <c r="C136" t="inlineStr">
        <is>
          <t>O cliente &lt;name&gt; relata problemas intermitentes de conectividade WiFi com o LG OLED C1, afetando os serviços de streaming, e solicita suporte para uma resolução rápida. Contato disponível em &lt;tel_num&gt;.</t>
        </is>
      </c>
      <c r="D136" t="inlineStr">
        <is>
          <t>Gerenciamento de Incidentes</t>
        </is>
      </c>
      <c r="E136" t="inlineStr">
        <is>
          <t>Gerenciamento de Problemas</t>
        </is>
      </c>
      <c r="F136" t="inlineStr"/>
      <c r="G136" t="inlineStr"/>
      <c r="H136" t="inlineStr"/>
      <c r="I136" t="inlineStr"/>
      <c r="J136" t="inlineStr">
        <is>
          <t>Gerenciamento de Incidentes</t>
        </is>
      </c>
      <c r="K136" t="inlineStr">
        <is>
          <t>Gerenciamento de Configuração de Serviço</t>
        </is>
      </c>
      <c r="L136" t="inlineStr">
        <is>
          <t>Gerenciamento de Incidentes</t>
        </is>
      </c>
      <c r="M136" t="inlineStr">
        <is>
          <t>Não se aplica</t>
        </is>
      </c>
    </row>
    <row r="137">
      <c r="A137" t="inlineStr">
        <is>
          <t>1150</t>
        </is>
      </c>
      <c r="B137" t="inlineStr">
        <is>
          <t>Erro Crítico no App React Desconectando a UI</t>
        </is>
      </c>
      <c r="C137" t="inlineStr">
        <is>
          <t>Prezado Time de Suporte de Serviços de TI,
Espero que esta mensagem o encontre bem. Estou entrando em contato para relatar um erro crítico dentro do nosso Serviço de Desenvolvimento de Aplicativos React em JavaScript, que está impactando significativamente o ambiente de produção. Nossos usuários estão enfrentando uma ampla interrupção na acessibilidade da interface do usuário, o que é prejudicial para nossas operações.
O problema surgiu ontem, e notamos que a questão afeta várias funcionalidades-chave do nosso aplicativo, perturbando drasticamente a experiência do usuário. Entendemos que este assunto requer atenção imediata, dada sua gravidade, pois compromete não apenas a usabilidade do nosso aplicativo, mas também a qualidade do nosso serviço e a confiança do cliente.
Você poderia, por favor, priorizar esta questão e nos fornecer um cronograma estimado para a resolução? Além disso, qualquer medida provisória que pudéssemos implementar para mitigar essa interrupção seria muito apreciada. Por favor, me avise se você precisar de mais detalhes, logs ou credenciais de acesso para facilitar uma análise rápida.
Obrigado pela sua atenção rápida a este assunto urgente. Aguardamos sua rápida resolução.
Atenciosamente,
&lt;name&gt;
Gerente de Projetos
Empresa XY Tech Solutions
&lt;headquarters_address&gt;
Email: &lt;email&gt;@xytechsolutions.com
Tel: &lt;tel_num&gt;</t>
        </is>
      </c>
      <c r="D137" t="inlineStr">
        <is>
          <t>Gerenciamento de Incidentes</t>
        </is>
      </c>
      <c r="E137" t="inlineStr">
        <is>
          <t>Gerenciamento de Disponibilidade</t>
        </is>
      </c>
      <c r="F137" t="inlineStr"/>
      <c r="G137" t="inlineStr"/>
      <c r="H137" t="inlineStr"/>
      <c r="I137" t="inlineStr"/>
      <c r="J137" t="inlineStr">
        <is>
          <t>Habilitação de Mudança</t>
        </is>
      </c>
      <c r="K137" t="inlineStr">
        <is>
          <t>Gerenciamento de Liberação</t>
        </is>
      </c>
      <c r="L137" t="inlineStr">
        <is>
          <t>Gerenciamento de Incidentes</t>
        </is>
      </c>
      <c r="M137" t="inlineStr">
        <is>
          <t>Gerenciamento de Mudanças</t>
        </is>
      </c>
    </row>
    <row r="138">
      <c r="A138" t="inlineStr">
        <is>
          <t>1155</t>
        </is>
      </c>
      <c r="B138" t="inlineStr">
        <is>
          <t>Assistência Necessária para o Uso de Canais Slack</t>
        </is>
      </c>
      <c r="C138" t="inlineStr">
        <is>
          <t>Caro Suporte ao Cliente da Tech Online Store,
Espero que esta mensagem o encontre bem. Estou entrando em contato para perguntar sobre como habilitar e utilizar efetivamente os canais Slack para facilitar a colaboração com clientes potenciais durante nossas atividades de engajamento pré-venda. Atualmente, estamos usando a versão 4.23.0 do Slack e temos como objetivo simplificar a comunicação e melhorar a produtividade em nossa equipe.
Você poderia nos orientar sobre as melhores práticas para configurar e gerenciar canais especificamente para esse propósito? Além disso, qualquer insight sobre como integrar isso com nossos processos de vendas atuais seria muito benéfico.
Agradeço antecipadamente pela sua assistência.
Atenciosamente,
&lt;name&gt;
&lt;acc_num&gt;
&lt;tel_num&gt;</t>
        </is>
      </c>
      <c r="D138" t="inlineStr">
        <is>
          <t>Solicitação de Serviço</t>
        </is>
      </c>
      <c r="E138" t="inlineStr">
        <is>
          <t>Gerenciamento de Mudanças</t>
        </is>
      </c>
      <c r="F138" t="inlineStr"/>
      <c r="G138" t="inlineStr"/>
      <c r="H138" t="inlineStr"/>
      <c r="I138" t="inlineStr"/>
      <c r="J138" t="inlineStr">
        <is>
          <t>Gerenciamento de Requisição de Serviço</t>
        </is>
      </c>
      <c r="K138" t="inlineStr">
        <is>
          <t>Gerenciamento de Conhecimento</t>
        </is>
      </c>
      <c r="L138" t="inlineStr">
        <is>
          <t>Gerenciamento de Requisições</t>
        </is>
      </c>
      <c r="M138" t="inlineStr">
        <is>
          <t>Não se aplica</t>
        </is>
      </c>
    </row>
    <row r="139">
      <c r="A139" t="inlineStr">
        <is>
          <t>1161</t>
        </is>
      </c>
      <c r="B139" t="inlineStr">
        <is>
          <t>Tela Sensível ao Toque Não Responsiva no Dispositivo</t>
        </is>
      </c>
      <c r="C139" t="inlineStr">
        <is>
          <t>Olá, estou enfrentando problemas com a funcionalidade da tela sensível ao toque no meu Microsoft Surface Pro 7. Ela não responde, tornando a navegação extremamente difícil. Você pode me ajudar com a solução de problemas ou fornecer opções de reparo? Obrigado, &lt;name&gt;.</t>
        </is>
      </c>
      <c r="D139" t="inlineStr">
        <is>
          <t>Gerenciamento de Incidentes</t>
        </is>
      </c>
      <c r="E139" t="inlineStr">
        <is>
          <t>Gerenciamento de Ativos de TI</t>
        </is>
      </c>
      <c r="F139" t="inlineStr"/>
      <c r="G139" t="inlineStr"/>
      <c r="H139" t="inlineStr"/>
      <c r="I139" t="inlineStr"/>
      <c r="J139" t="inlineStr">
        <is>
          <t>Gerenciamento de Problemas</t>
        </is>
      </c>
      <c r="K139" t="inlineStr">
        <is>
          <t>Gerenciamento de Ativos de TI</t>
        </is>
      </c>
      <c r="L139" t="inlineStr">
        <is>
          <t>Gerenciamento de Incidentes</t>
        </is>
      </c>
      <c r="M139" t="inlineStr">
        <is>
          <t>Gerenciamento de Ativos de TI</t>
        </is>
      </c>
    </row>
    <row r="140">
      <c r="A140" t="inlineStr">
        <is>
          <t>1182</t>
        </is>
      </c>
      <c r="B140" t="inlineStr">
        <is>
          <t>Problema de Discrepância de Cobrança</t>
        </is>
      </c>
      <c r="C140" t="inlineStr">
        <is>
          <t>Caro Time de Suporte de Serviços de TI, estou escrevendo para relatar uma discrepância de cobrança que encontrei em relação às cobranças do meu recente serviço de nuvem AWS, especificamente relacionadas ao Serviço de Gerenciamento da AWS. Depois de revisar minhas faturas recentes, percebi que as cobranças aplicadas à minha conta, &lt;acc_num&gt;, parecem mais altas do que o esperado e não estão alinhadas com os detalhes de uso que eu previa. Eu as comparei minuciosamente com o histórico de cobrança e encontrei inconsistências que não consigo justificar. Isso levanta preocupações, já que esperava que algumas cobranças fossem diferentes com base no plano de implantação inicial ao qual consenti. Agradeceria se o departamento de cobrança pudesse investigar essa discrepância na sua conveniência mais próxima, pois isso causou algum inconveniente financeiro. Se necessário, sinta-se à vontade para me contatar pelo &lt;tel_num&gt; caso precise de detalhes adicionais para ajudar a resolver esta questão rapidamente. Obrigado pela sua atenção a este assunto. Espero sua resposta e uma resolução. Atenciosamente, &lt;name&gt;</t>
        </is>
      </c>
      <c r="D140" t="inlineStr">
        <is>
          <t>Gerenciamento Financeiro</t>
        </is>
      </c>
      <c r="E140" t="inlineStr">
        <is>
          <t>Gerenciamento de Incidentes</t>
        </is>
      </c>
      <c r="F140" t="inlineStr"/>
      <c r="G140" t="inlineStr"/>
      <c r="H140" t="inlineStr"/>
      <c r="I140" t="inlineStr"/>
      <c r="J140" t="inlineStr">
        <is>
          <t>Gerenciamento Financeiro de Serviços</t>
        </is>
      </c>
      <c r="K140" t="inlineStr">
        <is>
          <t>Gerenciamento de Relacionamento</t>
        </is>
      </c>
      <c r="L140" t="inlineStr">
        <is>
          <t>Gerenciamento Financeiro de TI</t>
        </is>
      </c>
      <c r="M140" t="inlineStr">
        <is>
          <t>Gerenciamento de Nível de Serviço</t>
        </is>
      </c>
    </row>
    <row r="141">
      <c r="A141" t="inlineStr">
        <is>
          <t>1203</t>
        </is>
      </c>
      <c r="B141" t="inlineStr">
        <is>
          <t>Assistência Imediata Necessária para Interrupção de Rede</t>
        </is>
      </c>
      <c r="C141" t="inlineStr">
        <is>
          <t>Caro Suporte ao Cliente,
Atualmente estamos enfrentando um incidente de alta prioridade envolvendo nosso Roteador Cisco ISR4331, que está causando interrupções significativas no desempenho da nossa rede empresarial. Este problema levou a uma interrupção parcial afetando várias operações críticas. Solicitamos gentilmente sua atenção e expertise imediatas para resolver este problema o mais rápido possível.
Por favor, forneça orientação sobre os próximos passos para a resolução do problema ou confirme o envio de uma equipe técnica. Você pode me contatar na nossa linha direta: &lt;tel_num&gt; ou pelo e-mail &lt;email_address&gt;.
Obrigado pela sua resposta rápida.
Atenciosamente,
&lt;name&gt;
&lt;company_name&gt;</t>
        </is>
      </c>
      <c r="D141" t="inlineStr">
        <is>
          <t>Gerenciamento de Incidentes</t>
        </is>
      </c>
      <c r="E141" t="inlineStr">
        <is>
          <t>Gerenciamento de Disponibilidade</t>
        </is>
      </c>
      <c r="F141" t="inlineStr"/>
      <c r="G141" t="inlineStr"/>
      <c r="H141" t="inlineStr"/>
      <c r="I141" t="inlineStr"/>
      <c r="J141" t="inlineStr">
        <is>
          <t>Gerenciamento de Disponibilidade</t>
        </is>
      </c>
      <c r="K141" t="inlineStr">
        <is>
          <t>Monitoração e Gerenciamento de Eventos</t>
        </is>
      </c>
      <c r="L141" t="inlineStr">
        <is>
          <t>Gerenciamento de Incidentes</t>
        </is>
      </c>
      <c r="M141" t="inlineStr">
        <is>
          <t>Gerenciamento de Disponibilidade</t>
        </is>
      </c>
    </row>
    <row r="142">
      <c r="A142" t="inlineStr">
        <is>
          <t>1205</t>
        </is>
      </c>
      <c r="B142" t="inlineStr">
        <is>
          <t>Problema de Faturamento Inconsistente com o AWS Management</t>
        </is>
      </c>
      <c r="C142" t="inlineStr">
        <is>
          <t>Caro Equipe de Suporte ao Cliente,
Estou escrevendo para solicitar assistência com o faturamento inconsistente visto em nossa conta do AWS Management Service &lt;acc_num&gt;. Suspeitamos que a alocação subotimizada de recursos possa ser a causa e precisamos de orientação sobre estratégias eficientes de gerenciamento de custos. Sua ajuda oportuna para otimizar custos seria muito apreciada. Por favor, entre em contato comigo pelo &lt;tel_num&gt; ou e-mail &lt;email&gt;.
Obrigado,
&lt;name&gt;</t>
        </is>
      </c>
      <c r="D142" t="inlineStr">
        <is>
          <t>Gerenciamento Financeiro</t>
        </is>
      </c>
      <c r="E142" t="inlineStr">
        <is>
          <t>Gerenciamento de Capacidade</t>
        </is>
      </c>
      <c r="F142" t="inlineStr"/>
      <c r="G142" t="inlineStr"/>
      <c r="H142" t="inlineStr"/>
      <c r="I142" t="inlineStr"/>
      <c r="J142" t="inlineStr">
        <is>
          <t>Gerenciamento Financeiro de Serviços</t>
        </is>
      </c>
      <c r="K142" t="inlineStr">
        <is>
          <t>Gerenciamento de Capacidade e Desempenho</t>
        </is>
      </c>
      <c r="L142" t="inlineStr">
        <is>
          <t>Gerenciamento Financeiro de TI</t>
        </is>
      </c>
      <c r="M142" t="inlineStr">
        <is>
          <t>Gerenciamento de Problemas</t>
        </is>
      </c>
    </row>
    <row r="143">
      <c r="A143" t="inlineStr">
        <is>
          <t>1208</t>
        </is>
      </c>
      <c r="B143" t="inlineStr">
        <is>
          <t>Otimização de Rede e Assistência em Manutenção de Servidor</t>
        </is>
      </c>
      <c r="C143" t="inlineStr">
        <is>
          <t>Prezado Time de Suporte ao Cliente,
Espero que esta mensagem os encontre bem. Estou entrando em contato para perguntar sobre conselhos sobre como otimizar o desempenho da rede e melhorar nossos processos de manutenção de servidor. Como um valioso cliente do seu Serviço de Consultoria de TI, estamos interessados em garantir que nossos sistemas funcionem de maneira eficiente e confiável.
Você poderia, por favor, fornecer orientação ou agendar uma consulta com um de seus especialistas? Nosso objetivo principal é melhorar toda a infraestrutura de TI enquanto minimizamos o tempo de inatividade.
Obrigado pela sua assistência.
Atenciosamente,
&lt;name&gt;
&lt;tel_num&gt;
&lt;acc_num&gt;</t>
        </is>
      </c>
      <c r="D143" t="inlineStr">
        <is>
          <t>Solicitação de Serviço</t>
        </is>
      </c>
      <c r="E143" t="inlineStr">
        <is>
          <t>Gerenciamento de Capacidade</t>
        </is>
      </c>
      <c r="F143" t="inlineStr"/>
      <c r="G143" t="inlineStr"/>
      <c r="H143" t="inlineStr"/>
      <c r="I143" t="inlineStr"/>
      <c r="J143" t="inlineStr">
        <is>
          <t>Gerenciamento de Nível de Serviço</t>
        </is>
      </c>
      <c r="K143" t="inlineStr">
        <is>
          <t>Gerenciamento de Capacidade e Desempenho</t>
        </is>
      </c>
      <c r="L143" t="inlineStr">
        <is>
          <t>Gerenciamento de Problemas</t>
        </is>
      </c>
      <c r="M143" t="inlineStr">
        <is>
          <t>Gerenciamento de Disponibilidade</t>
        </is>
      </c>
    </row>
    <row r="144">
      <c r="A144" t="inlineStr">
        <is>
          <t>1216</t>
        </is>
      </c>
      <c r="B144" t="inlineStr">
        <is>
          <t>Solicitação de Assistência para Mudança de Configuração da AWS</t>
        </is>
      </c>
      <c r="C144" t="inlineStr">
        <is>
          <t>Prezado Equipe de Suporte ao Cliente,
Estou escrevendo para solicitar assistência com uma mudança de configuração para otimizar os custos da infraestrutura da AWS e melhorar a eficiência da implementação na nuvem. Atualmente, estamos usando seu Serviço de Gerenciamento da AWS e identificamos potenciais melhorias que poderiam beneficiar muito nossas operações. Você poderia, por favor, aconselhar sobre os melhores passos para iniciar esse processo? Sua resposta rápida seria muito apreciada.
Obrigado pelo seu contínuo apoio.
Atenciosamente,
&lt;name&gt;</t>
        </is>
      </c>
      <c r="D144" t="inlineStr">
        <is>
          <t>Solicitação de Serviço</t>
        </is>
      </c>
      <c r="E144" t="inlineStr">
        <is>
          <t>Gerenciamento Financeiro</t>
        </is>
      </c>
      <c r="F144" t="inlineStr"/>
      <c r="G144" t="inlineStr"/>
      <c r="H144" t="inlineStr"/>
      <c r="I144" t="inlineStr"/>
      <c r="J144" t="inlineStr">
        <is>
          <t>Habilitação de Mudança</t>
        </is>
      </c>
      <c r="K144" t="inlineStr">
        <is>
          <t>Gerenciamento Financeiro de Serviços</t>
        </is>
      </c>
      <c r="L144" t="inlineStr">
        <is>
          <t>Gerenciamento de Mudanças</t>
        </is>
      </c>
      <c r="M144" t="inlineStr">
        <is>
          <t>Gerenciamento de Configuração</t>
        </is>
      </c>
    </row>
    <row r="145">
      <c r="A145" t="inlineStr">
        <is>
          <t>1221</t>
        </is>
      </c>
      <c r="B145" t="inlineStr">
        <is>
          <t>Assistência de Faturamento Necessária</t>
        </is>
      </c>
      <c r="C145" t="inlineStr">
        <is>
          <t>Caro Time de Suporte ao Cliente,
Espero que esta mensagem o encontre bem. Estou entrando em contato para solicitar assistência com um ajuste de faturamento relacionado ao nosso uso recente do Serviço de Gestão da AWS, fornecido através de sua estimada empresa de Serviços de TI. Eu represento &lt;Company&gt; e temos uma conta sob o número &lt;acc_num&gt; que está associada às nossas operações em infraestrutura AWS em andamento.
Ao revisar nosso uso e a declarações de faturamento subsequente do último trimestre, notamos certas discrepâncias que gostaríamos de esclarecer. Durante o último trimestre, nosso Serviço de Gestão da AWS foi utilizado para aprimorar vários aspectos de nossa infraestrutura operacional, no entanto, o faturamento parece mais alto do que inicialmente previsto.
O que eu apreciaria é uma revisão abrangente das cobranças vinculadas à nossa conta. Especificamente, o faturamento reflete cobranças que não foram discutidas ou previstas em nossa correspondência anterior sobre as taxas de uso esperadas e despesas associadas. Minha equipe realizou uma auditoria interna e encontrou diferenças nas projeções em relação aos valores cobrados na documentação de faturamento fornecida por você em &lt;date&gt;.
Seria extremamente benéfico se pudéssemos organizar uma desagregação detalhada dos itens cobrados, acompanhada de métricas de uso detalhadas e uma explicação por escrito para cada cobrança onde as discrepâncias foram notadas. Além disso, gostaria de perguntar se há algum desconto em andamento ou mecanismos de faturamento que se adequariam melhor aos nossos padrões de uso, mas que não foram aplicados à nossa conta. Sua orientação sobre quaisquer opções disponíveis para ajustes de faturamento sob o atual contrato de serviço seria muito apreciada.
Para uma rápida resolução desta questão, estou disponível para mais discussões assim que for conveniente para você. Sinta-se à vontade para entrar em contato comigo diretamente por email ou pelo meu número de telefone, &lt;tel_num&gt;, a qualquer momento durante o horário comercial. Alternativamente, meu colega &lt;name&gt; pode ser contatado na minha ausência para quaisquer esclarecimentos necessários.
Agradeço antecipadamente pela sua atenção a este assunto. Aguardo suas percepções e espero resolver essa discrepância de maneira oportuna. Estou ansioso pela sua resposta rápida.
Atenciosamente,
&lt;name&gt;
&lt;Position&gt;
&lt;Company&gt;
&lt;Address&gt;
&lt;Contact Information&gt;</t>
        </is>
      </c>
      <c r="D145" t="inlineStr">
        <is>
          <t>Gerenciamento Financeiro</t>
        </is>
      </c>
      <c r="E145" t="inlineStr">
        <is>
          <t>Gerenciamento de Nível de Serviço</t>
        </is>
      </c>
      <c r="F145" t="inlineStr"/>
      <c r="G145" t="inlineStr"/>
      <c r="H145" t="inlineStr"/>
      <c r="I145" t="inlineStr"/>
      <c r="J145" t="inlineStr">
        <is>
          <t>Gerenciamento Financeiro de Serviços</t>
        </is>
      </c>
      <c r="K145" t="inlineStr">
        <is>
          <t>Gerenciamento de Relacionamento</t>
        </is>
      </c>
      <c r="L145" t="inlineStr">
        <is>
          <t>Gerenciamento Financeiro de TI</t>
        </is>
      </c>
      <c r="M145" t="inlineStr">
        <is>
          <t>Gerenciamento de Nível de Serviço</t>
        </is>
      </c>
    </row>
    <row r="146">
      <c r="A146" t="inlineStr">
        <is>
          <t>1222</t>
        </is>
      </c>
      <c r="B146" t="inlineStr">
        <is>
          <t>Solicitação de Alta Prioridade para Serviço de TI</t>
        </is>
      </c>
      <c r="C146" t="inlineStr">
        <is>
          <t>Caro Time de Suporte da Empresa de Consultoria de TI, espero que esta mensagem o encontre bem. Estou escrevendo para expressar nossa necessidade urgente de uma administração de servidor aprimorada e soluções de TI abrangentes. Temos experimentado frequentes interrupções no sistema, que têm sido cada vez mais disruptivas para nossas operações. Além disso, nossa experiência com respostas de suporte atrasadas apenas agravou nossas preocupações. Quando optamos anteriormente por seu Serviço de Consultoria de TI, esperávamos um sistema de suporte contínuo e proativo para garantir operações comerciais suaves. No entanto, a consistência das interrupções recentes apresentou desafios significativos para nossas equipes. Como dependemos profundamente de seus serviços, solicitamos atenção imediata a esses assuntos. É imperativo para nós ter um tempo de atividade do sistema estável e ininterrupto. Além disso, uma resposta de suporte oportuna é crucial para mitigar riscos potenciais e garantir eficiência operacional. Pedimos gentilmente que você trate este pedido com alta prioridade. Um plano de ação rápido ou uma proposta de reunião seriam muito apreciados. Obrigado pela sua atenção rápida a este assunto. Aguardamos sua resposta o mais breve possível. Se você precisar discutir isso por telefone, por favor, avise-nos. Atenciosamente, &lt;name&gt;</t>
        </is>
      </c>
      <c r="D146" t="inlineStr">
        <is>
          <t>Gerenciamento de Nível de Serviço</t>
        </is>
      </c>
      <c r="E146" t="inlineStr">
        <is>
          <t>Gerenciamento de Incidentes</t>
        </is>
      </c>
      <c r="F146" t="inlineStr"/>
      <c r="G146" t="inlineStr"/>
      <c r="H146" t="inlineStr"/>
      <c r="I146" t="inlineStr"/>
      <c r="J146" t="inlineStr">
        <is>
          <t>Gerenciamento de Nível de Serviço</t>
        </is>
      </c>
      <c r="K146" t="inlineStr">
        <is>
          <t>Gerenciamento de Problemas</t>
        </is>
      </c>
      <c r="L146" t="inlineStr">
        <is>
          <t>Gerenciamento de Problemas</t>
        </is>
      </c>
      <c r="M146" t="inlineStr">
        <is>
          <t>Gerenciamento de Nível de Serviço</t>
        </is>
      </c>
    </row>
    <row r="147">
      <c r="A147" t="inlineStr">
        <is>
          <t>1226</t>
        </is>
      </c>
      <c r="B147" t="inlineStr">
        <is>
          <t>Assistência Necessária para Ativação do MacBook Air</t>
        </is>
      </c>
      <c r="C147" t="inlineStr">
        <is>
          <t>Olá Suporte da Loja Online Tech,
Espero que esta mensagem o encontre bem. Recentemente, comprei um MacBook Air M1 na sua loja e estou enfrentando dificuldades com o processo de ativação. Apesar de seguir as instruções fornecidas, não consigo ativar o dispositivo com sucesso. Certifiquei-me de que o dispositivo está conectado à internet e verifiquei novamente as credenciais do Apple ID, mas, infelizmente, ainda estou enfrentando problemas.
Você poderia, por favor, fornecer orientações ou dicas de solução de problemas que possam ajudar a resolver essa questão? Se necessário, estou disponível para uma ligação em &lt;tel_num&gt; para percorrer os passos. Além disso, por favor, me avise se houver atualizações ou downloads de software necessários para uma ativação adequada.
Obrigado pela sua assistência e rápida resposta a essa questão. Estou ansioso para usar meu novo MacBook Air M1 e espero ter isso resolvido de forma eficiente.
Atenciosamente,
&lt;name&gt;
&lt;address&gt;
&lt;city&gt;, &lt;state&gt; &lt;zip_code&gt;</t>
        </is>
      </c>
      <c r="D147" t="inlineStr">
        <is>
          <t>Solicitação de Serviço</t>
        </is>
      </c>
      <c r="E147" t="inlineStr">
        <is>
          <t>Gerenciamento de Incidentes</t>
        </is>
      </c>
      <c r="F147" t="inlineStr"/>
      <c r="G147" t="inlineStr"/>
      <c r="H147" t="inlineStr"/>
      <c r="I147" t="inlineStr"/>
      <c r="J147" t="inlineStr">
        <is>
          <t>Gerenciamento de Requisição de Serviço</t>
        </is>
      </c>
      <c r="K147" t="inlineStr">
        <is>
          <t>Gerenciamento de Ativos de TI</t>
        </is>
      </c>
      <c r="L147" t="inlineStr">
        <is>
          <t>Gerenciamento de Requisições</t>
        </is>
      </c>
      <c r="M147" t="inlineStr">
        <is>
          <t>Não se aplica</t>
        </is>
      </c>
    </row>
    <row r="148">
      <c r="A148" t="inlineStr">
        <is>
          <t>1234</t>
        </is>
      </c>
      <c r="B148" t="inlineStr">
        <is>
          <t>Assistência Necessária para Configuração Sem Fio</t>
        </is>
      </c>
      <c r="C148" t="inlineStr">
        <is>
          <t>Caro Time de Suporte ao Cliente,
Espero que esta mensagem o encontre bem. Estou entrando em contato para solicitar assistência na configuração da impressão sem fio na minha impressora HP DeskJet 3755. Estou enfrentando dificuldades em conectar a impressora à minha rede sem fio e ficaria muito grato pela sua orientação para resolver esse problema.
Tentei seguir as instruções fornecidas no manual do usuário, mas, infelizmente, não tive sucesso. Como dependo muito da impressão para fins pessoais e profissionais, é crucial que eu resolva este problema o mais rápido possível.
Você poderia, por favor, fornecer-me quaisquer passos de solução de problemas ou suporte remoto para me guiar durante o processo de configuração? Se houver requisitos ou configurações específicas que precisam ser feitas, por favor, me avise sobre elas também.
Obrigado pela sua atenção rápida a este assunto. Estou ansioso pela sua resposta e espero ter a impressão sem fio funcionando corretamente em breve.
Atenciosamente,
&lt;name&gt;</t>
        </is>
      </c>
      <c r="D148" t="inlineStr">
        <is>
          <t>Solicitação de Serviço</t>
        </is>
      </c>
      <c r="E148" t="inlineStr">
        <is>
          <t>Gerenciamento de Incidentes</t>
        </is>
      </c>
      <c r="F148" t="inlineStr"/>
      <c r="G148" t="inlineStr"/>
      <c r="H148" t="inlineStr"/>
      <c r="I148" t="inlineStr"/>
      <c r="J148" t="inlineStr">
        <is>
          <t>Gerenciamento de Requisição de Serviço</t>
        </is>
      </c>
      <c r="K148" t="inlineStr">
        <is>
          <t>Gerenciamento de Conhecimento</t>
        </is>
      </c>
      <c r="L148" t="inlineStr">
        <is>
          <t>Gerenciamento de Requisições</t>
        </is>
      </c>
      <c r="M148" t="inlineStr">
        <is>
          <t>Não se aplica</t>
        </is>
      </c>
    </row>
    <row r="149">
      <c r="A149" t="inlineStr">
        <is>
          <t>1238</t>
        </is>
      </c>
      <c r="B149" t="inlineStr">
        <is>
          <t>Problema com Impressora Canon - Problema de Conexão Wifi</t>
        </is>
      </c>
      <c r="C149" t="inlineStr">
        <is>
          <t>Caro Suporte ao Cliente,&lt;br&gt;&lt;br&gt;Espero que esta mensagem te encontre bem. Estou escrevendo para expressar meu problema com uma Canon PIXMA MG3620 comprada recentemente. A impressora está tendo dificuldade para se conectar via WiFi. Após seguir os passos de solução de problemas fornecidos no manual e várias tentativas de reiniciar o dispositivo, o problema persiste.&lt;br&gt;&lt;br&gt;Gostaria de iniciar um processo de devolução e solicitar uma substituição de acordo com a política da sua loja. Não consigo realizar minhas tarefas necessárias devido a essa falha. Por favor, informe-me sobre os próximos passos e qualquer documentação ou informação necessária que eu precise enviar. Você pode me contatar no meu endereço de e-mail ou pelo meu telefone em &lt;tel_num&gt;.&lt;br&gt;&lt;br&gt;Obrigado pela sua imediata atenção a este assunto. Espero resolver este problema rapidamente.&lt;br&gt;&lt;br&gt;Atenciosamente,&lt;br&gt;&lt;br&gt;&lt;name&gt;</t>
        </is>
      </c>
      <c r="D149" t="inlineStr">
        <is>
          <t>Solicitação de Serviço</t>
        </is>
      </c>
      <c r="E149" t="inlineStr">
        <is>
          <t>Gerenciamento de Ativos de TI</t>
        </is>
      </c>
      <c r="F149" t="inlineStr"/>
      <c r="G149" t="inlineStr"/>
      <c r="H149" t="inlineStr"/>
      <c r="I149" t="inlineStr"/>
      <c r="J149" t="inlineStr">
        <is>
          <t>Gerenciamento de Ativos de TI</t>
        </is>
      </c>
      <c r="K149" t="inlineStr">
        <is>
          <t>Gerenciamento de Requisição de Serviço</t>
        </is>
      </c>
      <c r="L149" t="inlineStr">
        <is>
          <t>Gerenciamento de Incidentes</t>
        </is>
      </c>
      <c r="M149" t="inlineStr">
        <is>
          <t>Gerenciamento de Ativos de TI</t>
        </is>
      </c>
    </row>
    <row r="150">
      <c r="A150" t="inlineStr">
        <is>
          <t>1242</t>
        </is>
      </c>
      <c r="B150" t="inlineStr">
        <is>
          <t>Problema de quedas frequentes na conexão de rede</t>
        </is>
      </c>
      <c r="C150" t="inlineStr">
        <is>
          <t>Caro time de suporte ao cliente,
Estou escrevendo para expressar minha preocupação em relação a um problema que estamos enfrentando com nosso roteador Cisco ISR4331. Temos lidado com quedas frequentes de conexão que estão impactando severamente a estabilidade de nossa rede. Este problema está ocorrendo há várias semanas e parece estar piorando progressivamente. Dependemos fortemente de nossa infraestrutura de rede para gerenciar as operações diárias, e essas interrupções estão causando contratempos significativos.
Apesar de nossos esforços para solucionar o problema internamente, não conseguimos identificar uma fonte definitiva ou uma solução alternativa para aliviar essas quedas. Garantimos que todo o firmware e software associados ao roteador estão atualizados, e todas as configurações parecem seguir as diretrizes recomendadas.
Notamos que os problemas de conexão muitas vezes coincidem com os horários de pico da atividade da rede, mas também ocorrem esporadicamente ao longo do dia. Infelizmente, substituir o hardware não é uma solução viável no momento devido a restrições orçamentárias e desafios logísticos.
Agradeceríamos muito sua assistência para resolver este problema o mais rápido possível. Se necessário, estamos abertos a agendar uma chamada ou sessão remota com sua equipe de suporte para diagnosticar melhor o problema. Por favor, nos avise como devemos proceder.
Obrigado pela sua compreensão e apoio.
Atenciosamente,
&lt;name&gt;
&lt;tel_num&gt;</t>
        </is>
      </c>
      <c r="D150" t="inlineStr">
        <is>
          <t>Gerenciamento de Incidentes</t>
        </is>
      </c>
      <c r="E150" t="inlineStr">
        <is>
          <t>Gerenciamento de Problemas</t>
        </is>
      </c>
      <c r="F150" t="inlineStr"/>
      <c r="G150" t="inlineStr"/>
      <c r="H150" t="inlineStr"/>
      <c r="I150" t="inlineStr"/>
      <c r="J150" t="inlineStr">
        <is>
          <t>Gerenciamento de Problemas</t>
        </is>
      </c>
      <c r="K150" t="inlineStr">
        <is>
          <t>Gerenciamento de Capacidade e Desempenho</t>
        </is>
      </c>
      <c r="L150" t="inlineStr">
        <is>
          <t>Gerenciamento de Problemas</t>
        </is>
      </c>
      <c r="M150" t="inlineStr">
        <is>
          <t>Gerenciamento de Disponibilidade</t>
        </is>
      </c>
    </row>
    <row r="151">
      <c r="A151" t="inlineStr">
        <is>
          <t>1262</t>
        </is>
      </c>
      <c r="B151" t="inlineStr">
        <is>
          <t>Solicitação Urgente de Suporte de Faturamento para AWS</t>
        </is>
      </c>
      <c r="C151" t="inlineStr">
        <is>
          <t>Caro Suporte ao Cliente,
Espero que esta mensagem o encontre bem. Estou escrevendo a respeito de uma cobrança inesperada em nossa assinatura de Gerenciamento AWS, especificamente relacionada ao Serviço de Otimização de Custos. Nosso número de conta é &lt;acc_num&gt;. Você poderia, por favor, acelerar esta consulta? Sua rápida assistência seria muito apreciada.
Obrigado,
&lt;name&gt;
Número de Contato: &lt;tel_num&gt;</t>
        </is>
      </c>
      <c r="D151" t="inlineStr">
        <is>
          <t>Gerenciamento Financeiro</t>
        </is>
      </c>
      <c r="E151" t="inlineStr">
        <is>
          <t>Gerenciamento de Incidentes</t>
        </is>
      </c>
      <c r="F151" t="inlineStr"/>
      <c r="G151" t="inlineStr"/>
      <c r="H151" t="inlineStr"/>
      <c r="I151" t="inlineStr"/>
      <c r="J151" t="inlineStr">
        <is>
          <t>Gerenciamento Financeiro de Serviços</t>
        </is>
      </c>
      <c r="K151" t="inlineStr">
        <is>
          <t>Gerenciamento de Relacionamento</t>
        </is>
      </c>
      <c r="L151" t="inlineStr">
        <is>
          <t>Gerenciamento Financeiro de TI</t>
        </is>
      </c>
      <c r="M151" t="inlineStr">
        <is>
          <t>Gerenciamento de Incidentes</t>
        </is>
      </c>
    </row>
    <row r="152">
      <c r="A152" t="inlineStr">
        <is>
          <t>1277</t>
        </is>
      </c>
      <c r="B152" t="inlineStr">
        <is>
          <t>Problema ao Mudar o Status no Projeto de Software Jira</t>
        </is>
      </c>
      <c r="C152" t="inlineStr">
        <is>
          <t>Caro Time de Suporte ao Cliente,
Não consigo mudar o status do problema no meu projeto Jira Software 8.20. Parece que é necessária uma alteração na configuração de visualização administrativa. Por favor, me ajudem a resolver esse problema assim que possível.
Obrigado,
&lt;name&gt;
Número da Conta: &lt;acc_num&gt;
Telefone: &lt;tel_num&gt;</t>
        </is>
      </c>
      <c r="D152" t="inlineStr">
        <is>
          <t>Gerenciamento de Incidentes</t>
        </is>
      </c>
      <c r="E152" t="inlineStr">
        <is>
          <t>Gerenciamento de Acesso</t>
        </is>
      </c>
      <c r="F152" t="inlineStr"/>
      <c r="G152" t="inlineStr"/>
      <c r="H152" t="inlineStr"/>
      <c r="I152" t="inlineStr"/>
      <c r="J152" t="inlineStr">
        <is>
          <t>Gerenciamento de Requisição de Serviço</t>
        </is>
      </c>
      <c r="K152" t="inlineStr">
        <is>
          <t>Gerenciamento de Configuração de Serviço</t>
        </is>
      </c>
      <c r="L152" t="inlineStr"/>
      <c r="M152" t="inlineStr"/>
    </row>
    <row r="153">
      <c r="A153" t="inlineStr">
        <is>
          <t>1292</t>
        </is>
      </c>
      <c r="B153" t="inlineStr">
        <is>
          <t>Problemas de Conectividade de Rede</t>
        </is>
      </c>
      <c r="C153" t="inlineStr">
        <is>
          <t>Prezado Suporte ao Cliente,
Estou escrevendo para relatar um problema de conectividade de rede que estamos enfrentando com nosso Roteador Cisco ISR4331, impactando nossa rede empresarial segura e conexões de alto desempenho. O roteador, que é essencial para nossas operações diárias, tem interrompido conexões intermitentemente e afetado nossa produtividade geral. Reiniciamos o roteador e verificamos todas as conexões físicas, mas o problema persiste. Como esse dispositivo é crítico para garantir transferências de dados em alta velocidade em nossa rede, uma resolução rápida é necessária.
Você poderia, por favor, fornecer orientações ou arranjar um especialista técnico para nos ajudar a diagnosticar e resolver o problema? Qualquer conselho imediato para mitigar interrupções seria muito apreciado.
Obrigado pela sua atenção a este assunto. Posso ser contatado pelo &lt;tel_num&gt; ou por e-mail em &lt;email&gt;, caso você precise de mais detalhes.
Atenciosamente,
&lt;name&gt;
&lt;acc_num&gt;</t>
        </is>
      </c>
      <c r="D153" t="inlineStr">
        <is>
          <t>Gerenciamento de Incidentes</t>
        </is>
      </c>
      <c r="E153" t="inlineStr">
        <is>
          <t>Gerenciamento de Disponibilidade</t>
        </is>
      </c>
      <c r="F153" t="inlineStr"/>
      <c r="G153" t="inlineStr"/>
      <c r="H153" t="inlineStr"/>
      <c r="I153" t="inlineStr"/>
      <c r="J153" t="inlineStr">
        <is>
          <t>Gerenciamento de Monitoração e Eventos</t>
        </is>
      </c>
      <c r="K153" t="inlineStr">
        <is>
          <t>Gerenciamento de Disponibilidade</t>
        </is>
      </c>
      <c r="L153" t="inlineStr"/>
      <c r="M153" t="inlineStr"/>
    </row>
    <row r="154">
      <c r="A154" t="inlineStr">
        <is>
          <t>1295</t>
        </is>
      </c>
      <c r="B154" t="inlineStr">
        <is>
          <t>Urgente: Queda do Servidor AWS</t>
        </is>
      </c>
      <c r="C154" t="inlineStr">
        <is>
          <t>Prezado time de suporte de serviços de TI,
Estou escrevendo para informar que nosso servidor de distribuição para o Serviço de Gerenciamento do AWS caiu inesperadamente. Este incidente tem o potencial de causar uma interrupção prolongada em nossa infraestrutura de nuvem, o que pode impactar negativamente nossas operações e entrega de serviços. Portanto, precisamos de uma investigação imediata do problema para identificar e corrigir a causa raiz rapidamente.
Dada a natureza crítica de nossos serviços, restaurar a funcionalidade o mais rápido possível é primordial. Confio na experiência de sua equipe técnica para realizar uma análise detalhada e fornecer uma rápida resolução para evitar mais interrupções.
Por favor, priorizem este pedido e nos mantenham atualizados com quaisquer descobertas ou ações tomadas assim que possível. Sua atenção rápida a este assunto é muito apreciada. Obrigado pela sua cooperação.
Atenciosamente,
&lt;name&gt;
&lt;company_name&gt;
&lt;email_address&gt;
&lt;tel_num&gt;</t>
        </is>
      </c>
      <c r="D154" t="inlineStr">
        <is>
          <t>Gerenciamento de Incidentes</t>
        </is>
      </c>
      <c r="E154" t="inlineStr">
        <is>
          <t>Gerenciamento de Disponibilidade</t>
        </is>
      </c>
      <c r="F154" t="inlineStr"/>
      <c r="G154" t="inlineStr"/>
      <c r="H154" t="inlineStr"/>
      <c r="I154" t="inlineStr"/>
      <c r="J154" t="inlineStr">
        <is>
          <t>Gerenciamento de Disponibilidade</t>
        </is>
      </c>
      <c r="K154" t="inlineStr">
        <is>
          <t>Gerenciamento de Problemas</t>
        </is>
      </c>
      <c r="L154" t="inlineStr"/>
      <c r="M154" t="inlineStr"/>
    </row>
    <row r="155">
      <c r="A155" t="inlineStr">
        <is>
          <t>1298</t>
        </is>
      </c>
      <c r="B155" t="inlineStr">
        <is>
          <t>Problema Recurrente de Travamento do Excel Após Atualização</t>
        </is>
      </c>
      <c r="C155" t="inlineStr">
        <is>
          <t>Caro Suporte ao Cliente,
Estou escrevendo para relatar um problema contínuo que surgiu após a última atualização de software instalada em meu computador. Meu nome é &lt;name&gt;, e estou enfrentando erros frequentes de travamento especificamente com a aplicação Excel do Microsoft Office 365. Toda vez que tento abrir ou trabalhar dentro do Excel, a aplicação trava inesperadamente, impedindo-me de acessar dados e documentos importantes que preciso para tarefas diárias. Este problema parece persistir independentemente do arquivo de planilha que estou tentando abrir ou criar. Começou imediatamente após a instalação da atualização de software, razão pela qual suspeitamos que possa estar associado às recentes mudanças. Você poderia, por favor, fornecer orientações ou uma possível solução para resolver essa questão rapidamente? Eu dependo muito do Microsoft Office 365 para o meu trabalho e espero que esse problema seja resolvido o mais rápido possível. Entendendo a urgência de manter a produtividade, aguardo sua pronta resposta. Sinta-se à vontade para me contatar pelo &lt;tel_num&gt;.
Obrigado pelo seu apoio.
Atenciosamente,
&lt;name&gt;</t>
        </is>
      </c>
      <c r="D155" t="inlineStr">
        <is>
          <t>Gerenciamento de Problemas</t>
        </is>
      </c>
      <c r="E155" t="inlineStr">
        <is>
          <t>Gerenciamento de Mudanças</t>
        </is>
      </c>
      <c r="F155" t="inlineStr"/>
      <c r="G155" t="inlineStr"/>
      <c r="H155" t="inlineStr"/>
      <c r="I155" t="inlineStr"/>
      <c r="J155" t="inlineStr">
        <is>
          <t>Habilitação de Mudança</t>
        </is>
      </c>
      <c r="K155" t="inlineStr">
        <is>
          <t>Gerenciamento de Liberação</t>
        </is>
      </c>
      <c r="L155" t="inlineStr"/>
      <c r="M155" t="inlineStr"/>
    </row>
    <row r="156">
      <c r="A156" t="inlineStr">
        <is>
          <t>1304</t>
        </is>
      </c>
      <c r="B156" t="inlineStr">
        <is>
          <t>Solicitação de Suporte para Configuração de Impressora Sem Fio</t>
        </is>
      </c>
      <c r="C156" t="inlineStr">
        <is>
          <t>Olá, equipe de suporte de serviços de TI, espero que esta mensagem os encontre bem. Estou entrando em contato para solicitar assistência na configuração de uma conexão sem fio para uma nova impressora em nosso escritório. O modelo da impressora é HP DeskJet 3755, e ela foi comprada recentemente para ajudar a aliviar nossa carga de trabalho. Agradeceríamos sua orientação para garantir que ela se conecte perfeitamente com nossa configuração de rede existente e seja acessível a todos os funcionários. Precisamos resolver isso em breve, pois é essencial para nossas operações diárias, e evitar qualquer problema de conectividade é crucial. Se alguém puder nos guiar pelo processo ou até mesmo agendar uma sessão remota assim que possível, seria muito apreciado. Por favor, nos informe quais os passos que precisamos seguir ou qualquer configuração necessária. Estamos visando uma configuração sem complicações e não desejamos interromper nosso fluxo de trabalho regular. Agradecemos antecipadamente pelo seu apoio e rápida resposta a respeito deste problema. Esperamos ouvir de vocês em breve. Atenciosamente, &lt;name&gt;</t>
        </is>
      </c>
      <c r="D156" t="inlineStr">
        <is>
          <t>Solicitação de Serviço</t>
        </is>
      </c>
      <c r="E156" t="inlineStr">
        <is>
          <t>Gerenciamento de Configuração</t>
        </is>
      </c>
      <c r="F156" t="inlineStr"/>
      <c r="G156" t="inlineStr"/>
      <c r="H156" t="inlineStr"/>
      <c r="I156" t="inlineStr"/>
      <c r="J156" t="inlineStr">
        <is>
          <t>Gerenciamento de Requisição de Serviço</t>
        </is>
      </c>
      <c r="K156" t="inlineStr">
        <is>
          <t>Gerenciamento de Catálogo de Serviço</t>
        </is>
      </c>
      <c r="L156" t="inlineStr"/>
      <c r="M156" t="inlineStr"/>
    </row>
    <row r="157">
      <c r="A157" t="inlineStr">
        <is>
          <t>1322</t>
        </is>
      </c>
      <c r="B157" t="inlineStr">
        <is>
          <t>Problema com o Teclado</t>
        </is>
      </c>
      <c r="C157" t="inlineStr">
        <is>
          <t>Caro Suporte ao Cliente,
Espero que esta mensagem o encontre bem. Estou escrevendo para relatar um problema com o recurso de teclado destacável que estou enfrentando com meu Microsoft Surface Pro 7. Infelizmente, parece que o teclado não está funcionando como esperado, o que está afetando significativamente a usabilidade do dispositivo.
O problema se manifesta como o teclado desconectando aleatoriamente durante o uso, o que interrompe meu fluxo de trabalho e torna difícil completar tarefas com eficiência. Eu assegurei que todas as conexões estão seguras e tentei etapas básicas de solução de problemas, como reiniciar o dispositivo e atualizar o software, mas o problema persiste.
Agradeceria qualquer assistência adicional e orientação que você pudesse fornecer para resolver este problema prontamente. Se precisar de mais detalhes ou tiver soluções acionáveis, por favor me avise. Obrigado pela sua atenção a este assunto.
Atenciosamente,
&lt;name&gt;
&lt;email&gt;</t>
        </is>
      </c>
      <c r="D157" t="inlineStr">
        <is>
          <t>Gerenciamento de Incidentes</t>
        </is>
      </c>
      <c r="E157" t="inlineStr">
        <is>
          <t>Gerenciamento de Ativos de TI</t>
        </is>
      </c>
      <c r="F157" t="inlineStr"/>
      <c r="G157" t="inlineStr"/>
      <c r="H157" t="inlineStr"/>
      <c r="I157" t="inlineStr"/>
      <c r="J157" t="inlineStr">
        <is>
          <t>Gerenciamento de Problemas</t>
        </is>
      </c>
      <c r="K157" t="inlineStr">
        <is>
          <t>Gerenciamento de Ativos de TI</t>
        </is>
      </c>
      <c r="L157" t="inlineStr"/>
      <c r="M157" t="inlineStr"/>
    </row>
    <row r="158">
      <c r="A158" t="inlineStr">
        <is>
          <t>1337</t>
        </is>
      </c>
      <c r="B158" t="inlineStr">
        <is>
          <t>Problema com a Exibição do Ticket do Jira</t>
        </is>
      </c>
      <c r="C158" t="inlineStr">
        <is>
          <t>Caro Suporte ao Cliente,
Espero que esta mensagem o encontre bem. Estou escrevendo para relatar um problema que estamos enfrentando com o Jira Software 8.20. Nossos tickets não estão sendo exibidos corretamente, causando problemas significativos de gerenciamento de projetos. Isso está afetando a produtividade da nossa equipe e a capacidade de gerenciar projetos de forma eficiente. Peço gentilmente assistência urgente para resolver essa questão, pois está interrompendo nossas operações diárias. Por favor, orientem sobre os próximos passos ou quaisquer modificações que possamos implementar de nossa parte.
Obrigado pela sua atenção imediata a este problema.
Atenciosamente,
&lt;name&gt;</t>
        </is>
      </c>
      <c r="D158" t="inlineStr">
        <is>
          <t>Gerenciamento de Incidentes</t>
        </is>
      </c>
      <c r="E158" t="inlineStr">
        <is>
          <t>Gerenciamento de Problemas</t>
        </is>
      </c>
      <c r="F158" t="inlineStr"/>
      <c r="G158" t="inlineStr"/>
      <c r="H158" t="inlineStr"/>
      <c r="I158" t="inlineStr"/>
      <c r="J158" t="inlineStr">
        <is>
          <t>Gerenciamento de Problemas</t>
        </is>
      </c>
      <c r="K158" t="inlineStr">
        <is>
          <t>Gerenciamento de Configuração de Serviço</t>
        </is>
      </c>
      <c r="L158" t="inlineStr"/>
      <c r="M158" t="inlineStr"/>
    </row>
    <row r="159">
      <c r="A159" t="inlineStr">
        <is>
          <t>1349</t>
        </is>
      </c>
      <c r="B159" t="inlineStr">
        <is>
          <t>Consulta sobre Configuração de Impressão Sem Fio para Epson EcoTank ET-4760</t>
        </is>
      </c>
      <c r="C159" t="inlineStr">
        <is>
          <t>Prezado Suporte ao Cliente,
Estou buscando sua assistência para configurar a funcionalidade de impressão sem fio na minha impressora Epson EcoTank ET-4760. Recentemente adquiri este produto e gostaria de garantir que ele esteja configurado corretamente para funcionar com vários dispositivos via Wi-Fi. Você poderia me fornecer instruções detalhadas passo a passo ou me direcionar a um recurso que possa ajudar? Além disso, qualquer dica para solucionar problemas comuns de conectividade seria apreciada. Obrigado pelo seu apoio.
Atenciosamente,
&lt;name&gt;</t>
        </is>
      </c>
      <c r="D159" t="inlineStr">
        <is>
          <t>Solicitação de Serviço</t>
        </is>
      </c>
      <c r="E159" t="inlineStr">
        <is>
          <t>Gerenciamento de Incidentes</t>
        </is>
      </c>
      <c r="F159" t="inlineStr"/>
      <c r="G159" t="inlineStr"/>
      <c r="H159" t="inlineStr"/>
      <c r="I159" t="inlineStr"/>
      <c r="J159" t="inlineStr">
        <is>
          <t>Gerenciamento de Requisição de Serviço</t>
        </is>
      </c>
      <c r="K159" t="inlineStr">
        <is>
          <t>Gerenciamento de Conhecimento</t>
        </is>
      </c>
      <c r="L159" t="inlineStr"/>
      <c r="M159" t="inlineStr"/>
    </row>
    <row r="160">
      <c r="A160" t="inlineStr">
        <is>
          <t>1354</t>
        </is>
      </c>
      <c r="B160" t="inlineStr">
        <is>
          <t>Consulta sobre o Upgrade do Dell XPS 13 9310</t>
        </is>
      </c>
      <c r="C160" t="inlineStr">
        <is>
          <t>Olá,
Espero que esta mensagem o encontre bem. Estou considerando fazer o upgrade da RAM no meu Dell XPS 13 9310 e apreciaria sua orientação. Poderia, por favor, fornecer informações sobre a compatibilidade e os modelos disponíveis? Sua experiência e conselho sobre este assunto seriam imensamente úteis.
Obrigado.
Atenciosamente,
&lt;name&gt;</t>
        </is>
      </c>
      <c r="D160" t="inlineStr">
        <is>
          <t>Solicitação de Serviço</t>
        </is>
      </c>
      <c r="E160" t="inlineStr">
        <is>
          <t>Gerenciamento de Ativos de TI</t>
        </is>
      </c>
      <c r="F160" t="inlineStr"/>
      <c r="G160" t="inlineStr"/>
      <c r="H160" t="inlineStr"/>
      <c r="I160" t="inlineStr"/>
      <c r="J160" t="inlineStr">
        <is>
          <t>Gerenciamento de Catálogo de Serviço</t>
        </is>
      </c>
      <c r="K160" t="inlineStr">
        <is>
          <t>Gerenciamento de Ativos de TI</t>
        </is>
      </c>
      <c r="L160" t="inlineStr"/>
      <c r="M160" t="inlineStr"/>
    </row>
    <row r="161">
      <c r="A161" t="inlineStr">
        <is>
          <t>1359</t>
        </is>
      </c>
      <c r="B161" t="inlineStr">
        <is>
          <t>Problema com a tela sensível ao toque do Surface Pro 7</t>
        </is>
      </c>
      <c r="C161" t="inlineStr">
        <is>
          <t>Caro Suporte ao Cliente da Tech Online Store,
Estou escrevendo para relatar um problema com meu Microsoft Surface Pro 7. Ocasionalmente, a tela sensível ao toque fica sem resposta, o que prejudica significativamente o uso eficaz. Por favor, ajudem a resolver esta questão. É essencial para minhas tarefas diárias, e ter um funcionamento otimizado é crucial.
Agradeceria qualquer passo de solução de problemas ou se o serviço for necessário. Meu número de conta é &lt;acc_num&gt;, e você pode me contatar pelo &lt;tel_num&gt;.
Obrigado pela sua atenção rápida a este problema. Aguardo sua assistência rápida.
Atenciosamente,
&lt;name&gt;</t>
        </is>
      </c>
      <c r="D161" t="inlineStr">
        <is>
          <t>Gerenciamento de Incidentes</t>
        </is>
      </c>
      <c r="E161" t="inlineStr">
        <is>
          <t>Gerenciamento de Ativos de TI</t>
        </is>
      </c>
      <c r="F161" t="inlineStr"/>
      <c r="G161" t="inlineStr"/>
      <c r="H161" t="inlineStr"/>
      <c r="I161" t="inlineStr"/>
      <c r="J161" t="inlineStr">
        <is>
          <t>Gerenciamento de Problemas</t>
        </is>
      </c>
      <c r="K161" t="inlineStr">
        <is>
          <t>Gerenciamento de Ativos de TI</t>
        </is>
      </c>
      <c r="L161" t="inlineStr"/>
      <c r="M161" t="inlineStr"/>
    </row>
    <row r="162">
      <c r="A162" t="inlineStr">
        <is>
          <t>1373</t>
        </is>
      </c>
      <c r="B162" t="inlineStr">
        <is>
          <t>Problema Urgente: O Colapso do Sistema de Tickets do Jira Software</t>
        </is>
      </c>
      <c r="C162" t="inlineStr">
        <is>
          <t>Prezado Time de Suporte ao Cliente,
Estou escrevendo para expressar minha preocupação em relação a um problema significativo que estamos enfrentando com a versão 8.20 do Jira Software durante nossas importantes reuniões de scrum. Esse problema está causando uma interrupção substancial em nosso processo de gerenciamento de projetos, e precisamos de assistência urgente para resolvê-lo.
Durante nossas recentes sessões de scrum, o sistema de tickets do Jira começou a travar inesperadamente, interrompendo nosso fluxo de trabalho e impedindo nossa capacidade de rastrear e gerenciar nossas tarefas de desenvolvimento de forma eficiente. Dado que essas reuniões são essenciais para planejar e monitorar nossos sprints, as interrupções recorrentes tornaram-se um grande obstáculo. Isso impacta a produtividade de nossa equipe e nos impede de fazer os ajustes necessários nos projetos a tempo.
Confiamos muito no Jira como nossa principal ferramenta para organizar nosso backlog e monitorar o progresso dos sprints. A incapacidade de acessar o sistema durante reuniões de planejamento chave nos atrasa em termos de entregas e afeta negativamente nosso cronograma. Além disso, a equipe acha desafiador colaborar sem a ajuda das abrangentes funcionalidades de rastreamento do Jira que passamos a depender.
Você poderia investigar essa questão com prioridade e fornecer qualquer solução ou alternativa disponível para mitigar a interrupção? Esperamos uma resolução oportuna e aguardamos sua rápida resposta. Nosso número de conta é &lt;acc_num&gt; se necessário para referência.
Obrigado pela sua imediata atenção a este assunto.
Atenciosamente,
&lt;name&gt;
&lt;tel_num&gt;</t>
        </is>
      </c>
      <c r="D162" t="inlineStr">
        <is>
          <t>Gerenciamento de Incidentes</t>
        </is>
      </c>
      <c r="E162" t="inlineStr">
        <is>
          <t>Gerenciamento de Disponibilidade</t>
        </is>
      </c>
      <c r="F162" t="inlineStr"/>
      <c r="G162" t="inlineStr"/>
      <c r="H162" t="inlineStr"/>
      <c r="I162" t="inlineStr"/>
      <c r="J162" t="inlineStr">
        <is>
          <t>Gerenciamento de Capacidade e Desempenho</t>
        </is>
      </c>
      <c r="K162" t="inlineStr">
        <is>
          <t>Gerenciamento de Problemas</t>
        </is>
      </c>
      <c r="L162" t="inlineStr"/>
      <c r="M162" t="inlineStr"/>
    </row>
    <row r="163">
      <c r="A163" t="inlineStr">
        <is>
          <t>1390</t>
        </is>
      </c>
      <c r="B163" t="inlineStr">
        <is>
          <t>Problemas com Videoconferência no Zoom</t>
        </is>
      </c>
      <c r="C163" t="inlineStr">
        <is>
          <t>Caro Equipe de Suporte da Tech Online Store,
Estou escrevendo para solicitar assistência com um problema recorrente que venho enfrentando durante sessões de videoconferência usando a aplicação Zoom versão 5.11.0, que comprei na sua loja. O problema afeta a sincronização de áudio e vídeo, causando atrasos e interrupções durante as chamadas. Certifiquei-me de que minha conexão de internet está estável e que o dispositivo atende a todos os requisitos necessários para rodar o Zoom de forma suave.
Agradeceria se você pudesse fornecer quaisquer passos de solução de problemas ou uma possível atualização para resolver esses problemas. Detalhes da minha conta são os seguintes: O Número da Conta é &lt;acc_num&gt;. Estou anexando um registro da minha chamada recente que pode ajudar a diagnosticar o problema. Por favor, aconselhe sobre os próximos passos que eu devo tomar. Você pode me contatar em &lt;email&gt; ou me ligar pelo telefone &lt;tel_num&gt;.
Obrigado pela sua atenção a este assunto.
Atenciosamente,
&lt;name&gt;</t>
        </is>
      </c>
      <c r="D163" t="inlineStr">
        <is>
          <t>Gerenciamento de Incidentes</t>
        </is>
      </c>
      <c r="E163" t="inlineStr">
        <is>
          <t>Gerenciamento de Problemas</t>
        </is>
      </c>
      <c r="F163" t="inlineStr"/>
      <c r="G163" t="inlineStr"/>
      <c r="H163" t="inlineStr"/>
      <c r="I163" t="inlineStr"/>
      <c r="J163" t="inlineStr">
        <is>
          <t>Gerenciamento de Capacidade e Desempenho</t>
        </is>
      </c>
      <c r="K163" t="inlineStr">
        <is>
          <t>Gerenciamento de Problemas</t>
        </is>
      </c>
      <c r="L163" t="inlineStr"/>
      <c r="M163" t="inlineStr"/>
    </row>
    <row r="164">
      <c r="A164" t="inlineStr">
        <is>
          <t>1420</t>
        </is>
      </c>
      <c r="B164" t="inlineStr">
        <is>
          <t>Consulta sobre Pacotes de Consultoria e Preços</t>
        </is>
      </c>
      <c r="C164" t="inlineStr">
        <is>
          <t>Caro Suporte ao Cliente,
Espero que este e-mail o encontre bem. Estou entrando em contato para perguntar sobre os diversos pacotes de consultoria e opções de preços que sua empresa oferece. Estamos considerando aprimorar nossa infraestrutura de TI e precisamos de ajuda profissional para manter nossos servidores de forma eficiente. Você poderia fornecer informações detalhadas sobre o que seus Serviços de Consultoria em TI abrangem, incluindo quaisquer planos disponíveis que sejam voltados para a manutenção de servidores e melhorias na infraestrutura de TI? Além disso, estamos interessados em compreender quaisquer custos associados ou descontos disponíveis.
Obrigado pela sua atenção a este assunto. Aguardo sua resposta rápida, pois isso nos ajudará muito a tomar uma decisão informada. Sinta-se à vontade para entrar em contato comigo caso precise de mais informações.
Atenciosamente,
&lt;name&gt;</t>
        </is>
      </c>
      <c r="D164" t="inlineStr">
        <is>
          <t>Solicitação de Serviço</t>
        </is>
      </c>
      <c r="E164" t="inlineStr">
        <is>
          <t>Gerenciamento Financeiro</t>
        </is>
      </c>
      <c r="F164" t="inlineStr"/>
      <c r="G164" t="inlineStr"/>
      <c r="H164" t="inlineStr"/>
      <c r="I164" t="inlineStr"/>
      <c r="J164" t="inlineStr">
        <is>
          <t>Gerenciamento de Relacionamento</t>
        </is>
      </c>
      <c r="K164" t="inlineStr">
        <is>
          <t>Gerenciamento de Catálogo de Serviço</t>
        </is>
      </c>
      <c r="L164" t="inlineStr"/>
      <c r="M164" t="inlineStr"/>
    </row>
    <row r="165">
      <c r="A165" t="inlineStr">
        <is>
          <t>1426</t>
        </is>
      </c>
      <c r="B165" t="inlineStr">
        <is>
          <t>Ação Imediata Necessária para Interrupção do Serviço AWS</t>
        </is>
      </c>
      <c r="C165" t="inlineStr">
        <is>
          <t>A interrupção do serviço AWS está causando tempo de inatividade do aplicativo e requer assistência urgente.</t>
        </is>
      </c>
      <c r="D165" t="inlineStr">
        <is>
          <t>Gerenciamento de Incidentes</t>
        </is>
      </c>
      <c r="E165" t="inlineStr">
        <is>
          <t>Gerenciamento de Disponibilidade</t>
        </is>
      </c>
      <c r="F165" t="inlineStr"/>
      <c r="G165" t="inlineStr"/>
      <c r="H165" t="inlineStr"/>
      <c r="I165" t="inlineStr"/>
      <c r="J165" t="inlineStr">
        <is>
          <t>Gerenciamento de Continuidade de Serviço</t>
        </is>
      </c>
      <c r="K165" t="inlineStr">
        <is>
          <t>Gerenciamento de Monitoração e Eventos</t>
        </is>
      </c>
      <c r="L165" t="inlineStr"/>
      <c r="M165" t="inlineStr"/>
    </row>
    <row r="166">
      <c r="A166" t="inlineStr">
        <is>
          <t>1432</t>
        </is>
      </c>
      <c r="B166" t="inlineStr">
        <is>
          <t>Assistência com Configuração da Samsung QLED</t>
        </is>
      </c>
      <c r="C166" t="inlineStr">
        <is>
          <t>Caro Suporte ao Cliente,
Preciso de ajuda para configurar minha nova TV Smart Samsung QLED QN90A e conectá-la ao Wi-Fi. Você poderia, por favor, fornecer orientações ou recomendar etapas ou recursos específicos? Obrigado pela sua assistência.
Atenciosamente,
&lt;name&gt;</t>
        </is>
      </c>
      <c r="D166" t="inlineStr">
        <is>
          <t>Solicitação de Serviço</t>
        </is>
      </c>
      <c r="E166" t="inlineStr">
        <is>
          <t>Gerenciamento de Incidentes</t>
        </is>
      </c>
      <c r="F166" t="inlineStr"/>
      <c r="G166" t="inlineStr"/>
      <c r="H166" t="inlineStr"/>
      <c r="I166" t="inlineStr"/>
      <c r="J166" t="inlineStr">
        <is>
          <t>Gerenciamento de Requisição de Serviço</t>
        </is>
      </c>
      <c r="K166" t="inlineStr">
        <is>
          <t>Gerenciamento de Conhecimento</t>
        </is>
      </c>
      <c r="L166" t="inlineStr"/>
      <c r="M166" t="inlineStr"/>
    </row>
    <row r="167">
      <c r="A167" t="inlineStr">
        <is>
          <t>1443</t>
        </is>
      </c>
      <c r="B167" t="inlineStr">
        <is>
          <t>Solicitação de Troca: Problema com a Tela Touchscreen do Dell XPS 13 9310</t>
        </is>
      </c>
      <c r="C167" t="inlineStr">
        <is>
          <t>Caro Suporte ao Cliente, estou enfrentando problemas com a tela touchscreen do Dell XPS 13 9310 adquirido em sua loja. Solicito assistência para troca. Meu número do pedido é &lt;order_num&gt;. Obrigado, &lt;name&gt;, &lt;tel_num&gt;.</t>
        </is>
      </c>
      <c r="D167" t="inlineStr">
        <is>
          <t>Solicitação de Serviço</t>
        </is>
      </c>
      <c r="E167" t="inlineStr">
        <is>
          <t>Gerenciamento de Ativos de TI</t>
        </is>
      </c>
      <c r="F167" t="inlineStr"/>
      <c r="G167" t="inlineStr"/>
      <c r="H167" t="inlineStr"/>
      <c r="I167" t="inlineStr"/>
      <c r="J167" t="inlineStr">
        <is>
          <t>Gerenciamento de Ativos de TI</t>
        </is>
      </c>
      <c r="K167" t="inlineStr">
        <is>
          <t>Gerenciamento de Fornecedor</t>
        </is>
      </c>
      <c r="L167" t="inlineStr"/>
      <c r="M167" t="inlineStr"/>
    </row>
    <row r="168">
      <c r="A168" t="inlineStr">
        <is>
          <t>1461</t>
        </is>
      </c>
      <c r="B168" t="inlineStr">
        <is>
          <t>Erro SQL recorrente impactando a recuperação de dados para projetos</t>
        </is>
      </c>
      <c r="C168" t="inlineStr">
        <is>
          <t>Caro Time de Suporte dos Serviços de TI,
Estou escrevendo para relatar um problema que um de nossos clientes, &lt;name&gt;, está enfrentando com o PostgreSQL 14.3. Eles identificaram erros SQL recorrentes ao tentar acessar o banco de dados, o que está impactando significativamente sua capacidade de recuperar dados para vários projetos críticos. Este problema está causando interrupções consideráveis em suas operações diárias, e eles estão buscando uma resolução imediata.
O cliente relata que os erros SQL são imprevisíveis, mas se tornaram mais frequentes nas últimas semanas. Esses problemas surgem durante a execução de consultas de dados, interrompendo o progresso nas tarefas essenciais para a conclusão do projeto. Revisamos suas configurações atuais e garantimos que estão alinhadas com os parâmetros padrão recomendados para desempenho otimizado.
Por favor, aconselhe sobre os próximos passos que devemos tomar para solucionar e resolver este problema persistente. Agradeceríamos imensamente qualquer assistência acelerada que você puder fornecer para minimizar o impacto na produtividade de nosso cliente.
Obrigado pela sua atenção imediata a este assunto.
Atenciosamente,
&lt;name&gt;
&lt;name&gt;@company.com
&lt;tel_num&gt;</t>
        </is>
      </c>
      <c r="D168" t="inlineStr">
        <is>
          <t>Gerenciamento de Incidentes</t>
        </is>
      </c>
      <c r="E168" t="inlineStr">
        <is>
          <t>Gerenciamento de Problemas</t>
        </is>
      </c>
      <c r="F168" t="inlineStr"/>
      <c r="G168" t="inlineStr"/>
      <c r="H168" t="inlineStr"/>
      <c r="I168" t="inlineStr"/>
      <c r="J168" t="inlineStr">
        <is>
          <t>Gerenciamento de Problemas</t>
        </is>
      </c>
      <c r="K168" t="inlineStr">
        <is>
          <t>Gerenciamento de Capacidade e Desempenho</t>
        </is>
      </c>
      <c r="L168" t="inlineStr"/>
      <c r="M168" t="inlineStr"/>
    </row>
    <row r="169">
      <c r="A169" t="inlineStr">
        <is>
          <t>1462</t>
        </is>
      </c>
      <c r="B169" t="inlineStr">
        <is>
          <t>Assistência Urgente Necessária: Interruptão de Serviço da AWS</t>
        </is>
      </c>
      <c r="C169" t="inlineStr">
        <is>
          <t>Caro Time de Suporte ao Cliente de Serviços de TI,
Espero que esta mensagem encontre você bem. Estou escrevendo para informá-los sobre uma interrupção inesperada no serviço que estamos enfrentando com o AWS Management Service. Nosso sistema de monitoramento da AWS indicou uma interrupção inesperada nos serviços, o que está afetando significativamente nossa acessibilidade na nuvem e nossa produtividade geral. Esta situação está impactando nossas operações, e estamos em grande necessidade de sua expertise técnica para nos ajudar a resolver esses desafios o mais cedo possível.
Você poderia, por favor, acelerar essa questão e nos fornecer a assistência necessária para restaurar as operações normais? Dependemos muito da AWS para nossas atividades diárias, e qualquer tempo de inatividade afeta severamente nosso fluxo de trabalho e entrega de serviços. Agradecemos sua pronta atenção a este assunto e aguardamos seu rápido apoio para restaurar a funcionalidade total.
Sinta-se à vontade para me contatar pelo &lt;tel_num&gt; ou me enviar um e-mail para qualquer discussão ou esclarecimento adicional. Obrigado pela sua imediata atenção e suporte.
Atenciosamente,
&lt;name&gt;</t>
        </is>
      </c>
      <c r="D169" t="inlineStr">
        <is>
          <t>Gerenciamento de Incidentes</t>
        </is>
      </c>
      <c r="E169" t="inlineStr">
        <is>
          <t>Gerenciamento de Disponibilidade</t>
        </is>
      </c>
      <c r="F169" t="inlineStr"/>
      <c r="G169" t="inlineStr"/>
      <c r="H169" t="inlineStr"/>
      <c r="I169" t="inlineStr"/>
      <c r="J169" t="inlineStr">
        <is>
          <t>Gerenciamento de Continuidade de Serviço</t>
        </is>
      </c>
      <c r="K169" t="inlineStr">
        <is>
          <t>Gerenciamento de Monitoração e Eventos</t>
        </is>
      </c>
      <c r="L169" t="inlineStr"/>
      <c r="M169" t="inlineStr"/>
    </row>
    <row r="170">
      <c r="A170" t="inlineStr">
        <is>
          <t>1484</t>
        </is>
      </c>
      <c r="B170" t="inlineStr">
        <is>
          <t>Problema de Cobrança Inconsistente com o AWS Management</t>
        </is>
      </c>
      <c r="C170" t="inlineStr">
        <is>
          <t>Caro Time de Suporte ao Cliente,
Estou escrevendo para solicitar assistência com a cobrança inconsistente vista na nossa conta do AWS Management Service &lt;acc_num&gt;. Suspeitamos que uma alocação de recursos subótima possa ser a causa e precisamos de orientação sobre estratégias eficientes de gerenciamento de custos. Sua ajuda oportuna para otimizar os custos seria muito apreciada. Por favor, entre em contato comigo pelo &lt;tel_num&gt; ou e-mail &lt;email&gt;.
Obrigado,
&lt;name&gt;</t>
        </is>
      </c>
      <c r="D170" t="inlineStr">
        <is>
          <t>Gerenciamento Financeiro</t>
        </is>
      </c>
      <c r="E170" t="inlineStr">
        <is>
          <t>Gerenciamento de Capacidade</t>
        </is>
      </c>
      <c r="F170" t="inlineStr"/>
      <c r="G170" t="inlineStr"/>
      <c r="H170" t="inlineStr"/>
      <c r="I170" t="inlineStr"/>
      <c r="J170" t="inlineStr">
        <is>
          <t>Gerenciamento Financeiro de Serviços</t>
        </is>
      </c>
      <c r="K170" t="inlineStr">
        <is>
          <t>Gerenciamento de Relacionamento</t>
        </is>
      </c>
      <c r="L170" t="inlineStr"/>
      <c r="M170" t="inlineStr"/>
    </row>
    <row r="171">
      <c r="A171" t="inlineStr">
        <is>
          <t>1486</t>
        </is>
      </c>
      <c r="B171" t="inlineStr">
        <is>
          <t>Problema ao Criar Tickets no Jira</t>
        </is>
      </c>
      <c r="C171" t="inlineStr">
        <is>
          <t>Caro Suporte ao Cliente, estou enfrentando um problema com o Jira Software 8.20, onde a tela congela ao tentar enviar formulários para novos tickets. Isso está afetando severamente nossa eficiência de fluxo de trabalho. Você poderia, por favor, fornecer uma solução ou alternativa para resolver esse problema rapidamente? Sua atenção imediata para restaurar nossa capacidade de criar tickets de maneira eficiente seria muito apreciada. Obrigado pelo seu apoio. Atenciosamente, &lt;name&gt;</t>
        </is>
      </c>
      <c r="D171" t="inlineStr">
        <is>
          <t>Gerenciamento de Incidentes</t>
        </is>
      </c>
      <c r="E171" t="inlineStr">
        <is>
          <t>Gerenciamento de Problemas</t>
        </is>
      </c>
      <c r="F171" t="inlineStr"/>
      <c r="G171" t="inlineStr"/>
      <c r="H171" t="inlineStr"/>
      <c r="I171" t="inlineStr"/>
      <c r="J171" t="inlineStr">
        <is>
          <t>Gerenciamento de Problemas</t>
        </is>
      </c>
      <c r="K171" t="inlineStr">
        <is>
          <t>Gerenciamento de Liberação</t>
        </is>
      </c>
      <c r="L171" t="inlineStr"/>
      <c r="M171" t="inlineStr"/>
    </row>
    <row r="172">
      <c r="A172" t="inlineStr">
        <is>
          <t>1487</t>
        </is>
      </c>
      <c r="B172" t="inlineStr">
        <is>
          <t>Urgente: Problema de Inicialização do Dell XPS 13</t>
        </is>
      </c>
      <c r="C172" t="inlineStr">
        <is>
          <t>O usuário relata um problema persistente de inicialização no Dell XPS 13 9310. Necessita de suporte urgente de TI para resolução.</t>
        </is>
      </c>
      <c r="D172" t="inlineStr">
        <is>
          <t>Gerenciamento de Incidentes</t>
        </is>
      </c>
      <c r="E172" t="inlineStr">
        <is>
          <t>Gerenciamento de Problemas</t>
        </is>
      </c>
      <c r="F172" t="inlineStr"/>
      <c r="G172" t="inlineStr"/>
      <c r="H172" t="inlineStr"/>
      <c r="I172" t="inlineStr"/>
      <c r="J172" t="inlineStr">
        <is>
          <t>Gerenciamento de Problemas</t>
        </is>
      </c>
      <c r="K172" t="inlineStr">
        <is>
          <t>Gerenciamento de Ativos de TI</t>
        </is>
      </c>
      <c r="L172" t="inlineStr"/>
      <c r="M172" t="inlineStr"/>
    </row>
    <row r="173">
      <c r="A173" t="inlineStr">
        <is>
          <t>1497</t>
        </is>
      </c>
      <c r="B173" t="inlineStr">
        <is>
          <t>Assistência Urgente Necessária</t>
        </is>
      </c>
      <c r="C173" t="inlineStr">
        <is>
          <t>Caro Suporte de Serviços de TI,
Estamos enfrentando bugs significativos na interface do usuário e problemas de desempenho em nossa aplicação web JavaScript React. Isso está afetando criticamente nossas operações, e precisamos de uma resolução rápida. Por favor, priorize este assunto, pois impacta o cronograma atual do nosso projeto. Conecte-se urgentemente.
Atenciosamente,
&lt;name&gt;
&lt;tel_num&gt;
&lt;acc_num&gt;</t>
        </is>
      </c>
      <c r="D173" t="inlineStr">
        <is>
          <t>Gerenciamento de Incidentes</t>
        </is>
      </c>
      <c r="E173" t="inlineStr">
        <is>
          <t>Gerenciamento de Problemas</t>
        </is>
      </c>
      <c r="F173" t="inlineStr"/>
      <c r="G173" t="inlineStr"/>
      <c r="H173" t="inlineStr"/>
      <c r="I173" t="inlineStr"/>
      <c r="J173" t="inlineStr">
        <is>
          <t>Desenvolvimento e Gerenciamento de Software</t>
        </is>
      </c>
      <c r="K173" t="inlineStr">
        <is>
          <t>Gerenciamento de Problemas</t>
        </is>
      </c>
      <c r="L173" t="inlineStr"/>
      <c r="M173" t="inlineStr"/>
    </row>
    <row r="174">
      <c r="A174" t="inlineStr">
        <is>
          <t>1512</t>
        </is>
      </c>
      <c r="B174" t="inlineStr">
        <is>
          <t>Alta Prioridade: Falha no Serviço do Zoom</t>
        </is>
      </c>
      <c r="C174" t="inlineStr">
        <is>
          <t>Caro Suporte ao Cliente da Tech Online Store,
Estou escrevendo para informar sobre um incidente de alta prioridade que está afetando atualmente o aplicativo Zoom, versão 5.11.0. No momento, os usuários estão enfrentando uma falha crítica no serviço, particularmente impactando os recursos de videoconferência que são amplamente utilizados para reuniões essenciais e comunicações. Essa interrupção está causando grande inconveniente e afetando nosso fluxo de trabalho.
Como o Zoom é uma parte crucial das nossas operações comerciais, é imperativo receber assistência rápida e uma atualização sobre este problema. Dependemos bastante do seu funcionamento confiável e apreciaríamos qualquer informação sobre quando o serviço deve retornar ao normal.
Por favor, escalone este problema para a equipe apropriada para uma resolução rápida. Estou disponível para qualquer informação adicional que você possa precisar para acelerar este processo. Para correspondência imediata, posso ser contatado pelo &lt;tel_num&gt; ou através deste endereço de e-mail. Aguardando uma resposta rápida.
Obrigado pela sua atenção a este assunto urgente.
Atenciosamente,
&lt;name&gt;
&lt;acc_num&gt;</t>
        </is>
      </c>
      <c r="D174" t="inlineStr">
        <is>
          <t>Gerenciamento de Incidentes</t>
        </is>
      </c>
      <c r="E174" t="inlineStr">
        <is>
          <t>Gerenciamento de Disponibilidade</t>
        </is>
      </c>
      <c r="F174" t="inlineStr"/>
      <c r="G174" t="inlineStr"/>
      <c r="H174" t="inlineStr"/>
      <c r="I174" t="inlineStr"/>
      <c r="J174" t="inlineStr">
        <is>
          <t>Gerenciamento de Continuidade de Serviço</t>
        </is>
      </c>
      <c r="K174" t="inlineStr">
        <is>
          <t>Gerenciamento de Fornecedor</t>
        </is>
      </c>
      <c r="L174" t="inlineStr"/>
      <c r="M174" t="inlineStr"/>
    </row>
    <row r="175">
      <c r="A175" t="inlineStr">
        <is>
          <t>1518</t>
        </is>
      </c>
      <c r="B175" t="inlineStr">
        <is>
          <t>Problema com Atualizações de Tarefas Scrum</t>
        </is>
      </c>
      <c r="C175" t="inlineStr">
        <is>
          <t>Caro Atendimento ao Cliente,
Estou escrevendo para informá-lo sobre um ticket criado em relação a um problema recorrente de sincronização de backlog que está impedindo atualizações de tarefas scrum no Jira Software 8.20. Esse problema causa atrasos significativos em nosso fluxo de trabalho de gerenciamento de projetos, afetando a colaboração e a eficiência da equipe. Precisamos de uma resolução urgente ou orientação sobre como mitigar essas interrupções. Nossas equipes dependem fortemente da funcionalidade consistente do Jira para manter o andamento de nossos projetos. Por favor, atribua um representante dedicado para nos ajudar a diagnosticar e resolver esse problema de software.
Obrigado pela sua atenção rápida a este assunto.
Atenciosamente,
&lt;name&gt;</t>
        </is>
      </c>
      <c r="D175" t="inlineStr">
        <is>
          <t>Gerenciamento de Incidentes</t>
        </is>
      </c>
      <c r="E175" t="inlineStr">
        <is>
          <t>Gerenciamento de Problemas</t>
        </is>
      </c>
      <c r="F175" t="inlineStr"/>
      <c r="G175" t="inlineStr"/>
      <c r="H175" t="inlineStr"/>
      <c r="I175" t="inlineStr"/>
      <c r="J175" t="inlineStr">
        <is>
          <t>Gerenciamento de Problemas</t>
        </is>
      </c>
      <c r="K175" t="inlineStr">
        <is>
          <t>Gerenciamento de Configuração de Serviço</t>
        </is>
      </c>
      <c r="L175" t="inlineStr"/>
      <c r="M175" t="inlineStr"/>
    </row>
    <row r="176">
      <c r="A176" t="inlineStr">
        <is>
          <t>1536</t>
        </is>
      </c>
      <c r="B176" t="inlineStr">
        <is>
          <t>Problema de Conectividade da Canon PIXMA MG3620</t>
        </is>
      </c>
      <c r="C176" t="inlineStr">
        <is>
          <t>Caro Time de Suporte ao Cliente,&lt;br&gt;&lt;br&gt;Espero que esta mensagem o encontre bem. Estou escrevendo para abordar um problema que encontrei com a impressora Canon PIXMA MG3620 comprada sob minha conta, &lt;acc_num&gt;. Liguei anteriormente sobre um problema de conectividade e gostaria de dar seguimento, pois o problema persiste. Apesar da minha rede estar estável, a impressora continua a aparecer como offline. Tentei seguir os passos de solução de problemas fornecidos, incluindo reiniciar meu roteador e impressora, verificar as configurações da rede e garantir que os drivers corretos estão instalados, mas sem sucesso.&lt;br&gt;&lt;br&gt;Esse problema contínuo afeta severamente minha capacidade de realizar tarefas diárias, uma vez que essa impressora é fundamental para meu trabalho. Qualquer assistência que você puder fornecer seria muito apreciada. Espero que você possa me orientar em direção a uma solução assim que possível.&lt;br&gt;&lt;br&gt;Caso você precise entrar em contato comigo diretamente, meu número de telefone é &lt;tel_num&gt;. Obrigado pela sua atenção a este assunto. Aguardando sua resposta rápida.&lt;br&gt;&lt;br&gt;Atenciosamente,&lt;br&gt;&lt;name&gt;</t>
        </is>
      </c>
      <c r="D176" t="inlineStr">
        <is>
          <t>Gerenciamento de Incidentes</t>
        </is>
      </c>
      <c r="E176" t="inlineStr">
        <is>
          <t>Gerenciamento de Problemas</t>
        </is>
      </c>
      <c r="F176" t="inlineStr"/>
      <c r="G176" t="inlineStr"/>
      <c r="H176" t="inlineStr"/>
      <c r="I176" t="inlineStr"/>
      <c r="J176" t="inlineStr">
        <is>
          <t>Gerenciamento de Problemas</t>
        </is>
      </c>
      <c r="K176" t="inlineStr">
        <is>
          <t>Gerenciamento de Monitoração e Eventos</t>
        </is>
      </c>
      <c r="L176" t="inlineStr"/>
      <c r="M176" t="inlineStr"/>
    </row>
    <row r="177">
      <c r="A177" t="inlineStr">
        <is>
          <t>1553</t>
        </is>
      </c>
      <c r="B177" t="inlineStr">
        <is>
          <t>Solicitação para Investigar Discrepância na Faturação do Serviço AWS</t>
        </is>
      </c>
      <c r="C177" t="inlineStr">
        <is>
          <t>Caro Time de Suporte ao Cliente,
Espero que esta mensagem o encontre bem. Estou escrevendo para chamar sua atenção para uma cobrança inesperada em nossa fatura recente associada ao Serviço de Gerenciamento AWS. A discrepância foi notada no último ciclo de faturamento, afetando o número da conta &lt;acc_num&gt;. Ao revisar a fatura, parece que houve uma cobrança incomum que se desviou significativamente dos nossos custos antecipados com base nos padrões de uso regulares.
Não fizemos nenhuma alteração substancial em nossos serviços ou níveis de uso que justificariam tal aumento. Assim, solicitamos gentilmente uma investigação detalhada sobre o que pode ter causado essa cobrança inesperada. Por favor, nos avise se houver atualizações ou mudanças nos procedimentos ou nas cobranças de serviços relacionadas aos Serviços de Gerenciamento AWS que possam justificar essa discrepância.
Além disso, agradeceríamos orientação sobre ações corretivas ou ajustes necessários para evitar discrepâncias futuras. Se necessário, fique à vontade para entrar em contato comigo diretamente pelo &lt;tel_num&gt; para quaisquer detalhes adicionais que você possa precisar neste processo de revisão. Agradecemos antecipadamente pela sua pronta atenção a este assunto.
Atenciosamente,
&lt;name&gt;</t>
        </is>
      </c>
      <c r="D177" t="inlineStr">
        <is>
          <t>Gerenciamento Financeiro</t>
        </is>
      </c>
      <c r="E177" t="inlineStr">
        <is>
          <t>Gerenciamento de Incidentes</t>
        </is>
      </c>
      <c r="F177" t="inlineStr"/>
      <c r="G177" t="inlineStr"/>
      <c r="H177" t="inlineStr"/>
      <c r="I177" t="inlineStr"/>
      <c r="J177" t="inlineStr">
        <is>
          <t>Gerenciamento Financeiro de Serviços</t>
        </is>
      </c>
      <c r="K177" t="inlineStr">
        <is>
          <t>Gerenciamento de Relacionamento</t>
        </is>
      </c>
      <c r="L177" t="inlineStr"/>
      <c r="M177" t="inlineStr"/>
    </row>
    <row r="178">
      <c r="A178" t="inlineStr">
        <is>
          <t>1565</t>
        </is>
      </c>
      <c r="B178" t="inlineStr">
        <is>
          <t>Problema no Roteador Cisco ISR4331</t>
        </is>
      </c>
      <c r="C178" t="inlineStr">
        <is>
          <t>Prezados Suporte ao Cliente, nosso Roteador Cisco ISR4331 está apresentando defeito, impactando severamente a conectividade da internet durante os horários de pico do negócio. Assistência imediata é necessária para resolver este problema. Obrigado, &lt;name&gt;.</t>
        </is>
      </c>
      <c r="D178" t="inlineStr">
        <is>
          <t>Gerenciamento de Incidentes</t>
        </is>
      </c>
      <c r="E178" t="inlineStr">
        <is>
          <t>Gerenciamento de Disponibilidade</t>
        </is>
      </c>
      <c r="F178" t="inlineStr"/>
      <c r="G178" t="inlineStr"/>
      <c r="H178" t="inlineStr"/>
      <c r="I178" t="inlineStr"/>
      <c r="J178" t="inlineStr">
        <is>
          <t>Gerenciamento de Capacidade e Desempenho</t>
        </is>
      </c>
      <c r="K178" t="inlineStr">
        <is>
          <t>Gerenciamento de Monitoração e Eventos</t>
        </is>
      </c>
      <c r="L178" t="inlineStr"/>
      <c r="M178" t="inlineStr"/>
    </row>
    <row r="179">
      <c r="A179" t="inlineStr">
        <is>
          <t>1573</t>
        </is>
      </c>
      <c r="B179" t="inlineStr">
        <is>
          <t>Assistência Necessária para Configuração Sem Fio do Canon PIXMA MG3620</t>
        </is>
      </c>
      <c r="C179" t="inlineStr">
        <is>
          <t>Caro Suporte ao Cliente,
Estou escrevendo para solicitar assistência na configuração do recurso sem fio da minha nova impressora Canon PIXMA MG3620, que comprei recentemente em sua loja. Ao tentar configurar a conexão sem fio, encontrei algumas dificuldades que não consegui resolver usando o manual fornecido ou recursos online.
Segui os passos iniciais, garantindo que a impressora estivesse ligada e dentro do alcance do roteador, mas a impressora não conseguiu se conectar à minha rede sem fio. Além disso, certifiquei-me de que minhas credenciais de rede estavam inseridas corretamente e que minha rede estava funcionando corretamente com outros dispositivos.
Apesar dessas verificações, a impressora mostra repetidamente um erro de conexão. Eu apreciaria muito qualquer orientação que você pudesse fornecer ou qualquer dica de solução de problemas específica para este modelo. Se houver necessidade de agendar uma chamada ou discutir o processo mais detalhadamente, por favor, me avise, e ficarei feliz em fornecer meus dados de contato.
Obrigado pela sua atenção a este assunto. Aguardo sua resposta rapidamente.
Atenciosamente,
&lt;name&gt; 
Conta do Cliente: &lt;acc_num&gt;</t>
        </is>
      </c>
      <c r="D179" t="inlineStr">
        <is>
          <t>Solicitação de Serviço</t>
        </is>
      </c>
      <c r="E179" t="inlineStr">
        <is>
          <t>Gerenciamento de Incidentes</t>
        </is>
      </c>
      <c r="F179" t="inlineStr"/>
      <c r="G179" t="inlineStr"/>
      <c r="H179" t="inlineStr"/>
      <c r="I179" t="inlineStr"/>
      <c r="J179" t="inlineStr">
        <is>
          <t>Gerenciamento de Requisição de Serviço</t>
        </is>
      </c>
      <c r="K179" t="inlineStr">
        <is>
          <t>Gerenciamento de Conhecimento</t>
        </is>
      </c>
      <c r="L179" t="inlineStr"/>
      <c r="M179" t="inlineStr"/>
    </row>
    <row r="180">
      <c r="A180" t="inlineStr">
        <is>
          <t>1577</t>
        </is>
      </c>
      <c r="B180" t="inlineStr">
        <is>
          <t>Solicitação de Campos Personalizados Adicionais no Jira</t>
        </is>
      </c>
      <c r="C180" t="inlineStr">
        <is>
          <t>Caro Suporte ao Cliente,
Temos utilizado o Jira Software 8.20 para nossos fins de gerenciamento de projetos e estamos ansiosos para melhorar nossa eficiência de fluxo de trabalho. Para isso, gostaríamos de solicitar a incorporação de campos personalizados adicionais no software, pois acreditamos que essas alterações aumentariam a captura de dados e agilizariam nossas operações.
Por favor, informe-nos sobre a viabilidade da integração desses campos personalizados e forneça qualquer informação suplementar ou etapas essenciais para a execução deste pedido. Aguardamos ansiosamente sua assistência na implementação dessas modificações necessárias.
Obrigado e melhores cumprimentos,
&lt;name&gt;
&lt;acc_num&gt;</t>
        </is>
      </c>
      <c r="D180" t="inlineStr">
        <is>
          <t>Solicitação de Serviço</t>
        </is>
      </c>
      <c r="E180" t="inlineStr">
        <is>
          <t>Gerenciamento de Mudanças</t>
        </is>
      </c>
      <c r="F180" t="inlineStr"/>
      <c r="G180" t="inlineStr"/>
      <c r="H180" t="inlineStr"/>
      <c r="I180" t="inlineStr"/>
      <c r="J180" t="inlineStr">
        <is>
          <t>Gerenciamento de Requisição de Serviço</t>
        </is>
      </c>
      <c r="K180" t="inlineStr">
        <is>
          <t>Habilitação de Mudança</t>
        </is>
      </c>
      <c r="L180" t="inlineStr"/>
      <c r="M180" t="inlineStr"/>
    </row>
    <row r="181">
      <c r="A181" t="inlineStr">
        <is>
          <t>1595</t>
        </is>
      </c>
      <c r="B181" t="inlineStr">
        <is>
          <t>Solicitação Urgente para Modificação de Ticket Jira</t>
        </is>
      </c>
      <c r="C181" t="inlineStr">
        <is>
          <t>Caro Suporte ao Cliente,
Espero que esta mensagem o encontre bem. Estou entrando em contato com um pedido urgente para modificar a configuração de categorização de tickets em nosso Jira Software 8.20 para uma gestão de projetos aprimorada. Essa modificação é de alta prioridade e melhorará significativamente o fluxo de trabalho da nossa equipe. Por favor, informe como vocês podem nos ajudar a agilizar esse processo.
Obrigado pela sua atenção imediata.
Atenciosamente,
&lt;name&gt;
&lt;acc_num&gt;
&lt;tel_num&gt;</t>
        </is>
      </c>
      <c r="D181" t="inlineStr">
        <is>
          <t>Gerenciamento de Mudanças</t>
        </is>
      </c>
      <c r="E181" t="inlineStr">
        <is>
          <t>Solicitação de Serviço</t>
        </is>
      </c>
      <c r="F181" t="inlineStr"/>
      <c r="G181" t="inlineStr"/>
      <c r="H181" t="inlineStr"/>
      <c r="I181" t="inlineStr"/>
      <c r="J181" t="inlineStr">
        <is>
          <t>Gerenciamento de Requisição de Serviço</t>
        </is>
      </c>
      <c r="K181" t="inlineStr">
        <is>
          <t>Habilitação de Mudança</t>
        </is>
      </c>
      <c r="L181" t="inlineStr"/>
      <c r="M181" t="inlineStr"/>
    </row>
    <row r="182">
      <c r="A182" t="inlineStr">
        <is>
          <t>1600</t>
        </is>
      </c>
      <c r="B182" t="inlineStr">
        <is>
          <t>Assistência Urgente Necessária para Problemas de Serviço da AWS</t>
        </is>
      </c>
      <c r="C182" t="inlineStr">
        <is>
          <t>Caro Equipe de Suporte ao Cliente,
Espero que esta mensagem o encontre bem. Estamos enfrentando interrupções inesperadas nos serviços do AWS Management Service. É imperativo que esses problemas sejam resolvidos prontamente para minimizar quaisquer potenciais interrupções nos negócios. Além disso, apreciaríamos quaisquer recomendações que você possa ter para otimizar o desempenho da nossa infraestrutura em andamento para evitar ocorrências futuras. Nossas operações de TI dependem fortemente da eficácia desses serviços. Por favor, entre em contato comigo pelo &lt;tel_num&gt; ou me envie um e-mail para &lt;name&gt;@example.com para uma discussão posterior. Obrigado pela sua atenção imediata a este assunto.
Atenciosamente,
&lt;name&gt;
&lt;acc_num&gt;</t>
        </is>
      </c>
      <c r="D182" t="inlineStr">
        <is>
          <t>Gerenciamento de Incidentes</t>
        </is>
      </c>
      <c r="E182" t="inlineStr">
        <is>
          <t>Gerenciamento de Disponibilidade</t>
        </is>
      </c>
      <c r="F182" t="inlineStr"/>
      <c r="G182" t="inlineStr"/>
      <c r="H182" t="inlineStr"/>
      <c r="I182" t="inlineStr"/>
      <c r="J182" t="inlineStr">
        <is>
          <t>Gerenciamento de Problemas</t>
        </is>
      </c>
      <c r="K182" t="inlineStr">
        <is>
          <t>Gerenciamento de Capacidade e Desempenho</t>
        </is>
      </c>
      <c r="L182" t="inlineStr"/>
      <c r="M182" t="inlineStr"/>
    </row>
    <row r="183">
      <c r="A183" t="inlineStr">
        <is>
          <t>1606</t>
        </is>
      </c>
      <c r="B183" t="inlineStr">
        <is>
          <t>Solicitação de Assistência: Problema de Configuração Sem Fio para Impressora HP</t>
        </is>
      </c>
      <c r="C183" t="inlineStr">
        <is>
          <t>Olá equipe de suporte ao cliente, estou enfrentando dificuldades para configurar a conexão sem fio para a impressora compacta HP DeskJet 3755 que comprei. Eu me certifiquei de que todos os passos necessários foram seguidos, mas o problema persiste e não consigo avançar. Por favor, forneça orientação sobre como resolver esse problema com sucesso. Obrigado pela sua assistência. Atenciosamente, &lt;name&gt;.</t>
        </is>
      </c>
      <c r="D183" t="inlineStr">
        <is>
          <t>Solicitação de Serviço</t>
        </is>
      </c>
      <c r="E183" t="inlineStr">
        <is>
          <t>Gerenciamento de Incidentes</t>
        </is>
      </c>
      <c r="F183" t="inlineStr"/>
      <c r="G183" t="inlineStr"/>
      <c r="H183" t="inlineStr"/>
      <c r="I183" t="inlineStr"/>
      <c r="J183" t="inlineStr">
        <is>
          <t>Gerenciamento de Conhecimento</t>
        </is>
      </c>
      <c r="K183" t="inlineStr">
        <is>
          <t>Gerenciamento de Requisição de Serviço</t>
        </is>
      </c>
      <c r="L183" t="inlineStr"/>
      <c r="M183" t="inlineStr"/>
    </row>
    <row r="184">
      <c r="A184" t="inlineStr">
        <is>
          <t>1614</t>
        </is>
      </c>
      <c r="B184" t="inlineStr">
        <is>
          <t>Problema de Interrupção Urgente</t>
        </is>
      </c>
      <c r="C184" t="inlineStr">
        <is>
          <t>Caro Suporte ao Cliente,
Estou escrevendo para alertá-lo sobre uma interrupção de alta prioridade que está impactando a infraestrutura da nuvem AWS implantada através do nosso Serviço de Gerenciamento AWS. Essa interrupção está causando interrupções significativas de serviço em múltiplas aplicações, afetando fortemente nossas operações. Atenção imediata é necessária para remediar esta situação. Precisamos de atualizações sobre o progresso deste problema e quaisquer cronogramas potenciais para resolução. Por favor, forneça quaisquer ações necessárias que devemos tomar do nosso lado. Assistência ou orientação adicional durante essa interrupção seriam muito apreciadas. Obrigado por sua pronta atenção.
Atenciosamente,
&lt;name&gt;</t>
        </is>
      </c>
      <c r="D184" t="inlineStr">
        <is>
          <t>Gerenciamento de Incidentes</t>
        </is>
      </c>
      <c r="E184" t="inlineStr">
        <is>
          <t>Gerenciamento de Disponibilidade</t>
        </is>
      </c>
      <c r="F184" t="inlineStr"/>
      <c r="G184" t="inlineStr"/>
      <c r="H184" t="inlineStr"/>
      <c r="I184" t="inlineStr"/>
      <c r="J184" t="inlineStr">
        <is>
          <t>Gerenciamento de Disponibilidade</t>
        </is>
      </c>
      <c r="K184" t="inlineStr">
        <is>
          <t>Monitoração e Gerenciamento de Eventos</t>
        </is>
      </c>
      <c r="L184" t="inlineStr"/>
      <c r="M184" t="inlineStr"/>
    </row>
    <row r="185">
      <c r="A185" t="inlineStr">
        <is>
          <t>1627</t>
        </is>
      </c>
      <c r="B185" t="inlineStr">
        <is>
          <t>Problemas com as funcionalidades de refatoração do IntelliJ IDEA 2024.1</t>
        </is>
      </c>
      <c r="C185" t="inlineStr">
        <is>
          <t>Caro time de suporte ao cliente,
Espero que esta mensagem o encontre bem. Estou escrevendo para expressar minha preocupação em relação a alguns problemas que venho enfrentando ao usar o IntelliJ IDEA 2024.1, especificamente relacionados às funcionalidades de refatoração para o desenvolvimento de código Java. Parece que essas funcionalidades não estão funcionando conforme o esperado, causando interrupções no meu fluxo de trabalho. Tenho encontrado problemas onde certas ações de refatoração estão incompletas ou não são executadas, levando a resultados inesperados no meu código. Esses problemas têm sido persistentes e estão prejudicando significativamente minha produtividade.
Agradeceria qualquer orientação ou solução que você pudesse oferecer para resolver este assunto. Se houver atualizações ou patches disponíveis, por favor, informe os passos necessários para aplicá-los. Além disso, se houver soluções conhecidas, ficaria grato por qualquer documentação ou materiais de suporte que pudessem me ajudar a navegar por esta situação.
Obrigado pela sua atenção a esta questão e aguardo sua resposta rápida.
Atenciosamente,
&lt;name&gt;
&lt;tel_num&gt;
&lt;acc_num&gt;</t>
        </is>
      </c>
      <c r="D185" t="inlineStr">
        <is>
          <t>Gerenciamento de Problemas</t>
        </is>
      </c>
      <c r="E185" t="inlineStr">
        <is>
          <t>Gerenciamento de Mudanças</t>
        </is>
      </c>
      <c r="F185" t="inlineStr"/>
      <c r="G185" t="inlineStr"/>
      <c r="H185" t="inlineStr"/>
      <c r="I185" t="inlineStr"/>
      <c r="J185" t="inlineStr">
        <is>
          <t>Gerenciamento de Problemas</t>
        </is>
      </c>
      <c r="K185" t="inlineStr">
        <is>
          <t>Gerenciamento de Liberação</t>
        </is>
      </c>
      <c r="L185" t="inlineStr"/>
      <c r="M185" t="inlineStr"/>
    </row>
    <row r="186">
      <c r="A186" t="inlineStr">
        <is>
          <t>1629</t>
        </is>
      </c>
      <c r="B186" t="inlineStr">
        <is>
          <t>Consulta sobre compra em grande quantidade do MacBook Air M1</t>
        </is>
      </c>
      <c r="C186" t="inlineStr">
        <is>
          <t>Caro Suporte ao Cliente,
Estou entrando em contato para perguntar sobre a possibilidade de comprar várias unidades do MacBook Air M1 para uso corporativo da nossa empresa. Estamos interessados em entender as opções disponíveis para preços em grande quantidade e quaisquer descontos potenciais que vocês possam oferecer para grandes pedidos.
Você pode fornecer mais detalhes sobre o seu programa de compras corporativas e quaisquer termos ou requisitos específicos envolvidos? Sua assistência em acelerar esta consulta seria muito apreciada.
Aguardando sua resposta rápida.
Atenciosamente,
&lt;name&gt;
&lt;company_name&gt;</t>
        </is>
      </c>
      <c r="D186" t="inlineStr">
        <is>
          <t>Solicitação de Serviço</t>
        </is>
      </c>
      <c r="E186" t="inlineStr">
        <is>
          <t>Gerenciamento Financeiro</t>
        </is>
      </c>
      <c r="F186" t="inlineStr"/>
      <c r="G186" t="inlineStr"/>
      <c r="H186" t="inlineStr"/>
      <c r="I186" t="inlineStr"/>
      <c r="J186" t="inlineStr">
        <is>
          <t>Gerenciamento de Relacionamento</t>
        </is>
      </c>
      <c r="K186" t="inlineStr">
        <is>
          <t>Gerenciamento Financeiro de Serviços</t>
        </is>
      </c>
      <c r="L186" t="inlineStr"/>
      <c r="M186" t="inlineStr"/>
    </row>
    <row r="187">
      <c r="A187" t="inlineStr">
        <is>
          <t>1641</t>
        </is>
      </c>
      <c r="B187" t="inlineStr">
        <is>
          <t>Interrupção do Serviço de Gerenciamento da AWS</t>
        </is>
      </c>
      <c r="C187" t="inlineStr">
        <is>
          <t>Prezado Suporte ao Cliente, Estou escrevendo para informá-lo de que o Serviço de Gerenciamento da AWS está atualmente passando por uma interrupção significativa. Manutenção imediata é necessária para restaurar nossas operações em nuvem de forma eficaz. Essa situação afetou nossa produtividade e requer atenção urgente para minimizar a interrupção. Por favor, priorize este problema e forneça um tempo estimado para resolução. Sua resposta rápida será muito apreciada. Obrigado pela sua compreensão e atenção a este assunto crítico. Atenciosamente, &lt;name&gt;</t>
        </is>
      </c>
      <c r="D187" t="inlineStr">
        <is>
          <t>Gerenciamento de Incidentes</t>
        </is>
      </c>
      <c r="E187" t="inlineStr">
        <is>
          <t>Gerenciamento de Disponibilidade</t>
        </is>
      </c>
      <c r="F187" t="inlineStr"/>
      <c r="G187" t="inlineStr"/>
      <c r="H187" t="inlineStr"/>
      <c r="I187" t="inlineStr"/>
      <c r="J187" t="inlineStr">
        <is>
          <t>Gerenciamento de Disponibilidade</t>
        </is>
      </c>
      <c r="K187" t="inlineStr">
        <is>
          <t>Gerenciamento de Incidentes</t>
        </is>
      </c>
      <c r="L187" t="inlineStr"/>
      <c r="M187" t="inlineStr"/>
    </row>
    <row r="188">
      <c r="A188" t="inlineStr">
        <is>
          <t>1647</t>
        </is>
      </c>
      <c r="B188" t="inlineStr">
        <is>
          <t>Solicitação de Mudança de Permissões de Acesso</t>
        </is>
      </c>
      <c r="C188" t="inlineStr">
        <is>
          <t>Caro Equipe de Suporte ao Cliente, Espero que esta mensagem o encontre bem. Atualmente, usamos o Jira Software 8.20 para gerenciar nossos projetos e aprimorar a colaboração da equipe. No entanto, estamos enfrentando desafios devido às permissões de acesso atuais, que limitam nossa eficiência significativamente. Portanto, solicito gentilmente uma revisão e possível mudança nas permissões de acesso para alinhar melhor com nossas necessidades de gerenciamento de projetos. Você poderia nos informar como podemos prosseguir com este pedido? Sua assistência nesse assunto é muito apreciada. Agradecemos sua pronta atenção a esta solicitação. Atenciosamente, &lt;name&gt;</t>
        </is>
      </c>
      <c r="D188" t="inlineStr">
        <is>
          <t>Solicitação de Serviço</t>
        </is>
      </c>
      <c r="E188" t="inlineStr">
        <is>
          <t>Gerenciamento de Acesso</t>
        </is>
      </c>
      <c r="F188" t="inlineStr"/>
      <c r="G188" t="inlineStr"/>
      <c r="H188" t="inlineStr"/>
      <c r="I188" t="inlineStr"/>
      <c r="J188" t="inlineStr">
        <is>
          <t>Gerenciamento de Requisição de Serviço</t>
        </is>
      </c>
      <c r="K188" t="inlineStr">
        <is>
          <t>Gerenciamento de Segurança da Informação</t>
        </is>
      </c>
      <c r="L188" t="inlineStr"/>
      <c r="M188" t="inlineStr"/>
    </row>
    <row r="189">
      <c r="A189" t="inlineStr">
        <is>
          <t>1651</t>
        </is>
      </c>
      <c r="B189" t="inlineStr">
        <is>
          <t>Problemas de Login com o Office 365</t>
        </is>
      </c>
      <c r="C189" t="inlineStr">
        <is>
          <t>Caro Suporte ao Cliente da Tech Online Store,
Estou escrevendo para relatar um problema de login com a minha conta do Microsoft Office 365. Não consigo acessar meus e-mails e serviços em nuvem devido a esse problema, o que tem afetado meu trabalho. Verifiquei minhas credenciais e estão corretas. Apesar disso, o problema persiste.
Você poderia, por favor, me ajudar a resolver essa questão com urgência? Meu nome de usuário da conta é &lt;name&gt;, e meu número de conta é &lt;acc_num&gt;. Além disso, se necessário, sinta-se à vontade para me contatar pelo &lt;tel_num&gt;.
Obrigado pela sua atenção rápida a este problema.
Atenciosamente,
&lt;name&gt;</t>
        </is>
      </c>
      <c r="D189" t="inlineStr">
        <is>
          <t>Gerenciamento de Incidentes</t>
        </is>
      </c>
      <c r="E189" t="inlineStr">
        <is>
          <t>Gerenciamento de Acesso</t>
        </is>
      </c>
      <c r="F189" t="inlineStr"/>
      <c r="G189" t="inlineStr"/>
      <c r="H189" t="inlineStr"/>
      <c r="I189" t="inlineStr"/>
      <c r="J189" t="inlineStr">
        <is>
          <t>Gerenciamento de Incidentes</t>
        </is>
      </c>
      <c r="K189" t="inlineStr">
        <is>
          <t>Gerenciamento de Identidade e Acesso</t>
        </is>
      </c>
      <c r="L189" t="inlineStr"/>
      <c r="M189" t="inlineStr"/>
    </row>
    <row r="190">
      <c r="A190" t="inlineStr">
        <is>
          <t>1658</t>
        </is>
      </c>
      <c r="B190" t="inlineStr">
        <is>
          <t>Solicitação de troca do Dell XPS 13 com defeito</t>
        </is>
      </c>
      <c r="C190" t="inlineStr">
        <is>
          <t>Caro Suporte ao Cliente da Tech Online Store,
Espero que esta mensagem o encontre bem. Estou escrevendo para informá-lo sobre um problema com um Dell XPS 13 modelo 9310, recentemente adquirido, sob o número de conta &lt;acc_num&gt;. O laptop tem apresentado falhas frequentes e problemas de desempenho, que suspeito serem devido a uma falha de hardware. Diante destes problemas não resolvidos, gostaria de solicitar uma troca do dispositivo com defeito.
Adquirido há duas semanas, o laptop começou a apresentar sinais de instabilidade logo no início, interrompendo meu trabalho com quedas ocorrendo diariamente. Tentei os passos padrão de solução de problemas sem sucesso. Portanto, acredito que uma troca por uma nova unidade é a melhor solução neste momento.
Por favor, me avise sobre os passos necessários para processar essa troca. Sinta-se à vontade para entrar em contato comigo pelo meu número &lt;tel_num&gt;.
Obrigado pela atenção a este assunto.
Atenciosamente,
&lt;name&gt;</t>
        </is>
      </c>
      <c r="D190" t="inlineStr">
        <is>
          <t>Solicitação de Serviço</t>
        </is>
      </c>
      <c r="E190" t="inlineStr">
        <is>
          <t>Gerenciamento de Ativos de TI</t>
        </is>
      </c>
      <c r="F190" t="inlineStr"/>
      <c r="G190" t="inlineStr"/>
      <c r="H190" t="inlineStr"/>
      <c r="I190" t="inlineStr"/>
      <c r="J190" t="inlineStr">
        <is>
          <t>Gerenciamento de Ativos de TI</t>
        </is>
      </c>
      <c r="K190" t="inlineStr">
        <is>
          <t>Gerenciamento de Problemas</t>
        </is>
      </c>
      <c r="L190" t="inlineStr"/>
      <c r="M190" t="inlineStr"/>
    </row>
    <row r="191">
      <c r="A191" t="inlineStr">
        <is>
          <t>1660</t>
        </is>
      </c>
      <c r="B191" t="inlineStr">
        <is>
          <t>Conexão Sem Fio Defeituosa da Canon PIXMA MG3620</t>
        </is>
      </c>
      <c r="C191" t="inlineStr">
        <is>
          <t>Caro Suporte da Loja Online de Tecnologia,
Recentemente comprei uma impressora Canon PIXMA MG3620 na sua loja, mas, infelizmente, encontrei um problema com sua conexão sem fio. A impressora frequentemente desconecta do Wi-Fi, tornando impossível o uso. Tentei várias etapas de solução de problemas, mas sem sucesso. Você poderia me ajudar a processar a troca ou unidade de substituição?
Meu número de conta é &lt;acc_num&gt;. Você pode me contatar pelo &lt;tel_num&gt; se mais informações forem necessárias.
Obrigado pela sua assistência.
Atenciosamente,
&lt;name&gt;</t>
        </is>
      </c>
      <c r="D191" t="inlineStr">
        <is>
          <t>Solicitação de Serviço</t>
        </is>
      </c>
      <c r="E191" t="inlineStr">
        <is>
          <t>Gerenciamento de Ativos de TI</t>
        </is>
      </c>
      <c r="F191" t="inlineStr"/>
      <c r="G191" t="inlineStr"/>
      <c r="H191" t="inlineStr"/>
      <c r="I191" t="inlineStr"/>
      <c r="J191" t="inlineStr">
        <is>
          <t>Gerenciamento de Problemas</t>
        </is>
      </c>
      <c r="K191" t="inlineStr">
        <is>
          <t>Gerenciamento de Ativos de TI</t>
        </is>
      </c>
      <c r="L191" t="inlineStr"/>
      <c r="M191" t="inlineStr"/>
    </row>
    <row r="192">
      <c r="A192" t="inlineStr">
        <is>
          <t>1661</t>
        </is>
      </c>
      <c r="B192" t="inlineStr">
        <is>
          <t>Solicitação de Alterações nas Permissões de Acesso</t>
        </is>
      </c>
      <c r="C192" t="inlineStr">
        <is>
          <t>Caro Suporte ao Cliente,
Espero que esta mensagem o encontre bem. Estou escrevendo para solicitar uma alteração nas permissões de acesso ao Google Drive para as ferramentas de colaboração de dados comerciais da nossa equipe sob o pacote Google Workspace Business Standard. Atualmente, há problemas com o compartilhamento de arquivos e restrições que impedem nossa produtividade. Você poderia, por favor, revisar nossa conta &lt;acc_num&gt; para garantir que todas as permissões necessárias estejam configuradas adequadamente? Sua assistência rápida seria muito apreciada. O Dr. &lt;name&gt; pode ser contatado pelo &lt;tel_num&gt; para mais esclarecimentos.
Obrigado pela sua assistência.
Atenciosamente,
Dr. &lt;name&gt;</t>
        </is>
      </c>
      <c r="D192" t="inlineStr">
        <is>
          <t>Solicitação de Serviço</t>
        </is>
      </c>
      <c r="E192" t="inlineStr">
        <is>
          <t>Gerenciamento de Acesso</t>
        </is>
      </c>
      <c r="F192" t="inlineStr"/>
      <c r="G192" t="inlineStr"/>
      <c r="H192" t="inlineStr"/>
      <c r="I192" t="inlineStr"/>
      <c r="J192" t="inlineStr">
        <is>
          <t>Gerenciamento de Requisição de Serviço</t>
        </is>
      </c>
      <c r="K192" t="inlineStr">
        <is>
          <t>Gerenciamento de Segurança da Informação</t>
        </is>
      </c>
      <c r="L192" t="inlineStr"/>
      <c r="M192" t="inlineStr"/>
    </row>
    <row r="193">
      <c r="A193" t="inlineStr">
        <is>
          <t>1667</t>
        </is>
      </c>
      <c r="B193" t="inlineStr">
        <is>
          <t>Problema na Impressora Epson</t>
        </is>
      </c>
      <c r="C193" t="inlineStr">
        <is>
          <t>Caro Time de Suporte da Tech Online Store, Estou entrando em contato com vocês sobre um problema com a impressora Epson EcoTank ET-4760 que comprei em sua loja online. Recentemente, ela tem mostrado consistentemente um erro de 'atolamento de papel' em seu display, mesmo que não pareça haver realmente um atolamento ou qualquer obstrução no caminho do papel. Este erro persiste e está impedindo a conclusão de qualquer trabalho de impressão, o que está impactando significativamente minha capacidade de realizar tarefas de trabalho essenciais com eficiência. Poderiam, por favor, fornecer orientações sobre como solucionar esse problema ou sugerir um curso de ação adequado? Se necessário, estou preparado para realizar quaisquer verificações ou ajustes de manutenção básica conforme necessário. Se isso não resolver o problema, eu apreciaria quaisquer recomendações sobre como proceder com possíveis reparos ou uma reclamação de garantia. Agradeço pela atenção a este assunto. Espero ouvir da sua equipe em breve sobre esta questão urgente, uma vez que esta impressora é fundamental para minhas operações diárias. Atenciosamente, &lt;name&gt;.</t>
        </is>
      </c>
      <c r="D193" t="inlineStr">
        <is>
          <t>Gerenciamento de Incidentes</t>
        </is>
      </c>
      <c r="E193" t="inlineStr">
        <is>
          <t>Gerenciamento de Problemas</t>
        </is>
      </c>
      <c r="F193" t="inlineStr"/>
      <c r="G193" t="inlineStr"/>
      <c r="H193" t="inlineStr"/>
      <c r="I193" t="inlineStr"/>
      <c r="J193" t="inlineStr">
        <is>
          <t>Gerenciamento de Problemas</t>
        </is>
      </c>
      <c r="K193" t="inlineStr">
        <is>
          <t>Gerenciamento de Ativos de TI</t>
        </is>
      </c>
      <c r="L193" t="inlineStr"/>
      <c r="M193" t="inlineStr"/>
    </row>
    <row r="194">
      <c r="A194" t="inlineStr">
        <is>
          <t>1674</t>
        </is>
      </c>
      <c r="B194" t="inlineStr">
        <is>
          <t>Assistência Necessária: Configuração da Epson EcoTank ET-4760</t>
        </is>
      </c>
      <c r="C194" t="inlineStr">
        <is>
          <t>Caro Suporte ao Cliente,
Espero que esta mensagem o encontre bem. Estou entrando em contato para solicitar assistência na configuração da minha nova impressora sem fio Epson EcoTank ET-4760 para conectar com minha nova rede doméstica. Após várias tentativas de configurar a impressora usando as instruções de configuração fornecidas, não consigo conectar o dispositivo com sucesso à minha rede Wi-Fi.
O processo parece encontrar problemas durante a etapa de configuração da rede. Certifiquei-me de que estou seguindo as instruções conforme descrito no manual do usuário, e minha rede Wi-Fi está funcionando corretamente com outros dispositivos. No entanto, a impressora não reconhece nem se conecta à rede como esperado.
Diante desses desafios, eu apreciaria qualquer orientação ou conselho de solução de problemas que você pudesse fornecer para resolver esse problema. Especificamente, gostaria de saber se existem armadilhas comuns das quais eu deva estar ciente ao configurar este modelo, ou se atualizações de software adicionais ou configurações são geralmente necessárias para um desempenho ideal.
Além disso, se houver uma opção para uma sessão de suporte ao vivo ou um tutorial detalhado, eu estaria aberto a agendar um horário com um técnico para uma assistência mais personalizada.
Muito obrigado pela sua atenção a este assunto. Aguardo sua resposta rápida.
Atenciosamente,
&lt;name&gt;</t>
        </is>
      </c>
      <c r="D194" t="inlineStr">
        <is>
          <t>Solicitação de Serviço</t>
        </is>
      </c>
      <c r="E194" t="inlineStr">
        <is>
          <t>Gerenciamento de Incidentes</t>
        </is>
      </c>
      <c r="F194" t="inlineStr"/>
      <c r="G194" t="inlineStr"/>
      <c r="H194" t="inlineStr"/>
      <c r="I194" t="inlineStr"/>
      <c r="J194" t="inlineStr">
        <is>
          <t>Gerenciamento de Conhecimento</t>
        </is>
      </c>
      <c r="K194" t="inlineStr">
        <is>
          <t>Gerenciamento de Requisição de Serviço</t>
        </is>
      </c>
      <c r="L194" t="inlineStr"/>
      <c r="M194" t="inlineStr"/>
    </row>
    <row r="195">
      <c r="A195" t="inlineStr">
        <is>
          <t>1685</t>
        </is>
      </c>
      <c r="B195" t="inlineStr">
        <is>
          <t>Mudança de Configuração Urgente</t>
        </is>
      </c>
      <c r="C195" t="inlineStr">
        <is>
          <t>Prezado Suporte ao Cliente de Serviços de TI, Precisamos urgentemente mudar a configuração do servidor e atualizar nosso sistema nos projetos em andamento de consultoria em soluções de TI. Isso é de alta prioridade devido a requisitos urgentes. O produto afetado é o Serviço de Consultoria em TI. Obrigado, &lt;name&gt;.</t>
        </is>
      </c>
      <c r="D195" t="inlineStr">
        <is>
          <t>Gerenciamento de Mudanças</t>
        </is>
      </c>
      <c r="E195" t="inlineStr">
        <is>
          <t>Gerenciamento de Incidentes</t>
        </is>
      </c>
      <c r="F195" t="inlineStr"/>
      <c r="G195" t="inlineStr"/>
      <c r="H195" t="inlineStr"/>
      <c r="I195" t="inlineStr"/>
      <c r="J195" t="inlineStr">
        <is>
          <t>Habilitação de Mudança</t>
        </is>
      </c>
      <c r="K195" t="inlineStr">
        <is>
          <t>Gerenciamento de Configuração de Serviço</t>
        </is>
      </c>
      <c r="L195" t="inlineStr"/>
      <c r="M195" t="inlineStr"/>
    </row>
    <row r="196">
      <c r="A196" t="inlineStr">
        <is>
          <t>1703</t>
        </is>
      </c>
      <c r="B196" t="inlineStr">
        <is>
          <t>Assistência Necessária para Gerenciamento da AWS</t>
        </is>
      </c>
      <c r="C196" t="inlineStr">
        <is>
          <t>Prezado Time de Suporte ao Cliente,
Espero que esta mensagem os encontre bem. Estou entrando em contato para buscar assistência com os Serviços de Gerenciamento da AWS fornecidos por sua empresa. Tenho utilizado esses serviços há algum tempo, mas atualmente estou enfrentando desafios na otimização de custos e na alocação eficiente de recursos na nuvem. Como esses aspectos são críticos para nossas operações, gostaria de perguntar sobre quaisquer estratégias ou soluções disponíveis que pudessem nos ajudar a gerenciar esses aspectos de forma mais eficaz.
Além disso, estou interessado em entender se existem recursos ou ferramentas adicionais dentro do seu Serviço de Gerenciamento da AWS que poderiam facilitar um melhor monitoramento e gerenciamento de nossos recursos. Sua experiência e orientação nesse assunto seriam extremamente valiosas.
Você poderia fornecer informações ou agendar uma consulta na sua primeira oportunidade? Além disso, se houver alguma informação ou dado específico que você necessite de nossa parte para melhor auxiliá-lo, por favor, me avise.
Obrigado pela sua atenção a este assunto. Aguardo sua pronta resposta. Você pode me contatar por e-mail ou no meu telefone &lt;tel_num&gt; para qualquer discussão adicional.
Atenciosamente,
&lt;name&gt;
&lt;company_name&gt;</t>
        </is>
      </c>
      <c r="D196" t="inlineStr">
        <is>
          <t>Solicitação de Serviço</t>
        </is>
      </c>
      <c r="E196" t="inlineStr">
        <is>
          <t>Gerenciamento Financeiro</t>
        </is>
      </c>
      <c r="F196" t="inlineStr"/>
      <c r="G196" t="inlineStr"/>
      <c r="H196" t="inlineStr"/>
      <c r="I196" t="inlineStr"/>
      <c r="J196" t="inlineStr">
        <is>
          <t>Gerenciamento Financeiro de Serviços</t>
        </is>
      </c>
      <c r="K196" t="inlineStr">
        <is>
          <t>Gerenciamento de Capacidade e Desempenho</t>
        </is>
      </c>
      <c r="L196" t="inlineStr"/>
      <c r="M196" t="inlineStr"/>
    </row>
    <row r="197">
      <c r="A197" t="inlineStr">
        <is>
          <t>1713</t>
        </is>
      </c>
      <c r="B197" t="inlineStr">
        <is>
          <t>Solicitação de Mudança de Faturamento para o Google Workspace</t>
        </is>
      </c>
      <c r="C197" t="inlineStr">
        <is>
          <t>Olá Atendimento ao Cliente da Tech Online Store,
Espero que esta mensagem o encontre bem. Estou escrevendo para solicitar uma mudança de faturamento relacionada à minha assinatura do Google Workspace Business Standard, associada ao número da conta &lt;acc_num&gt;. Gostaria de explorar opções para atualizar meu plano atual. Você poderia, por favor, fornecer informações detalhadas sobre os planos disponíveis, especialmente focando nas melhorias em recursos e detalhes de preços? Além disso, estou interessado em entender quaisquer descontos ou promoções potenciais que possam se aplicar caso eu escolha um nível diferente.
Para sua referência, meu nome completo é &lt;name&gt; e você pode me contatar pelo &lt;tel_num&gt; caso precise de alguma verificação adicional ou mais informações. Garantir que haja uma interrupção mínima durante essa transição é importante, então sua assistência rápida seria apreciada.
Muito obrigado pela sua ajuda nesta questão. Aguardo sua resposta com as informações necessárias para tomar uma decisão informada.
Atenciosamente,
&lt;name&gt;</t>
        </is>
      </c>
      <c r="D197" t="inlineStr">
        <is>
          <t>Solicitação de Serviço</t>
        </is>
      </c>
      <c r="E197" t="inlineStr">
        <is>
          <t>Gerenciamento Financeiro</t>
        </is>
      </c>
      <c r="F197" t="inlineStr"/>
      <c r="G197" t="inlineStr"/>
      <c r="H197" t="inlineStr"/>
      <c r="I197" t="inlineStr"/>
      <c r="J197" t="inlineStr">
        <is>
          <t>Gerenciamento de Relacionamento</t>
        </is>
      </c>
      <c r="K197" t="inlineStr">
        <is>
          <t>Gerenciamento Financeiro de Serviços</t>
        </is>
      </c>
      <c r="L197" t="inlineStr"/>
      <c r="M197" t="inlineStr"/>
    </row>
    <row r="198">
      <c r="A198" t="inlineStr">
        <is>
          <t>1718</t>
        </is>
      </c>
      <c r="B198" t="inlineStr">
        <is>
          <t>Urgente: problema com Dell XPS 13 9310</t>
        </is>
      </c>
      <c r="C198" t="inlineStr">
        <is>
          <t>Caro Suporte da Tech Online Store,
Estou enfrentando um problema com meu Dell XPS 13 9310, que ocasionalmente congela e interrompe meu fluxo de trabalho. Você poderia me ajudar a diagnosticar e resolver esse problema?
Obrigado,
&lt;name&gt;
Número da Conta: &lt;acc_num&gt;
Telefone: &lt;tel_num&gt;</t>
        </is>
      </c>
      <c r="D198" t="inlineStr">
        <is>
          <t>Gerenciamento de Incidentes</t>
        </is>
      </c>
      <c r="E198" t="inlineStr">
        <is>
          <t>Gerenciamento de Problemas</t>
        </is>
      </c>
      <c r="F198" t="inlineStr"/>
      <c r="G198" t="inlineStr"/>
      <c r="H198" t="inlineStr"/>
      <c r="I198" t="inlineStr"/>
      <c r="J198" t="inlineStr">
        <is>
          <t>Gerenciamento de Problemas</t>
        </is>
      </c>
      <c r="K198" t="inlineStr">
        <is>
          <t>Gerenciamento de Incidentes</t>
        </is>
      </c>
      <c r="L198" t="inlineStr"/>
      <c r="M198" t="inlineStr"/>
    </row>
    <row r="199">
      <c r="A199" t="inlineStr">
        <is>
          <t>1723</t>
        </is>
      </c>
      <c r="B199" t="inlineStr">
        <is>
          <t>Consulta sobre a compra do Microsoft Surface Pro 7</t>
        </is>
      </c>
      <c r="C199" t="inlineStr">
        <is>
          <t>Caro Suporte ao Cliente,
Estou interessado em comprar o Microsoft Surface Pro 7 na sua loja. Você poderia, por favor, me fornecer detalhes sobre as opções de garantia disponíveis e os métodos de entrega? Além disso, apreciaria qualquer informação sobre os tempos de entrega esperados para a minha área. Aguardo sua pronta resposta com as informações necessárias para a compra.
Obrigado.
Atenciosamente,
&lt;name&gt;</t>
        </is>
      </c>
      <c r="D199" t="inlineStr">
        <is>
          <t>Solicitação de Serviço</t>
        </is>
      </c>
      <c r="E199" t="inlineStr">
        <is>
          <t>Gerenciamento de Ativos de TI</t>
        </is>
      </c>
      <c r="F199" t="inlineStr"/>
      <c r="G199" t="inlineStr"/>
      <c r="H199" t="inlineStr"/>
      <c r="I199" t="inlineStr"/>
      <c r="J199" t="inlineStr">
        <is>
          <t>Gerenciamento de Catálogo de Serviço</t>
        </is>
      </c>
      <c r="K199" t="inlineStr">
        <is>
          <t>Gerenciamento de Relacionamento</t>
        </is>
      </c>
      <c r="L199" t="inlineStr"/>
      <c r="M199" t="inlineStr"/>
    </row>
    <row r="200">
      <c r="A200" t="inlineStr">
        <is>
          <t>1741</t>
        </is>
      </c>
      <c r="B200" t="inlineStr">
        <is>
          <t>Problemas com a Impressora Epson EcoTank ET-4760</t>
        </is>
      </c>
      <c r="C200" t="inlineStr">
        <is>
          <t>Caro time de suporte ao cliente,
Espero que esta mensagem os encontre bem. Estou escrevendo para expressar minhas preocupações em relação à impressora Epson EcoTank ET-4760 que comprei em sua loja. Inicialmente, a impressora funcionou excelentemente, mas no último mês, encontrei problemas substanciais que afetam sua funcionalidade.
Primeiramente, a impressora apresentou taxas anormais de consumo de tinta. Os níveis de tinta se esgotam muito mais rápido em comparação com minhas experiências anteriores e não aumentei meu volume típico de impressão. Em segundo lugar, a conectividade Wi-Fi tornou-se errática, tornando desafiador executar trabalhos de impressão de forma eficiente. Às vezes, ela falha em se conectar à rede, exigindo múltiplas reinicializações para restabelecer a conexão.
Eu gentilmente solicito orientações sobre como solucionar esses problemas ou, se necessário, devolver o produto para reparo ou substituição.
Obrigado pela atenção a este assunto. Por favor, me avise como devo proceder.
Atenciosamente,
&lt;name&gt;
&lt;tel_num&gt;
&lt;acc_num&gt;</t>
        </is>
      </c>
      <c r="D200" t="inlineStr">
        <is>
          <t>Gerenciamento de Incidentes</t>
        </is>
      </c>
      <c r="E200" t="inlineStr">
        <is>
          <t>Gerenciamento de Problemas</t>
        </is>
      </c>
      <c r="F200" t="inlineStr"/>
      <c r="G200" t="inlineStr"/>
      <c r="H200" t="inlineStr"/>
      <c r="I200" t="inlineStr"/>
      <c r="J200" t="inlineStr">
        <is>
          <t>Gerenciamento de Problemas</t>
        </is>
      </c>
      <c r="K200" t="inlineStr">
        <is>
          <t>Gerenciamento de Nível de Serviço</t>
        </is>
      </c>
      <c r="L200" t="inlineStr"/>
      <c r="M200" t="inlineStr"/>
    </row>
    <row r="201">
      <c r="A201" t="inlineStr">
        <is>
          <t>1746</t>
        </is>
      </c>
      <c r="B201" t="inlineStr">
        <is>
          <t>Solicitação para Atualizar Informações de Faturamento para Conformidade</t>
        </is>
      </c>
      <c r="C201" t="inlineStr">
        <is>
          <t>Caro Suporte ao Cliente,
Estou escrevendo para solicitar uma atualização nas nossas informações de faturamento para o Serviço de Consultoria em TI. Devido às nossas novas políticas de pagamento corporativo, é crucial que nossos registros permaneçam em conformidade. Atualmente, nossa conta &lt;acc_num&gt; pode precisar de modificações para se alinhar com as mudanças recentes nas políticas. Por favor, informe-nos sobre os passos ou documentos necessários para prosseguir. Sinta-se à vontade para me contatar pelo &lt;tel_num&gt; se precisar de mais esclarecimentos. Sua assistência rápida com esta atualização será muito apreciada.
Obrigado,
&lt;name&gt;</t>
        </is>
      </c>
      <c r="D201" t="inlineStr">
        <is>
          <t>Solicitação de Serviço</t>
        </is>
      </c>
      <c r="E201" t="inlineStr">
        <is>
          <t>Gerenciamento Financeiro</t>
        </is>
      </c>
      <c r="F201" t="inlineStr"/>
      <c r="G201" t="inlineStr"/>
      <c r="H201" t="inlineStr"/>
      <c r="I201" t="inlineStr"/>
      <c r="J201" t="inlineStr">
        <is>
          <t>Gerenciamento Financeiro de Serviços</t>
        </is>
      </c>
      <c r="K201" t="inlineStr">
        <is>
          <t>Gerenciamento de Riscos</t>
        </is>
      </c>
      <c r="L201" t="inlineStr"/>
      <c r="M201" t="inlineStr"/>
    </row>
    <row r="202">
      <c r="A202" t="inlineStr">
        <is>
          <t>1777</t>
        </is>
      </c>
      <c r="B202" t="inlineStr">
        <is>
          <t>Urgente: Interrupção do Serviço de Nuvem Requer Atenção Imediata</t>
        </is>
      </c>
      <c r="C202" t="inlineStr">
        <is>
          <t>Caro Suporte ao Cliente,
Meu nome é &lt;name&gt; e estou enfrentando um sério problema com o Serviço de Gestão da AWS. Nossas instâncias da AWS pararam de funcionar de repente, causando uma séria interrupção em nossos serviços de nuvem. Este problema é urgente e requer resolução imediata, pois está impactando nossas operações.
É crucial que o problema seja corrigido imediatamente para evitar danos operacionais adicionais. Por favor, priorizem esta preocupação e forneçam a orientação ou suporte necessários o mais rápido possível para restaurar nossos serviços. Você pode me contatar pelo &lt;tel_num&gt; para mais informações.
Obrigado pela sua atenção rápida.
Atenciosamente,
&lt;name&gt;</t>
        </is>
      </c>
      <c r="D202" t="inlineStr">
        <is>
          <t>Gerenciamento de Incidentes</t>
        </is>
      </c>
      <c r="E202" t="inlineStr">
        <is>
          <t>Gerenciamento de Disponibilidade</t>
        </is>
      </c>
      <c r="F202" t="inlineStr"/>
      <c r="G202" t="inlineStr"/>
      <c r="H202" t="inlineStr"/>
      <c r="I202" t="inlineStr"/>
      <c r="J202" t="inlineStr">
        <is>
          <t>Gerenciamento de Disponibilidade</t>
        </is>
      </c>
      <c r="K202" t="inlineStr">
        <is>
          <t>Gerenciamento de Continuidade de Serviço</t>
        </is>
      </c>
      <c r="L202" t="inlineStr"/>
      <c r="M202" t="inlineStr"/>
    </row>
    <row r="203">
      <c r="A203" t="inlineStr">
        <is>
          <t>1778</t>
        </is>
      </c>
      <c r="B203" t="inlineStr">
        <is>
          <t>Solicitação de Assistência Imediata com Compra Recente</t>
        </is>
      </c>
      <c r="C203" t="inlineStr">
        <is>
          <t>Caro Suporte ao Cliente da Tech Online Store,
Estou escrevendo para expressar minha frustração e solicitar assistência imediata em relação a uma compra recente feita através da sua loja. Em [purchase date], comprei um Microsoft Surface Pro 7. Infelizmente, a unidade apresentou um problema persistente: ela falha continuamente ao inicializar. Esse problema tem dificultado muito meu trabalho e produtividade, pois confio neste dispositivo para tarefas diárias, e um funcionamento confiável é crucial.
Apesar de seguir todos os passos de solução de problemas recomendados no manual e no seu site, o problema persiste sem uma solução à vista. Dadas estas circunstâncias, solicito gentilmente uma substituição completa da unidade com defeito ou um serviço de reparo rápido para corrigir o defeito. Os detalhes da minha compra são os seguintes:
- Produto: Microsoft Surface Pro 7 
- Número do Pedido: [order_number]
- Data da Compra: [purchase_date]
Além disso, anexei cópias do meu recibo e documentação de garantia para agilizar o processo. Por favor, informe como podemos proceder para resolver essa questão rapidamente e quais são os próximos passos que devo seguir.
Sua atenção imediata a esta questão será muito apreciada, pois está causando uma interrupção significativa nas minhas atividades diárias. Aguardarei sua resposta imediata. Você pode me contatar via e-mail ou telefone no &lt;tel_num&gt; durante o horário comercial.
Obrigado.
Atenciosamente,
&lt;name&gt;</t>
        </is>
      </c>
      <c r="D203" t="inlineStr">
        <is>
          <t>Solicitação de Serviço</t>
        </is>
      </c>
      <c r="E203" t="inlineStr">
        <is>
          <t>Gerenciamento de Ativos de TI</t>
        </is>
      </c>
      <c r="F203" t="inlineStr"/>
      <c r="G203" t="inlineStr"/>
      <c r="H203" t="inlineStr"/>
      <c r="I203" t="inlineStr"/>
      <c r="J203" t="inlineStr">
        <is>
          <t>Gerenciamento de Ativos de TI</t>
        </is>
      </c>
      <c r="K203" t="inlineStr">
        <is>
          <t>Gerenciamento de Fornecedor</t>
        </is>
      </c>
      <c r="L203" t="inlineStr"/>
      <c r="M203" t="inlineStr"/>
    </row>
    <row r="204">
      <c r="A204" t="inlineStr">
        <is>
          <t>1780</t>
        </is>
      </c>
      <c r="B204" t="inlineStr">
        <is>
          <t>Problemas Frequentes com o Roteador Cisco ISR4331</t>
        </is>
      </c>
      <c r="C204" t="inlineStr">
        <is>
          <t>Prezado Time de Suporte ao Cliente,
Estou entrando em contato para relatar problemas intermitentes de conexão que estamos experimentando com nosso Roteador Cisco ISR4331, o que tem afetado a confiabilidade da nossa rede local dentro do nosso escritório. Esses problemas têm perturbado nossas operações diárias, criando ineficiências e atrasos.
Nosso escritório depende fortemente de uma conexão de rede estável para atividades como compartilhamento de arquivos, projetos colaborativos e comunicação com clientes. No entanto, as quedas frequentes de conexão estão impactando nossa produtividade significativamente. Realizamos diagnósticos preliminares, incluindo reiniciar o roteador várias vezes e verificar todas as conexões físicas, mas o problema persiste.
Solicitamos gentilmente sua assistência para diagnosticar e resolver esse problema prontamente. Agradeceríamos orientações sobre quaisquer etapas de solução de problemas que possamos ter negligenciado ou se uma intervenção técnica é necessária. Se você precisar de mais informações ou logs do roteador para auxiliar em seus diagnósticos, por favor, nos avise.
Obrigado pela sua atenção a este assunto. Aguardamos sua resolução rápida.
Atenciosamente,
&lt;name&gt;
&lt;name&gt; Equipe de Soluções
Contato: &lt;tel_num&gt;</t>
        </is>
      </c>
      <c r="D204" t="inlineStr">
        <is>
          <t>Gerenciamento de Incidentes</t>
        </is>
      </c>
      <c r="E204" t="inlineStr">
        <is>
          <t>Gerenciamento de Problemas</t>
        </is>
      </c>
      <c r="F204" t="inlineStr"/>
      <c r="G204" t="inlineStr"/>
      <c r="H204" t="inlineStr"/>
      <c r="I204" t="inlineStr"/>
      <c r="J204" t="inlineStr">
        <is>
          <t>Gerenciamento de Problemas</t>
        </is>
      </c>
      <c r="K204" t="inlineStr">
        <is>
          <t>Gerenciamento de Disponibilidade</t>
        </is>
      </c>
      <c r="L204" t="inlineStr"/>
      <c r="M204" t="inlineStr"/>
    </row>
    <row r="205">
      <c r="A205" t="inlineStr">
        <is>
          <t>1786</t>
        </is>
      </c>
      <c r="B205" t="inlineStr">
        <is>
          <t>Solicitação de Atualização de Serviço da AWS</t>
        </is>
      </c>
      <c r="C205" t="inlineStr">
        <is>
          <t>Por favor, forneça atualizações sobre o uso da AWS e aconselhamento de custos.</t>
        </is>
      </c>
      <c r="D205" t="inlineStr">
        <is>
          <t>Solicitação de Serviço</t>
        </is>
      </c>
      <c r="E205" t="inlineStr">
        <is>
          <t>Gerenciamento Financeiro</t>
        </is>
      </c>
      <c r="F205" t="inlineStr"/>
      <c r="G205" t="inlineStr"/>
      <c r="H205" t="inlineStr"/>
      <c r="I205" t="inlineStr"/>
      <c r="J205" t="inlineStr">
        <is>
          <t>Gerenciamento Financeiro de Serviços</t>
        </is>
      </c>
      <c r="K205" t="inlineStr">
        <is>
          <t>Gerenciamento de Relacionamento</t>
        </is>
      </c>
      <c r="L205" t="inlineStr"/>
      <c r="M205" t="inlineStr"/>
    </row>
    <row r="206">
      <c r="A206" t="inlineStr">
        <is>
          <t>1798</t>
        </is>
      </c>
      <c r="B206" t="inlineStr">
        <is>
          <t>Solicitação Urgente de Substituição</t>
        </is>
      </c>
      <c r="C206" t="inlineStr">
        <is>
          <t>Caro Time de Suporte ao Cliente,
Espero que esta mensagem os encontre bem. Estou entrando em contato para chamar a atenção para um problema com a panela de pressão elétrica que comprei recentemente em sua loja online. Ao tentar usá-la, percebi que emite ruídos de erro incomuns quando tento ativar a função de cozimento sob pressão. Este problema está me impedindo de usá-la efetivamente e é bastante preocupante. Assim, estou solicitando uma substituição urgente desta unidade defeituosa. Vocês poderiam me orientar sobre os passos que devo seguir para processar esta troca? Agradeceria a pronta assistência com este assunto. Obrigado.
Atenciosamente,
&lt;name&gt;</t>
        </is>
      </c>
      <c r="D206" t="inlineStr">
        <is>
          <t>Solicitação de Serviço</t>
        </is>
      </c>
      <c r="E206" t="inlineStr">
        <is>
          <t>Gerenciamento de Ativos de TI</t>
        </is>
      </c>
      <c r="F206" t="inlineStr"/>
      <c r="G206" t="inlineStr"/>
      <c r="H206" t="inlineStr"/>
      <c r="I206" t="inlineStr"/>
      <c r="J206" t="inlineStr">
        <is>
          <t>Gerenciamento de Requisição de Serviço</t>
        </is>
      </c>
      <c r="K206" t="inlineStr">
        <is>
          <t>Gerenciamento de Ativos de TI</t>
        </is>
      </c>
      <c r="L206" t="inlineStr"/>
      <c r="M206" t="inlineStr"/>
    </row>
    <row r="207">
      <c r="A207" t="inlineStr">
        <is>
          <t>1817</t>
        </is>
      </c>
      <c r="B207" t="inlineStr">
        <is>
          <t>Problema Urgente: Recurso de Auto-Scaling da AWS</t>
        </is>
      </c>
      <c r="C207" t="inlineStr">
        <is>
          <t>Caro Time de Suporte ao Cliente,
Espero que esta mensagem os encontre bem. Estou escrevendo para trazer à sua atenção imediata um problema crítico que estamos enfrentando com o recurso de auto-scaling da AWS no pacote de Serviços de Gerenciamento da AWS, o qual é crucial para nosso ambiente de produção.
O recurso de auto-scaling, que é projetado para ajustar dinamicamente nossos recursos para atender à demanda, não está funcionando como esperado. Este problema já começou a impactar nossas operações, pois os recursos não estão sendo escalonados durante os horários de pico. Apesar de garantir que todas as configurações estejam de acordo com as configurações recomendadas, o recurso de auto-scaling falha em iniciar conforme necessário.
Essa interrupção pode levar a um tempo de inatividade significativo, resultando em perda financeira e uma reputação manchada com nossos clientes. Precisamos de assistência urgente para investigar e corrigir esse erro o mais rápido possível.
Por favor, encontre anexados os registros de configuração recentes e quaisquer mensagens de erro que encontramos durante operações recentes para auxiliar em sua análise e solução de problemas. Nossa equipe está disponível 24 horas por dia para fornecer qualquer informação adicional que você possa precisar para resolver esse problema rapidamente.
Obrigado pela sua atenção imediata a esta questão. Aguardamos sua rápida resposta para mitigar esse problema urgente.
Atenciosamente,
&lt;name&gt;
&lt;name&gt; Soluções de TI
&lt;tel_num&gt;
&lt;acc_num&gt;</t>
        </is>
      </c>
      <c r="D207" t="inlineStr">
        <is>
          <t>Gerenciamento de Incidentes</t>
        </is>
      </c>
      <c r="E207" t="inlineStr">
        <is>
          <t>Gerenciamento de Capacidade</t>
        </is>
      </c>
      <c r="F207" t="inlineStr"/>
      <c r="G207" t="inlineStr"/>
      <c r="H207" t="inlineStr"/>
      <c r="I207" t="inlineStr"/>
      <c r="J207" t="inlineStr">
        <is>
          <t>Gerenciamento de Problemas</t>
        </is>
      </c>
      <c r="K207" t="inlineStr">
        <is>
          <t>Gerenciamento de Capacidade e Desempenho</t>
        </is>
      </c>
      <c r="L207" t="inlineStr"/>
      <c r="M207" t="inlineStr"/>
    </row>
    <row r="208">
      <c r="A208" t="inlineStr">
        <is>
          <t>1818</t>
        </is>
      </c>
      <c r="B208" t="inlineStr">
        <is>
          <t>Problemas Intermitentes de Conectividade</t>
        </is>
      </c>
      <c r="C208" t="inlineStr">
        <is>
          <t>Caro Equipe de Suporte de Serviços de TI,
Estou escrevendo para relatar problemas intermitentes de conectividade que estamos enfrentando com os serviços da AWS, o que está afetando o desempenho e a confiabilidade geral da nossa infraestrutura em nuvem. Isso diz respeito ao Serviço de Gerenciamento da AWS. Observamos esses problemas na última semana, e eles estão afetando nossa eficiência operacional. Solicitamos gentilmente sua ajuda para diagnosticar e resolver o problema na sua conveniência. Sua resposta rápida será muito apreciada. Obrigado.
Atenciosamente,
&lt;name&gt;
Contato: &lt;tel_num&gt;
Conta: &lt;acc_num&gt;</t>
        </is>
      </c>
      <c r="D208" t="inlineStr">
        <is>
          <t>Gerenciamento de Incidentes</t>
        </is>
      </c>
      <c r="E208" t="inlineStr">
        <is>
          <t>Gerenciamento de Problemas</t>
        </is>
      </c>
      <c r="F208" t="inlineStr"/>
      <c r="G208" t="inlineStr"/>
      <c r="H208" t="inlineStr"/>
      <c r="I208" t="inlineStr"/>
      <c r="J208" t="inlineStr">
        <is>
          <t>Gerenciamento de Problemas</t>
        </is>
      </c>
      <c r="K208" t="inlineStr">
        <is>
          <t>Gerenciamento de Nível de Serviço</t>
        </is>
      </c>
      <c r="L208" t="inlineStr"/>
      <c r="M208" t="inlineStr"/>
    </row>
    <row r="209">
      <c r="A209" t="inlineStr">
        <is>
          <t>1829</t>
        </is>
      </c>
      <c r="B209" t="inlineStr">
        <is>
          <t>Usuário enfrentando problema com mensagens do Slack</t>
        </is>
      </c>
      <c r="C209" t="inlineStr">
        <is>
          <t>Caro time de Suporte de Serviços de TI, nosso colega &lt;name&gt; não consegue enviar mensagens na versão 4.23.0 do Slack. A comunicação nos departamentos de Pluto é crucial e esse problema dificulta nosso fluxo de trabalho. Por favor, forneça assistência ou uma solução o mais rápido possível. Atenciosamente, &lt;name&gt;.</t>
        </is>
      </c>
      <c r="D209" t="inlineStr">
        <is>
          <t>Gerenciamento de Incidentes</t>
        </is>
      </c>
      <c r="E209" t="inlineStr">
        <is>
          <t>Gerenciamento de Problemas</t>
        </is>
      </c>
      <c r="F209" t="inlineStr"/>
      <c r="G209" t="inlineStr"/>
      <c r="H209" t="inlineStr"/>
      <c r="I209" t="inlineStr"/>
      <c r="J209" t="inlineStr">
        <is>
          <t>Gerenciamento de Incidentes</t>
        </is>
      </c>
      <c r="K209" t="inlineStr">
        <is>
          <t>Gerenciamento de Conhecimento</t>
        </is>
      </c>
      <c r="L209" t="inlineStr"/>
      <c r="M209" t="inlineStr"/>
    </row>
    <row r="210">
      <c r="A210" t="inlineStr">
        <is>
          <t>1832</t>
        </is>
      </c>
      <c r="B210" t="inlineStr">
        <is>
          <t>Problema de Tela Piscando</t>
        </is>
      </c>
      <c r="C210" t="inlineStr">
        <is>
          <t>Olá Suporte ao Cliente,
Recentemente, atualizei meu Dell XPS 13 9310 e agora estou enfrentando um piscar intermitente da tela, o que afeta seriamente a usabilidade. Este problema começou imediatamente após a atualização. Não tenho certeza se é devido a hardware ou software, mas preciso de assistência o mais rápido possível. Por favor, forneça orientações sobre como solucionar o problema ou inicie um reparo, se necessário.
Obrigado,
&lt;name&gt;
&lt;tel_num&gt;
&lt;acc_num&gt;</t>
        </is>
      </c>
      <c r="D210" t="inlineStr">
        <is>
          <t>Gerenciamento de Incidentes</t>
        </is>
      </c>
      <c r="E210" t="inlineStr">
        <is>
          <t>Gerenciamento de Problemas</t>
        </is>
      </c>
      <c r="F210" t="inlineStr"/>
      <c r="G210" t="inlineStr"/>
      <c r="H210" t="inlineStr"/>
      <c r="I210" t="inlineStr"/>
      <c r="J210" t="inlineStr">
        <is>
          <t>Gerenciamento de Problemas</t>
        </is>
      </c>
      <c r="K210" t="inlineStr">
        <is>
          <t>Habilitação de Mudança</t>
        </is>
      </c>
      <c r="L210" t="inlineStr"/>
      <c r="M210" t="inlineStr"/>
    </row>
    <row r="211">
      <c r="A211" t="inlineStr">
        <is>
          <t>1833</t>
        </is>
      </c>
      <c r="B211" t="inlineStr">
        <is>
          <t>Pedido Urgente do Cliente: Atualização do Jira Software 8.20</t>
        </is>
      </c>
      <c r="C211" t="inlineStr">
        <is>
          <t>Caro Time de Suporte ao Cliente, Nosso cliente, &lt;name&gt;, solicitou urgentemente que atualizássemos nossa ferramenta de gerenciamento de projetos para o Jira Software 8.20. Eles precisam dessa atualização para acessar os recursos aprimorados do sistema de ticket fornecidos nesta versão. O produto atualmente afetado é o Jira Software usado para gerenciamento de projetos. Por favor, priorize este pedido e nos ajude com os passos necessários para a atualização do software. Se precisar de mais detalhes ou tiver alguma pergunta, entre em contato comigo diretamente pelo &lt;tel_num&gt;. Obrigado pela sua atenção rápida a este assunto. Atenciosamente, &lt;name&gt;.</t>
        </is>
      </c>
      <c r="D211" t="inlineStr">
        <is>
          <t>Solicitação de Serviço</t>
        </is>
      </c>
      <c r="E211" t="inlineStr">
        <is>
          <t>Gerenciamento de Mudanças</t>
        </is>
      </c>
      <c r="F211" t="inlineStr"/>
      <c r="G211" t="inlineStr"/>
      <c r="H211" t="inlineStr"/>
      <c r="I211" t="inlineStr"/>
      <c r="J211" t="inlineStr">
        <is>
          <t>Habilitação de Mudança</t>
        </is>
      </c>
      <c r="K211" t="inlineStr">
        <is>
          <t>Gerenciamento de Liberação</t>
        </is>
      </c>
      <c r="L211" t="inlineStr"/>
      <c r="M211" t="inlineStr"/>
    </row>
    <row r="212">
      <c r="A212" t="inlineStr">
        <is>
          <t>1835</t>
        </is>
      </c>
      <c r="B212" t="inlineStr">
        <is>
          <t>Erro de Cobrança na Compra Recente</t>
        </is>
      </c>
      <c r="C212" t="inlineStr">
        <is>
          <t>Caro Suporte ao Cliente da Tech Online Store, 
Estou escrevendo para chamar a sua atenção para um erro de cobrança que encontrei após comprar algumas extensões na sua loja. Minha conta, registrada sob o nome &lt;name&gt; e número da conta &lt;acc_num&gt;, foi cobrada de forma incorreta pelas extensões do Google Chrome 102.0.
Ao revisar meu extrato, notei uma discrepância envolvendo a compra mencionada, com uma cobrança adicional inesperada. O total cobrado não está alinhado com o custo exibido no checkout, levando a uma diferença significativa que estou ansioso para resolver. Suspeito que uma falha no sistema possa ter causado essa anomalia de cobrança.
Considerando as circunstâncias, solicito gentilmente que você investigue este problema assim que possível e ajuste as cobranças de acordo. Por favor, me avise se forem necessários mais detalhes da minha parte. Estou esperando uma rápida resolução para evitar qualquer interrupção nos serviços.
Para uma comunicação rápida, fique à vontade para me contatar pelo &lt;tel_num&gt; ou através deste endereço de e-mail.
Obrigado por tratar deste assunto prontamente.
Atenciosamente,
&lt;name&gt;</t>
        </is>
      </c>
      <c r="D212" t="inlineStr">
        <is>
          <t>Gerenciamento Financeiro</t>
        </is>
      </c>
      <c r="E212" t="inlineStr">
        <is>
          <t>Gerenciamento de Incidentes</t>
        </is>
      </c>
      <c r="F212" t="inlineStr"/>
      <c r="G212" t="inlineStr"/>
      <c r="H212" t="inlineStr"/>
      <c r="I212" t="inlineStr"/>
      <c r="J212" t="inlineStr">
        <is>
          <t>Gerenciamento Financeiro de Serviços</t>
        </is>
      </c>
      <c r="K212" t="inlineStr">
        <is>
          <t>Validação e Teste de Serviço</t>
        </is>
      </c>
      <c r="L212" t="inlineStr"/>
      <c r="M212" t="inlineStr"/>
    </row>
    <row r="213">
      <c r="A213" t="inlineStr">
        <is>
          <t>1846</t>
        </is>
      </c>
      <c r="B213" t="inlineStr">
        <is>
          <t>Solicitação de Consulta com Especialista</t>
        </is>
      </c>
      <c r="C213" t="inlineStr">
        <is>
          <t>Caro Suporte ao Cliente de Serviços de TI,
Estou escrevendo para solicitar serviços de consultoria profissional especializados em administração de servidores e soluções de desenvolvimento de software. Nossa equipe está urgentemente precisa de atenção especializada para resolver uma série de desafios técnicos que estamos enfrentando. A área de serviço afetada é o Serviço de Consultoria em TI, particularmente na otimização da nossa gestão de servidores e garantindo que nossos processos de desenvolvimento de software estejam alinhados com as melhores práticas atuais.
A situação requer intervenção imediata de consultores de TI experientes que possam fornecer soluções personalizadas para melhorar nossa infraestrutura atual e fluxos de trabalho. Sua resposta rápida com as agendas de consulta disponíveis e quaisquer pré-requisitos necessários seria muito apreciada.
Por favor, nos avise com que rapidez podemos agendar uma reunião com um de seus especialistas para discutir essas questões em mais detalhes. Você pode me contatar pelo meu e-mail ou pelo telefone &lt;tel_num&gt;.
Agradeço pela sua assistência.
Atenciosamente,
&lt;name&gt;</t>
        </is>
      </c>
      <c r="D213" t="inlineStr">
        <is>
          <t>Solicitação de Serviço</t>
        </is>
      </c>
      <c r="E213" t="inlineStr">
        <is>
          <t>Gerenciamento de Nível de Serviço</t>
        </is>
      </c>
      <c r="F213" t="inlineStr"/>
      <c r="G213" t="inlineStr"/>
      <c r="H213" t="inlineStr"/>
      <c r="I213" t="inlineStr"/>
      <c r="J213" t="inlineStr">
        <is>
          <t>Gerenciamento de Requisição de Serviço</t>
        </is>
      </c>
      <c r="K213" t="inlineStr">
        <is>
          <t>Gerenciamento de Relacionamento</t>
        </is>
      </c>
      <c r="L213" t="inlineStr"/>
      <c r="M213" t="inlineStr"/>
    </row>
    <row r="214">
      <c r="A214" t="inlineStr">
        <is>
          <t>1854</t>
        </is>
      </c>
      <c r="B214" t="inlineStr">
        <is>
          <t>Solicitação de Assistência com Problema de Tela Touch do Dell XPS 13</t>
        </is>
      </c>
      <c r="C214" t="inlineStr">
        <is>
          <t>Olá, estou enfrentando problemas com a tela touch do meu Dell XPS 13 9310. A tela ocasionalmente se torna não responsiva, afetando significativamente minha produtividade. Parece que uma atualização de firmware pode resolver essas interrupções. Você poderia, por favor, fornecer orientação e apoio sobre como abordar efetivamente esse problema? Estou esperando por uma solução rápida, pois esse problema está impactando minha rotina de trabalho. Obrigado pela sua atenção e assistência neste assunto. Aguardo sua resposta rápida. Atenciosamente, &lt;name&gt;.</t>
        </is>
      </c>
      <c r="D214" t="inlineStr">
        <is>
          <t>Gerenciamento de Incidentes</t>
        </is>
      </c>
      <c r="E214" t="inlineStr">
        <is>
          <t>Gerenciamento de Problemas</t>
        </is>
      </c>
      <c r="F214" t="inlineStr"/>
      <c r="G214" t="inlineStr"/>
      <c r="H214" t="inlineStr"/>
      <c r="I214" t="inlineStr"/>
      <c r="J214" t="inlineStr">
        <is>
          <t>Gerenciamento de Problemas</t>
        </is>
      </c>
      <c r="K214" t="inlineStr">
        <is>
          <t>Gerenciamento de Liberação</t>
        </is>
      </c>
      <c r="L214" t="inlineStr"/>
      <c r="M214" t="inlineStr"/>
    </row>
    <row r="215">
      <c r="A215" t="inlineStr">
        <is>
          <t>1858</t>
        </is>
      </c>
      <c r="B215" t="inlineStr">
        <is>
          <t>Problema de Desconexões Frequentes na Rede</t>
        </is>
      </c>
      <c r="C215" t="inlineStr">
        <is>
          <t>Caro Suporte ao Cliente,
Espero que esta mensagem o encontre bem. Estou escrevendo para chamar sua atenção para um problema persistente que estamos enfrentando com desconexões frequentes da rede. Após realizar uma investigação minuciosa, determinamos que essas interrupções são causadas por um problema de configuração em nosso Roteador Cisco ISR4331, que é crítico para nossas operações de rede.
O problema se manifesta como perda intermitente de conectividade de rede, impactando severamente nossas comunicações internas e externas. Essas desconexões estão se tornando cada vez mais disruptivas para nossas operações, levando a uma queda na produtividade e possivelmente afetando a entrega do nosso serviço.
Suspeitamos que a configuração atual do Roteador Cisco ISR4331 pode não estar otimizada para as demandas específicas da nossa rede ou pode haver um problema de firmware ou compatibilidade subjacente. Como isso está além de nossa expertise, solicitamos gentilmente sua assistência imediata para diagnosticar e recomendar uma solução para este problema.
Por favor, nos informe em sua conveniência mais próxima como podemos proceder para resolver esta questão de forma eficiente. Caso precise entrar em contato para obter mais informações ou diagnósticos remotos, você pode me contatar diretamente.
Obrigado pela sua atenção imediata a este importante problema.
Atenciosamente,
&lt;name&gt;
&lt;email_address&gt;
&lt;tel_num&gt;</t>
        </is>
      </c>
      <c r="D215" t="inlineStr">
        <is>
          <t>Gerenciamento de Incidentes</t>
        </is>
      </c>
      <c r="E215" t="inlineStr">
        <is>
          <t>Gerenciamento de Problemas</t>
        </is>
      </c>
      <c r="F215" t="inlineStr"/>
      <c r="G215" t="inlineStr"/>
      <c r="H215" t="inlineStr"/>
      <c r="I215" t="inlineStr"/>
      <c r="J215" t="inlineStr">
        <is>
          <t>Gerenciamento de Problemas</t>
        </is>
      </c>
      <c r="K215" t="inlineStr">
        <is>
          <t>Habilitação de Mudança</t>
        </is>
      </c>
      <c r="L215" t="inlineStr"/>
      <c r="M215" t="inlineStr"/>
    </row>
    <row r="216">
      <c r="A216" t="inlineStr">
        <is>
          <t>1866</t>
        </is>
      </c>
      <c r="B216" t="inlineStr">
        <is>
          <t>Atualização da Arquitetura do Servidor</t>
        </is>
      </c>
      <c r="C216" t="inlineStr">
        <is>
          <t>Caro Equipe de Suporte ao Cliente, espero que esta mensagem os encontre bem. Como parte do nosso processo de revisão trimestral contínuo sob nosso contrato de consultoria existente, estou escrevendo para solicitar atualizações sobre a arquitetura do servidor em que temos trabalhado. O produto afetado é o nosso Serviço de Consultoria em TI. Temos planejado melhorias extensivas e precisamos garantir que tudo esteja em conformidade com as expectativas do cliente. Além disso, é crucial que essas atualizações se integrem perfeitamente ao nosso sistema atual para evitar qualquer interrupção na operação. Durante nossa última reunião, discutimos várias abordagens e recebemos um feedback valioso que precisa ser incorporado para melhorar a funcionalidade. Nossa equipe apreciaria se você pudesse compartilhar o cronograma planejado para conclusão e quaisquer desafios potenciais que possamos enfrentar durante sua implementação. Por favor, confirme também se há novas ferramentas ou recursos necessários da sua parte para facilitar este processo de forma eficaz. Aguardamos sua resposta rápida para que possamos garantir uma atualização rápida e bem-sucedida. Obrigado pela sua atenção a este assunto. Atenciosamente, &lt;name&gt; &lt;acc_num&gt;</t>
        </is>
      </c>
      <c r="D216" t="inlineStr">
        <is>
          <t>Solicitação de Serviço</t>
        </is>
      </c>
      <c r="E216" t="inlineStr">
        <is>
          <t>Gerenciamento de Mudanças</t>
        </is>
      </c>
      <c r="F216" t="inlineStr"/>
      <c r="G216" t="inlineStr"/>
      <c r="H216" t="inlineStr"/>
      <c r="I216" t="inlineStr"/>
      <c r="J216" t="inlineStr">
        <is>
          <t>Gerenciamento de Projetos</t>
        </is>
      </c>
      <c r="K216" t="inlineStr">
        <is>
          <t>Desenho de Serviço</t>
        </is>
      </c>
      <c r="L216" t="inlineStr"/>
      <c r="M216" t="inlineStr"/>
    </row>
    <row r="217">
      <c r="A217" t="inlineStr">
        <is>
          <t>1878</t>
        </is>
      </c>
      <c r="B217" t="inlineStr">
        <is>
          <t>Consulta Sobre Soluções em Nuvem e Serviços de Desenvolvimento de Software</t>
        </is>
      </c>
      <c r="C217" t="inlineStr">
        <is>
          <t>Caro Equipe de Suporte de Serviços de TI, Estou escrevendo para solicitar mais informações sobre suas Soluções em Computação em Nuvem e Serviços de Desenvolvimento de Software para otimizar as operações do meu negócio. Por favor, inclua detalhes sobre preços, prazos de implementação e opções de suporte. Obrigado, &lt;name&gt;.</t>
        </is>
      </c>
      <c r="D217" t="inlineStr">
        <is>
          <t>Solicitação de Serviço</t>
        </is>
      </c>
      <c r="E217" t="inlineStr">
        <is>
          <t>Gerenciamento de Nível de Serviço</t>
        </is>
      </c>
      <c r="F217" t="inlineStr"/>
      <c r="G217" t="inlineStr"/>
      <c r="H217" t="inlineStr"/>
      <c r="I217" t="inlineStr"/>
      <c r="J217" t="inlineStr">
        <is>
          <t>Gerenciamento de Catálogo de Serviço</t>
        </is>
      </c>
      <c r="K217" t="inlineStr">
        <is>
          <t>Gerenciamento de Relacionamento</t>
        </is>
      </c>
      <c r="L217" t="inlineStr"/>
      <c r="M217" t="inlineStr"/>
    </row>
    <row r="218">
      <c r="A218" t="inlineStr">
        <is>
          <t>1880</t>
        </is>
      </c>
      <c r="B218" t="inlineStr">
        <is>
          <t>Problema de Flicker na Tela</t>
        </is>
      </c>
      <c r="C218" t="inlineStr">
        <is>
          <t>Prezado Suporte da Tech Online Store,
Estou escrevendo para relatar um problema contínuo de flicker na tela do meu MacBook Air M1. O problema ocorre aleatoriamente durante o uso e persiste mesmo após a atualização do sistema operacional para a versão mais recente. A situação é bastante preocupante, pois interfere nas minhas tarefas diárias.
Você poderia, por favor, ajudar a resolver esse problema o mais rápido possível? Agradeceria qualquer orientação ou suporte que você possa oferecer, potencialmente incluindo opções de serviço ou substituição.
Obrigado pela sua atenção a este assunto.
Atenciosamente,
&lt;name&gt;</t>
        </is>
      </c>
      <c r="D218" t="inlineStr">
        <is>
          <t>Gerenciamento de Incidentes</t>
        </is>
      </c>
      <c r="E218" t="inlineStr">
        <is>
          <t>Gerenciamento de Ativos de TI</t>
        </is>
      </c>
      <c r="F218" t="inlineStr"/>
      <c r="G218" t="inlineStr"/>
      <c r="H218" t="inlineStr"/>
      <c r="I218" t="inlineStr"/>
      <c r="J218" t="inlineStr">
        <is>
          <t>Gerenciamento de Problemas</t>
        </is>
      </c>
      <c r="K218" t="inlineStr">
        <is>
          <t>Gerenciamento de Fornecedor</t>
        </is>
      </c>
      <c r="L218" t="inlineStr"/>
      <c r="M218" t="inlineStr"/>
    </row>
    <row r="219">
      <c r="A219" t="inlineStr">
        <is>
          <t>1891</t>
        </is>
      </c>
      <c r="B219" t="inlineStr">
        <is>
          <t>Problemas de Sensibilidade da Tela Sensível ao Toque no Surface Pro 7</t>
        </is>
      </c>
      <c r="C219" t="inlineStr">
        <is>
          <t>Caro Suporte ao Cliente da Tech Online Store,
Estou enfrentando problemas de sensibilidade da tela sensível ao toque no meu Microsoft Surface Pro 7, particularmente ao usar o dispositivo com o teclado destacado. Tentei solucionar o problema com algumas etapas básicas, sem sucesso. Você pode me ajudar a resolver esse problema? Meu número da conta é &lt;acc_num&gt;. Você pode me contatar pelo &lt;tel_num&gt; ou responder a este e-mail.
Obrigado,
&lt;name&gt;</t>
        </is>
      </c>
      <c r="D219" t="inlineStr">
        <is>
          <t>Gerenciamento de Incidentes</t>
        </is>
      </c>
      <c r="E219" t="inlineStr">
        <is>
          <t>Gerenciamento de Problemas</t>
        </is>
      </c>
      <c r="F219" t="inlineStr"/>
      <c r="G219" t="inlineStr"/>
      <c r="H219" t="inlineStr"/>
      <c r="I219" t="inlineStr"/>
      <c r="J219" t="inlineStr">
        <is>
          <t>Gerenciamento de Problemas</t>
        </is>
      </c>
      <c r="K219" t="inlineStr">
        <is>
          <t>Validação e Teste de Serviço</t>
        </is>
      </c>
      <c r="L219" t="inlineStr"/>
      <c r="M219" t="inlineStr"/>
    </row>
    <row r="220">
      <c r="A220" t="inlineStr">
        <is>
          <t>1898</t>
        </is>
      </c>
      <c r="B220" t="inlineStr">
        <is>
          <t>Problema Urgente: Acesso ao Email no Office 365</t>
        </is>
      </c>
      <c r="C220" t="inlineStr">
        <is>
          <t>Prezado Suporte ao Cliente,
Estou escrevendo para informar que &lt;name&gt; está enfrentando dificuldades para acessar seus emails através do Microsoft Outlook via Office 365. Este problema é bastante urgente, pois está afetando a capacidade de &lt;name&gt; de realizar suas tarefas diárias com eficiência. O número do escritório de &lt;name&gt; é &lt;tel_num&gt;. O produto em questão é o Microsoft Office 365. Tentamos várias etapas de solução de problemas, incluindo verificar as configurações da rede e reinstalar o aplicativo, mas o problema persiste.
Por favor, aconselhe sobre os próximos passos para resolver este problema rapidamente. Sua assistência rápida neste assunto é muito apreciada.
Obrigado,
&lt;name&gt;</t>
        </is>
      </c>
      <c r="D220" t="inlineStr">
        <is>
          <t>Gerenciamento de Incidentes</t>
        </is>
      </c>
      <c r="E220" t="inlineStr">
        <is>
          <t>Gerenciamento de Acesso</t>
        </is>
      </c>
      <c r="F220" t="inlineStr"/>
      <c r="G220" t="inlineStr"/>
      <c r="H220" t="inlineStr"/>
      <c r="I220" t="inlineStr"/>
      <c r="J220" t="inlineStr">
        <is>
          <t>Gerenciamento de Disponibilidade</t>
        </is>
      </c>
      <c r="K220" t="inlineStr">
        <is>
          <t>Gerenciamento de Incidentes</t>
        </is>
      </c>
      <c r="L220" t="inlineStr"/>
      <c r="M220" t="inlineStr"/>
    </row>
    <row r="221">
      <c r="A221" t="inlineStr">
        <is>
          <t>1919</t>
        </is>
      </c>
      <c r="B221" t="inlineStr">
        <is>
          <t>Desconexões frequentes do Zoom 5.11.0 afetam a comunicação do webinar</t>
        </is>
      </c>
      <c r="C221" t="inlineStr">
        <is>
          <t>Caro Suporte de Serviços de TI,
Estou entrando em contato para solicitar assistência com desconexões frequentes durante webinars utilizando a versão 5.11.0 do Zoom, que tem afetado significativamente nossa eficiência de comunicação. O problema interrompe reuniões importantes e causa inconvenientes a todos os participantes. Garantimos que todos os outros sistemas estão funcionando corretamente, mas o problema persiste. Qualquer conselho ou suporte que você puder fornecer para resolver essa questão prontamente seria muito apreciado.
Obrigado pela sua atenção a este assunto.
Atenciosamente,
&lt;name&gt;</t>
        </is>
      </c>
      <c r="D221" t="inlineStr">
        <is>
          <t>Gerenciamento de Incidentes</t>
        </is>
      </c>
      <c r="E221" t="inlineStr">
        <is>
          <t>Gerenciamento de Problemas</t>
        </is>
      </c>
      <c r="F221" t="inlineStr"/>
      <c r="G221" t="inlineStr"/>
      <c r="H221" t="inlineStr"/>
      <c r="I221" t="inlineStr"/>
      <c r="J221" t="inlineStr">
        <is>
          <t>Gerenciamento de Problemas</t>
        </is>
      </c>
      <c r="K221" t="inlineStr">
        <is>
          <t>Desenvolvimento e Gerenciamento de Software</t>
        </is>
      </c>
      <c r="L221" t="inlineStr"/>
      <c r="M221" t="inlineStr"/>
    </row>
    <row r="222">
      <c r="A222" t="inlineStr">
        <is>
          <t>1924</t>
        </is>
      </c>
      <c r="B222" t="inlineStr">
        <is>
          <t>MacBook Air M1 enfrentando problemas de superaquecimento durante uso prolongado</t>
        </is>
      </c>
      <c r="C222" t="inlineStr">
        <is>
          <t>Caro equipe de suporte da Tech Online Store, recentemente comprei um MacBook Air M1 e estou enfrentando problemas de superaquecimento durante longos períodos de uso. Além disso, notei picos significativos de consumo de energia que afetam a vida útil da bateria. Isso começou a acontecer algumas semanas após a minha compra. Por favor, me aconselhe se esse problema pode ser resolvido remotamente ou se preciso retornar o produto para inspeção. Aguardando sua assistência. Atenciosamente, &lt;name&gt;</t>
        </is>
      </c>
      <c r="D222" t="inlineStr">
        <is>
          <t>Gerenciamento de Incidentes</t>
        </is>
      </c>
      <c r="E222" t="inlineStr">
        <is>
          <t>Gerenciamento de Ativos de TI</t>
        </is>
      </c>
      <c r="F222" t="inlineStr"/>
      <c r="G222" t="inlineStr"/>
      <c r="H222" t="inlineStr"/>
      <c r="I222" t="inlineStr"/>
      <c r="J222" t="inlineStr">
        <is>
          <t>Gerenciamento de Capacidade e Desempenho</t>
        </is>
      </c>
      <c r="K222" t="inlineStr">
        <is>
          <t>Gerenciamento de Problemas</t>
        </is>
      </c>
      <c r="L222" t="inlineStr"/>
      <c r="M222" t="inlineStr"/>
    </row>
    <row r="223">
      <c r="A223" t="inlineStr">
        <is>
          <t>1926</t>
        </is>
      </c>
      <c r="B223" t="inlineStr">
        <is>
          <t>Urgente: Problemas de Conectividade com o Roteador Cisco ISR4331</t>
        </is>
      </c>
      <c r="C223" t="inlineStr">
        <is>
          <t>Caro time de suporte ao cliente,
Espero que esta mensagem os encontre bem. Estou entrando em contato para chamar sua atenção para um problema recorrente que temos experimentado com a nossa conectividade de rede, que parece estar ligado ao nosso Roteador Cisco ISR4331. Na última semana, observamos desconexões frequentes que estão interrompendo nossas operações. Após vários esforços de diagnóstico de nossa parte, parece plausível que essas interrupções estejam ligadas às configurações atuais do roteador ou a uma potencial falha de firmware.
Entendendo que a operação consistente da nossa infraestrutura de rede é crítica, estou ansioso para resolver esse problema prontamente. Precisamos da sua experiência para determinar se um ajuste de configuração pode corrigir o problema ou se uma atualização de firmware ou outra ação corretiva é necessária. Apesar de tentativas de realizar um reboot básico e restaurar as configurações padrão, as preocupações de conectividade continuam a persistir, o que nos leva a crer que o problema pode estar mais profundo do que a solução padrão pode resolver.
Para contexto adicional, &lt;name&gt;, nosso administrador de rede, conduziu uma revisão preliminar e notou logs de rede inconsistentes que sugerem um possível desalinhamento nos protocolos de firmware. No entanto, sem insights avançados, é desafiador para nós desenvolver uma compreensão mais definitiva.
Solicitamos gentilmente uma inspeção detalhada e orientação de sua equipe sobre a solução apropriada ou a necessidade de substituição de hardware, se considerado essencial. Além disso, seria útil ter uma visão geral de quaisquer problemas conhecidos relacionados a este modelo ou erros de configuração que normalmente resultam em problemas semelhantes de desconexão, para evitar quaisquer incidências futuras.
Agradecemos antecipadamente pela sua atenção rápida a este assunto. Se você precisar de mais detalhes ou precisar se coordenar com &lt;name&gt;, eles podem ser contatados diretamente em &lt;tel_num&gt; ou aguardando mais instruções de seu contato de suporte.
Esperamos sua resposta rápida.
Atenciosamente,
&lt;name&gt;
Administrador de TI Sênior
&lt;company_name&gt;</t>
        </is>
      </c>
      <c r="D223" t="inlineStr">
        <is>
          <t>Gerenciamento de Incidentes</t>
        </is>
      </c>
      <c r="E223" t="inlineStr">
        <is>
          <t>Gerenciamento de Problemas</t>
        </is>
      </c>
      <c r="F223" t="inlineStr"/>
      <c r="G223" t="inlineStr"/>
      <c r="H223" t="inlineStr"/>
      <c r="I223" t="inlineStr"/>
      <c r="J223" t="inlineStr">
        <is>
          <t>Gerenciamento de Problemas</t>
        </is>
      </c>
      <c r="K223" t="inlineStr">
        <is>
          <t>Gerenciamento de Configuração de Serviço</t>
        </is>
      </c>
      <c r="L223" t="inlineStr"/>
      <c r="M223" t="inlineStr"/>
    </row>
    <row r="224">
      <c r="A224" t="inlineStr">
        <is>
          <t>1930</t>
        </is>
      </c>
      <c r="B224" t="inlineStr">
        <is>
          <t>Frequentes atolamentos de papel com a impressora</t>
        </is>
      </c>
      <c r="C224" t="inlineStr">
        <is>
          <t>Caro Suporte ao Cliente,
Estou enfrentando frequentes atolamentos de papel com minha impressora HP DeskJet 3755 tudo-em-um sem fio, especificamente ao usar a função de cópia. Esse problema persiste há várias semanas e prejudica consideravelmente a produtividade. Tentei etapas básicas de solução de problemas, como recarregar papel e limpar os rolos, mas o problema persiste. A impressora afetada foi comprada há três meses e ainda está sob garantia. Por favor, forneça orientação sobre como resolver esse problema ou me avise sobre o procedimento para iniciar um pedido de serviço.
Obrigado pela sua assistência.
Atenciosamente,
&lt;name&gt;</t>
        </is>
      </c>
      <c r="D224" t="inlineStr">
        <is>
          <t>Gerenciamento de Incidentes</t>
        </is>
      </c>
      <c r="E224" t="inlineStr">
        <is>
          <t>Gerenciamento de Problemas</t>
        </is>
      </c>
      <c r="F224" t="inlineStr"/>
      <c r="G224" t="inlineStr"/>
      <c r="H224" t="inlineStr"/>
      <c r="I224" t="inlineStr"/>
      <c r="J224" t="inlineStr">
        <is>
          <t>Gerenciamento de Fornecedor</t>
        </is>
      </c>
      <c r="K224" t="inlineStr">
        <is>
          <t>Gerenciamento de Problemas</t>
        </is>
      </c>
      <c r="L224" t="inlineStr"/>
      <c r="M224" t="inlineStr"/>
    </row>
    <row r="225">
      <c r="A225" t="inlineStr">
        <is>
          <t>1937</t>
        </is>
      </c>
      <c r="B225" t="inlineStr">
        <is>
          <t>Assistência Necessária para Problema com Debugging de Extensões</t>
        </is>
      </c>
      <c r="C225" t="inlineStr">
        <is>
          <t>Caro Time de Suporte ao Cliente,
Espero que esta mensagem o encontre bem. Estou escrevendo para solicitar assistência com um problema recorrente que encontrei ao tentar depurar extensões no ambiente do Visual Studio Code 1.70. O processo se mostrou inesperadamente desafiador, impactando significativamente minha produtividade. Entendo que as capacidades de depuração visam aprimorar o processo de desenvolvimento, mas atualmente, não estou conseguindo utilizar essas ferramentas de forma eficaz devido a problemas persistentes.
Detalhes do Problema:
- Versão do Software: Visual Studio Code 1.70
- Natureza do Problema: Dificuldade em depurar extensões
Apesar de tentar várias etapas de solução de problemas, como reiniciar o IDE, atualizar extensões e ajustar as configurações de lançamento, o problema permanece sem solução. Seria muito benéfico para mim receber orientações específicas para essa versão.
Você poderia fornecer informações sobre quaisquer problemas conhecidos com esta versão ou talvez sugerir uma abordagem mais eficaz para resolver esse problema? Se necessário, posso compartilhar mais detalhes sobre as mensagens de erro ou a natureza das extensões em uso.
Obrigado pela sua atenção a este assunto. Aguardarei sua resposta pontual para que eu possa retomar minhas tarefas de desenvolvimento sem mais hindrances.
Atenciosamente,
&lt;name&gt;
&lt;name&gt; &lt;acc_num&gt;
&lt;tel_num&gt;</t>
        </is>
      </c>
      <c r="D225" t="inlineStr">
        <is>
          <t>Gerenciamento de Incidentes</t>
        </is>
      </c>
      <c r="E225" t="inlineStr">
        <is>
          <t>Gerenciamento de Problemas</t>
        </is>
      </c>
      <c r="F225" t="inlineStr"/>
      <c r="G225" t="inlineStr"/>
      <c r="H225" t="inlineStr"/>
      <c r="I225" t="inlineStr"/>
      <c r="J225" t="inlineStr">
        <is>
          <t>Gerenciamento de Conhecimento</t>
        </is>
      </c>
      <c r="K225" t="inlineStr">
        <is>
          <t>Desenvolvimento e Gerenciamento de Software</t>
        </is>
      </c>
      <c r="L225" t="inlineStr"/>
      <c r="M225" t="inlineStr"/>
    </row>
    <row r="226">
      <c r="A226" t="inlineStr">
        <is>
          <t>1941</t>
        </is>
      </c>
      <c r="B226" t="inlineStr">
        <is>
          <t>Assistência necessária com a configuração sem fio para a Canon PIXMA MG3620</t>
        </is>
      </c>
      <c r="C226" t="inlineStr">
        <is>
          <t>Caro Suporte ao Cliente,
Estou escrevendo para solicitar assistência com a configuração do recurso sem fio na minha nova impressora Canon PIXMA MG3620, que comprei recentemente em sua loja. Ao tentar configurar a conexão sem fio, encontrei algumas dificuldades que não consegui resolver usando o manual fornecido ou recursos online.
Segui os passos iniciais, garantindo que a impressora estivesse ligada e dentro do alcance do roteador, mas a impressora não conseguiu se conectar à minha rede sem fio. Além disso, certifiquei-me de que minhas credenciais de rede estavam inseridas corretamente e que minha rede estava funcionando bem com outros dispositivos.
Apesar dessas verificações, a impressora mostra repetidamente um erro de conexão. Agradeceria muito qualquer orientação que você possa fornecer ou dicas de solução de problemas específicas para este modelo. Se houver a necessidade de agendar uma ligação ou discutir o processo mais detalhadamente, por favor, me avise, e ficarei feliz em fornecer meus dados de contato.
Obrigado pela sua atenção a este assunto. Aguardo sua rápida resposta.
Atenciosamente,
&lt;name&gt;
Conta do Cliente: &lt;acc_num&gt;</t>
        </is>
      </c>
      <c r="D226" t="inlineStr">
        <is>
          <t>Solicitação de Serviço</t>
        </is>
      </c>
      <c r="E226" t="inlineStr">
        <is>
          <t>Gerenciamento de Incidentes</t>
        </is>
      </c>
      <c r="F226" t="inlineStr"/>
      <c r="G226" t="inlineStr"/>
      <c r="H226" t="inlineStr"/>
      <c r="I226" t="inlineStr"/>
      <c r="J226" t="inlineStr">
        <is>
          <t>Gerenciamento de Catálogo de Serviço</t>
        </is>
      </c>
      <c r="K226" t="inlineStr">
        <is>
          <t>Central de Serviço</t>
        </is>
      </c>
      <c r="L226" t="inlineStr"/>
      <c r="M226" t="inlineStr"/>
    </row>
    <row r="227">
      <c r="A227" t="inlineStr">
        <is>
          <t>1948</t>
        </is>
      </c>
      <c r="B227" t="inlineStr">
        <is>
          <t>Alta Prioridade: Queda do Sistema ao Acessar Painéis Scrum</t>
        </is>
      </c>
      <c r="C227" t="inlineStr">
        <is>
          <t>Caro Time de Suporte ao Cliente, Espero que esta mensagem os encontre bem. Estou escrevendo para chamar a atenção de vocês para um problema urgente que estamos enfrentando com sua versão do Jira Software 8.20. Parece que nossos painéis Scrum estão causando quedas de sistema de forma consistente, impactando significativamente a produtividade da nossa equipe. O problema surge sempre que tentamos acessar os painéis, e ocorre independentemente do usuário que tenta a ação. Este problema de alta prioridade precisa de atenção imediata, pois paralisou nossas capacidades de rastreamento de projeto. Poderia, por favor, priorizar este chamado e resolver esta queda do sistema com urgência? Nossa equipe depende fortemente do Jira para gerenciar tarefas de desenvolvimento, e essa interrupção tem sido bastante prejudicial. Solicitamos uma solução temporária, se possível, enquanto uma solução permanente está em andamento. Além disso, agradeceríamos quaisquer etapas de diagnóstico que possamos realizar para ajudar a diagnosticar o problema mais a fundo. Garantimos que nosso ambiente atende a todas as especificações requeridas, e não há plugins de terceiros conflitantes instalados. Por favor, encontre os detalhes da nossa conta e logs de erro específicos anexados a este e-mail para sua referência. Entre em contato comigo na minha linha direta &lt;tel_num&gt; para quaisquer esclarecimentos ou atualizações adicionais sobre este assunto. Obrigado pela sua atenção rápida a esta questão urgente. Aguardamos sua rápida resolução. Atenciosamente, &lt;name&gt;</t>
        </is>
      </c>
      <c r="D227" t="inlineStr">
        <is>
          <t>Gerenciamento de Incidentes</t>
        </is>
      </c>
      <c r="E227" t="inlineStr">
        <is>
          <t>Gerenciamento de Disponibilidade</t>
        </is>
      </c>
      <c r="F227" t="inlineStr"/>
      <c r="G227" t="inlineStr"/>
      <c r="H227" t="inlineStr"/>
      <c r="I227" t="inlineStr"/>
      <c r="J227" t="inlineStr">
        <is>
          <t>Gerenciamento de Problemas</t>
        </is>
      </c>
      <c r="K227" t="inlineStr">
        <is>
          <t>Validação e Teste de Serviço</t>
        </is>
      </c>
      <c r="L227" t="inlineStr"/>
      <c r="M227" t="inlineStr"/>
    </row>
    <row r="228">
      <c r="A228" t="inlineStr">
        <is>
          <t>1960</t>
        </is>
      </c>
      <c r="B228" t="inlineStr">
        <is>
          <t>Problema de Piscar da Tela com Dell XPS 13 9310</t>
        </is>
      </c>
      <c r="C228" t="inlineStr">
        <is>
          <t>Caro Suporte ao Cliente,
Estou escrevendo para relatar um problema de piscar da tela que venho enfrentando com meu laptop Dell XPS 13 9310 de alto desempenho. O problema começou há alguns dias e persistiu apesar de reiniciar e atualizar os drivers. Dependo muito deste laptop para meu trabalho, e esse problema está afetando significativamente minha produtividade. Você poderia me aconselhar sobre possíveis soluções ou arranjar serviços de reparo?
Obrigado pela sua assistência.
Atenciosamente,
&lt;name&gt;
&lt;acc_num&gt;</t>
        </is>
      </c>
      <c r="D228" t="inlineStr">
        <is>
          <t>Gerenciamento de Incidentes</t>
        </is>
      </c>
      <c r="E228" t="inlineStr">
        <is>
          <t>Gerenciamento de Problemas</t>
        </is>
      </c>
      <c r="F228" t="inlineStr"/>
      <c r="G228" t="inlineStr"/>
      <c r="H228" t="inlineStr"/>
      <c r="I228" t="inlineStr"/>
      <c r="J228" t="inlineStr">
        <is>
          <t>Gerenciamento de Problemas</t>
        </is>
      </c>
      <c r="K228" t="inlineStr">
        <is>
          <t>Gerenciamento de Fornecedor</t>
        </is>
      </c>
      <c r="L228" t="inlineStr"/>
      <c r="M228" t="inlineStr"/>
    </row>
    <row r="229">
      <c r="A229" t="inlineStr">
        <is>
          <t>1961</t>
        </is>
      </c>
      <c r="B229" t="inlineStr">
        <is>
          <t>Assistência Necessária para Upgrade do Teclado do Surface Pro 7</t>
        </is>
      </c>
      <c r="C229" t="inlineStr">
        <is>
          <t>Caro Time de Suporte da Loja Online de Tecnologia,
Estou entrando em contato para solicitar assistência na atualização do teclado destacável do meu Microsoft Surface Pro 7, que atualmente está rodando Windows 10. Recentemente, encontrei alguns problemas de compatibilidade e preciso de orientação para garantir um processo de atualização tranquilo.
Você poderia, por favor, fornecer instruções passo a passo ou dicas de solução de problemas para resolver possíveis obstáculos? Além disso, me avise se houver drivers ou atualizações específicos necessários para funcionalidade ideal. Seu suporte rápido para resolver este assunto seria muito apreciado.
Obrigado pela sua atenção a este pedido.
Atenciosamente,
&lt;name&gt;</t>
        </is>
      </c>
      <c r="D229" t="inlineStr">
        <is>
          <t>Solicitação de Serviço</t>
        </is>
      </c>
      <c r="E229" t="inlineStr">
        <is>
          <t>Gerenciamento de Mudanças</t>
        </is>
      </c>
      <c r="F229" t="inlineStr"/>
      <c r="G229" t="inlineStr"/>
      <c r="H229" t="inlineStr"/>
      <c r="I229" t="inlineStr"/>
      <c r="J229" t="inlineStr">
        <is>
          <t>Habilitação de Mudança</t>
        </is>
      </c>
      <c r="K229" t="inlineStr">
        <is>
          <t>Gerenciamento de Configuração de Serviço</t>
        </is>
      </c>
      <c r="L229" t="inlineStr"/>
      <c r="M229" t="inlineStr"/>
    </row>
    <row r="230">
      <c r="A230" t="inlineStr">
        <is>
          <t>1969</t>
        </is>
      </c>
      <c r="B230" t="inlineStr">
        <is>
          <t>Inquérito sobre Discrepância de Faturamento na AWS</t>
        </is>
      </c>
      <c r="C230" t="inlineStr">
        <is>
          <t>Olá Suporte ao Cliente, estou escrevendo para perguntar sobre uma discrepância de faturamento na minha conta do AWS Management Service. Você poderia ajudar com uma análise de otimização de custos para minhas faturas recentes? Meu número da conta é &lt;acc_num&gt;. Por favor, entre em contato comigo pelo &lt;tel_num&gt;. Obrigado, &lt;name&gt;.</t>
        </is>
      </c>
      <c r="D230" t="inlineStr">
        <is>
          <t>Gerenciamento Financeiro</t>
        </is>
      </c>
      <c r="E230" t="inlineStr">
        <is>
          <t>Gerenciamento de Incidentes</t>
        </is>
      </c>
      <c r="F230" t="inlineStr"/>
      <c r="G230" t="inlineStr"/>
      <c r="H230" t="inlineStr"/>
      <c r="I230" t="inlineStr"/>
      <c r="J230" t="inlineStr">
        <is>
          <t>Gerenciamento Financeiro de Serviços</t>
        </is>
      </c>
      <c r="K230" t="inlineStr">
        <is>
          <t>Gerenciamento de Capacidade e Desempenho</t>
        </is>
      </c>
      <c r="L230" t="inlineStr"/>
      <c r="M230" t="inlineStr"/>
    </row>
    <row r="231">
      <c r="A231" t="inlineStr">
        <is>
          <t>1985</t>
        </is>
      </c>
      <c r="B231" t="inlineStr">
        <is>
          <t>Assistência Urgente Necessária para o Roteador Cisco ISR4331</t>
        </is>
      </c>
      <c r="C231" t="inlineStr">
        <is>
          <t>Caro Suporte ao Cliente de Serviços de TI,
Estou enfrentando problemas contínuos com meu Roteador Cisco ISR4331. Especificamente, o roteador desconecta constantemente da internet, afetando significativamente minhas tarefas de trabalho. Este assunto é urgente, e solicito que o roteador seja verificado ou substituído na primeira oportunidade possível.
Ter conectividade com a internet é crucial, e quaisquer novas interrupções podem impactar severamente minha produtividade. Confio na sua rápida atenção para resolver esta questão rapidamente.
Obrigado pelo seu suporte urgente na abordagem deste assunto.
Atenciosamente,
&lt;name&gt;</t>
        </is>
      </c>
      <c r="D231" t="inlineStr">
        <is>
          <t>Gerenciamento de Incidentes</t>
        </is>
      </c>
      <c r="E231" t="inlineStr">
        <is>
          <t>Gerenciamento de Ativos de TI</t>
        </is>
      </c>
      <c r="F231" t="inlineStr"/>
      <c r="G231" t="inlineStr"/>
      <c r="H231" t="inlineStr"/>
      <c r="I231" t="inlineStr"/>
      <c r="J231" t="inlineStr">
        <is>
          <t>Gerenciamento de Disponibilidade</t>
        </is>
      </c>
      <c r="K231" t="inlineStr">
        <is>
          <t>Gerenciamento de Problemas</t>
        </is>
      </c>
      <c r="L231" t="inlineStr"/>
      <c r="M231" t="inlineStr"/>
    </row>
    <row r="232">
      <c r="A232" t="inlineStr">
        <is>
          <t>2018</t>
        </is>
      </c>
      <c r="B232" t="inlineStr">
        <is>
          <t>Problema de Implantação na Nuvem AWS de Alta Prioridade</t>
        </is>
      </c>
      <c r="C232" t="inlineStr">
        <is>
          <t>Caro Time de Suporte de Serviços de TI,
Espero que esta mensagem o encontre bem. Estou escrevendo para relatar um problema de alta prioridade relacionado ao nosso Serviço de Gerenciamento AWS. Atualmente, estamos enfrentando problemas durante nosso processo de implantação na nuvem, que requer atenção imediata. A configuração da nossa infraestrutura parece estar causando atrasos e interrupções, afetando significativamente nossas operações e prazos de entrega.
Dada a natureza crítica deste problema, solicitamos gentilmente assistência rápida de sua equipe. Acreditamos que sua expertise será crucial para identificar a raiz do problema e implementar uma solução oportuna para agilizar nossa implantação. Assistência na avaliação da configuração atual e na realização das otimizações necessárias seria muito apreciada para restaurar a funcionalidade normal.
Por favor, deixe-nos saber quais informações ou acessos você pode precisar de nossa parte para facilitar uma resolução rápida. Você pode me contatar diretamente por e-mail ou pelo meu número de telefone, &lt;tel_num&gt;, para qualquer coordenação imediata. Garantir um serviço ininterrupto é fundamental para nossa operação, e seu apoio rápido é imperativo.
Agradecemos antecipadamente pela sua atenção a este assunto urgente.
Atenciosamente,
&lt;name&gt;
Cargo
Nome da Empresa</t>
        </is>
      </c>
      <c r="D232" t="inlineStr">
        <is>
          <t>Gerenciamento de Incidentes</t>
        </is>
      </c>
      <c r="E232" t="inlineStr">
        <is>
          <t>Gerenciamento de Mudanças</t>
        </is>
      </c>
      <c r="F232" t="inlineStr"/>
      <c r="G232" t="inlineStr"/>
      <c r="H232" t="inlineStr"/>
      <c r="I232" t="inlineStr"/>
      <c r="J232" t="inlineStr">
        <is>
          <t>Gerenciamento de Infraestrutura e Plataforma</t>
        </is>
      </c>
      <c r="K232" t="inlineStr">
        <is>
          <t>Habilitação de Mudança</t>
        </is>
      </c>
      <c r="L232" t="inlineStr"/>
      <c r="M232" t="inlineStr"/>
    </row>
    <row r="233">
      <c r="A233" t="inlineStr">
        <is>
          <t>2023</t>
        </is>
      </c>
      <c r="B233" t="inlineStr">
        <is>
          <t>Problema com a Impressão da HP DeskJet 3755</t>
        </is>
      </c>
      <c r="C233" t="inlineStr">
        <is>
          <t>Caro Suporte ao Cliente, estou escrevendo para trazer à sua atenção um problema recorrente com minha impressora HP DeskJet 3755 adquirida em sua loja. A função de impressão colorida falha intermitentemente, o que prejudica significativamente minhas tarefas diárias que exigem impressão colorida confiável. Às vezes, a impressora funciona como o esperado, mas frequentemente volta a imprimir em preto e branco, ou falha ao imprimir completamente quando um documento colorido é pretendido. Essas inconsistências são frustrantes e prejudiciais ao meu fluxo de trabalho. Tentei a resolução básica de problemas, incluindo verificações de cartuchos e atualizações de software, sem sucesso. Agradeceria se sua equipe técnica pudesse inspecionar este dispositivo para diagnosticar e resolver o problema. Por favor, informe o procedimento para prosseguir com esta inspeção. Meu ID de cliente é &lt;cust_id&gt; e a compra foi feita em &lt;purchase_date&gt;. Aguardando sua resposta rápida e uma solução viável. Obrigado pela sua atenção a este assunto. Atenciosamente, &lt;name&gt;</t>
        </is>
      </c>
      <c r="D233" t="inlineStr">
        <is>
          <t>Gerenciamento de Incidentes</t>
        </is>
      </c>
      <c r="E233" t="inlineStr">
        <is>
          <t>Gerenciamento de Problemas</t>
        </is>
      </c>
      <c r="F233" t="inlineStr"/>
      <c r="G233" t="inlineStr"/>
      <c r="H233" t="inlineStr"/>
      <c r="I233" t="inlineStr"/>
      <c r="J233" t="inlineStr">
        <is>
          <t>Gerenciamento de Problemas</t>
        </is>
      </c>
      <c r="K233" t="inlineStr">
        <is>
          <t>Gerenciamento de Fornecedor</t>
        </is>
      </c>
      <c r="L233" t="inlineStr"/>
      <c r="M233" t="inlineStr"/>
    </row>
    <row r="234">
      <c r="A234" t="inlineStr">
        <is>
          <t>2032</t>
        </is>
      </c>
      <c r="B234" t="inlineStr">
        <is>
          <t>Esclarecimento sobre a Taxa de Assinatura</t>
        </is>
      </c>
      <c r="C234" t="inlineStr">
        <is>
          <t>Prezado Suporte ao Cliente da Loja Online Tech,
Espero que esta mensagem o encontre bem. Estou entrando em contato hoje para obter mais clareza sobre os recentes extratos de cobrança relacionados à minha assinatura do Adobe Photoshop 2024. Ao revisar minha conta, notei algumas discrepâncias que me deixaram um pouco confuso. Parece que as taxas mudaram inesperadamente e não recebi nenhum aviso ou explicação prévia sobre essas alterações.
Meu número de conta de assinatura é &lt;acc_num&gt;, e geralmente realizo os pagamentos através do meu cartão com final &lt;card_num&gt;. Dada a mudança nos valores de cobrança, eu apreciaria se você pudesse fornecer uma explicação detalhada ou me direcionar para onde eu poderia encontrar documentação ou comunicação sobre essa mudança. É crucial para mim gerenciar meu planejamento financeiro de forma eficaz, e entender essas cobranças é uma parte vital disso.
Além disso, se houver promoções em andamento ou opções de assinatura alternativas que eu possa aproveitar, eu também gostaria de saber sobre elas.
Obrigado pela sua assistência. Aguardamos sua pronta clareza sobre este assunto. Sinta-se à vontade para entrar em contato comigo por e-mail ou pelo meu número de telefone &lt;tel_num&gt;.
Atenciosamente,
&lt;name&gt;</t>
        </is>
      </c>
      <c r="D234" t="inlineStr">
        <is>
          <t>Gerenciamento Financeiro</t>
        </is>
      </c>
      <c r="E234" t="inlineStr">
        <is>
          <t>Gerenciamento de Nível de Serviço</t>
        </is>
      </c>
      <c r="F234" t="inlineStr"/>
      <c r="G234" t="inlineStr"/>
      <c r="H234" t="inlineStr"/>
      <c r="I234" t="inlineStr"/>
      <c r="J234" t="inlineStr">
        <is>
          <t>Gerenciamento de Relacionamento</t>
        </is>
      </c>
      <c r="K234" t="inlineStr">
        <is>
          <t>Gerenciamento Financeiro de Serviços</t>
        </is>
      </c>
      <c r="L234" t="inlineStr"/>
      <c r="M234" t="inlineStr"/>
    </row>
    <row r="235">
      <c r="A235" t="inlineStr">
        <is>
          <t>2054</t>
        </is>
      </c>
      <c r="B235" t="inlineStr">
        <is>
          <t>Problemas de Conectividade Durante Chamadas de Vídeo no Zoom</t>
        </is>
      </c>
      <c r="C235" t="inlineStr">
        <is>
          <t>Olá Suporte ao Cliente,
Espero que esta mensagem o encontre bem. Estou enfrentando problemas de conectividade persistentes durante chamadas de videoconferência usando a versão do Zoom 5.11.0. Essas interrupções ocorrem em diferentes ambientes de rede. Solicito gentilmente sua ajuda para diagnosticar e resolver esse problema, pois ele impacta significativamente nossa comunicação e produtividade. Por favor, me avise se houver etapas de solução de problemas que eu deva seguir ou correções disponíveis.
Obrigado pela sua atenção rápida a este assunto.
Atenciosamente,
&lt;name&gt;
Informações de Contato:
Telefone: &lt;tel_num&gt;
Número da Conta do Cliente: &lt;acc_num&gt;</t>
        </is>
      </c>
      <c r="D235" t="inlineStr">
        <is>
          <t>Gerenciamento de Incidentes</t>
        </is>
      </c>
      <c r="E235" t="inlineStr">
        <is>
          <t>Gerenciamento de Problemas</t>
        </is>
      </c>
      <c r="F235" t="inlineStr"/>
      <c r="G235" t="inlineStr"/>
      <c r="H235" t="inlineStr"/>
      <c r="I235" t="inlineStr"/>
      <c r="J235" t="inlineStr">
        <is>
          <t>Gerenciamento de Infraestrutura e Plataforma</t>
        </is>
      </c>
      <c r="K235" t="inlineStr">
        <is>
          <t>Gerenciamento de Problemas</t>
        </is>
      </c>
      <c r="L235" t="inlineStr"/>
      <c r="M235" t="inlineStr"/>
    </row>
    <row r="236">
      <c r="A236" t="inlineStr">
        <is>
          <t>2061</t>
        </is>
      </c>
      <c r="B236" t="inlineStr">
        <is>
          <t>Solicitação de Atualização do Zoom</t>
        </is>
      </c>
      <c r="C236" t="inlineStr">
        <is>
          <t>Caro Suporte ao Cliente,
Espero que este e-mail o encontre bem. Meu nome é &lt;name&gt; e estou entrando em contato a respeito de um pedido de atualização para o aplicativo Zoom que atualmente temos integrado em nossa infraestrutura de TI. Estamos usando a versão 5.11.0 do Zoom e, para garantir segurança aprimorada juntamente com a integração de novos recursos, estamos interessados em atualizar para a versão mais recente disponível.
Dada a situação atual e o aumento no uso de tais plataformas, tornou-se primordial manter os mais altos padrões de segurança. Nossos usuários dependem fortemente do Zoom para operações diárias e reuniões, e garantir que utilizemos a versão mais segura e eficiente é crucial para nossa continuidade. As atualizações recentes do Zoom relataram ter abordado várias questões de segurança e introduzido melhorias que acreditamos beneficiarão significativamente nossas operações.
Você poderia nos guiar pelo processo de atualização e nos informar a melhor forma de proceder? Se houver requisitos ou pré-requisitos específicos necessários para a atualização, por favor, detalhe-os também. Além disso, apreciaríamos se o tempo de inatividade potencial, se houver, durante esta atualização também puder ser estimado, permitindo-nos agendar e nos preparar adequadamente.
Sinta-se à vontade para entrar em contato comigo diretamente pelo &lt;email_address&gt; ou pelo telefone &lt;tel_num&gt; se precisar de informações adicionais ou tiver alguma dúvida.
Obrigado pela sua pronta atenção a esta solicitação. Estamos ansiosos por um processo de atualização sem problemas com seu apoio.
Atenciosamente,
&lt;name&gt;
&lt;position&gt;
&lt;company_name&gt;</t>
        </is>
      </c>
      <c r="D236" t="inlineStr">
        <is>
          <t>Solicitação de Serviço</t>
        </is>
      </c>
      <c r="E236" t="inlineStr">
        <is>
          <t>Gerenciamento de Segurança</t>
        </is>
      </c>
      <c r="F236" t="inlineStr"/>
      <c r="G236" t="inlineStr"/>
      <c r="H236" t="inlineStr"/>
      <c r="I236" t="inlineStr"/>
      <c r="J236" t="inlineStr">
        <is>
          <t>Habilitação de Mudança</t>
        </is>
      </c>
      <c r="K236" t="inlineStr">
        <is>
          <t>Gerenciamento de Segurança da Informação</t>
        </is>
      </c>
      <c r="L236" t="inlineStr"/>
      <c r="M236" t="inlineStr"/>
    </row>
    <row r="237">
      <c r="A237" t="inlineStr">
        <is>
          <t>2080</t>
        </is>
      </c>
      <c r="B237" t="inlineStr">
        <is>
          <t>Pedido de Troca: Dell XPS 13 9310</t>
        </is>
      </c>
      <c r="C237" t="inlineStr">
        <is>
          <t>Caro Suporte ao Cliente,
Estou escrevendo para solicitar uma troca para meu Dell XPS 13 9310. A unidade que recebi apresenta problemas de desempenho persistentes que afetam meu trabalho. Por favor, me orientem sobre como proceder com o processo de troca. Os detalhes da minha compra estão sob o número da conta &lt;acc_num&gt;.
Obrigado,
&lt;name&gt;</t>
        </is>
      </c>
      <c r="D237" t="inlineStr">
        <is>
          <t>Solicitação de Serviço</t>
        </is>
      </c>
      <c r="E237" t="inlineStr">
        <is>
          <t>Gerenciamento de Ativos de TI</t>
        </is>
      </c>
      <c r="F237" t="inlineStr"/>
      <c r="G237" t="inlineStr"/>
      <c r="H237" t="inlineStr"/>
      <c r="I237" t="inlineStr"/>
      <c r="J237" t="inlineStr">
        <is>
          <t>Validação e Teste de Serviço</t>
        </is>
      </c>
      <c r="K237" t="inlineStr">
        <is>
          <t>Gerenciamento de Fornecedor</t>
        </is>
      </c>
      <c r="L237" t="inlineStr"/>
      <c r="M237" t="inlineStr"/>
    </row>
    <row r="238">
      <c r="A238" t="inlineStr">
        <is>
          <t>2115</t>
        </is>
      </c>
      <c r="B238" t="inlineStr">
        <is>
          <t>Problema com notificações do Jira</t>
        </is>
      </c>
      <c r="C238" t="inlineStr">
        <is>
          <t>Caro Suporte ao Cliente,
Estou escrevendo para trazer à sua atenção um problema que estamos enfrentando com nosso Jira Software 8.20. Apesar de termos as configurações corretas, o sistema não está enviando notificações automáticas para atualizações de tickets. Este problema está afetando a eficiência da nossa equipe, pois estamos perdendo atualizações importantes. Ajustar configurações ou permissões não resolveu o problema. Agradecemos sua assistência para resolver esse assunto com urgência. Por favor, entre em contato comigo pelo &lt;tel_num&gt; ou por e-mail em &lt;email&gt; para mais informações.
Obrigado,
&lt;name&gt;</t>
        </is>
      </c>
      <c r="D238" t="inlineStr">
        <is>
          <t>Gerenciamento de Incidentes</t>
        </is>
      </c>
      <c r="E238" t="inlineStr">
        <is>
          <t>Gerenciamento de Problemas</t>
        </is>
      </c>
      <c r="F238" t="inlineStr"/>
      <c r="G238" t="inlineStr"/>
      <c r="H238" t="inlineStr"/>
      <c r="I238" t="inlineStr"/>
      <c r="J238" t="inlineStr">
        <is>
          <t>Gerenciamento de Configuração de Serviço</t>
        </is>
      </c>
      <c r="K238" t="inlineStr">
        <is>
          <t>Gerenciamento de Problemas</t>
        </is>
      </c>
      <c r="L238" t="inlineStr"/>
      <c r="M238" t="inlineStr"/>
    </row>
    <row r="239">
      <c r="A239" t="inlineStr">
        <is>
          <t>2125</t>
        </is>
      </c>
      <c r="B239" t="inlineStr">
        <is>
          <t>Precisamos de Assistência para Resposta Lenta a Consultas no MySQL 8.0.30</t>
        </is>
      </c>
      <c r="C239" t="inlineStr">
        <is>
          <t>Caro Suporte ao Cliente dos Serviços de TI,
Estou escrevendo para solicitar assistência em relação aos problemas de desempenho que estamos enfrentando com nosso banco de dados MySQL 8.0.30. Notamos que as respostas às consultas se tornaram significativamente lentas, o que está impactando nossa produtividade geral e o desempenho do aplicativo. Acreditamos que pode haver uma necessidade de otimização de desempenho para resolver esses problemas.
Já tentamos otimizar índices e executar diagnósticos, mas, infelizmente, o problema persiste. Suspeitamos que isso possa estar relacionado a configurações específicas da versão do MySQL ou gargalos de recursos.
Você poderia nos aconselhar sobre otimizações potenciais que devemos considerar ou nos ajudar a solucionar esses problemas de forma mais eficaz? Qualquer orientação ou recomendação especializada de sua equipe seria muito apreciada. Nosso número de conta é &lt;acc_num&gt;, e estamos disponíveis para mais discussões na sua conveniência.
Obrigado pela sua atenção a este assunto.
Atenciosamente,
&lt;name&gt;
Equipe de Suporte da &lt;company&gt;
Contato: &lt;tel_num&gt;</t>
        </is>
      </c>
      <c r="D239" t="inlineStr">
        <is>
          <t>Gerenciamento de Incidentes</t>
        </is>
      </c>
      <c r="E239" t="inlineStr">
        <is>
          <t>Gerenciamento de Capacidade</t>
        </is>
      </c>
      <c r="F239" t="inlineStr"/>
      <c r="G239" t="inlineStr"/>
      <c r="H239" t="inlineStr"/>
      <c r="I239" t="inlineStr"/>
      <c r="J239" t="inlineStr">
        <is>
          <t>Gerenciamento de Capacidade e Desempenho</t>
        </is>
      </c>
      <c r="K239" t="inlineStr">
        <is>
          <t>Gerenciamento de Problemas</t>
        </is>
      </c>
      <c r="L239" t="inlineStr"/>
      <c r="M239" t="inlineStr"/>
    </row>
    <row r="240">
      <c r="A240" t="inlineStr">
        <is>
          <t>2143</t>
        </is>
      </c>
      <c r="B240" t="inlineStr">
        <is>
          <t>Urgente: Problema de Downtime da AWS</t>
        </is>
      </c>
      <c r="C240" t="inlineStr">
        <is>
          <t>Caro Suporte ao Cliente de Serviços de TI,
Meu nome é &lt;name&gt;, e estou entrando em contato para relatar um problema urgente com nosso Serviço de Gerenciamento da AWS, número da conta &lt;acc_num&gt;. Estamos enfrentando um downtime significativo, o que está afetando criticamente nossas operações. Como dependemos fortemente dos serviços da AWS para nossa infraestrutura em nuvem, essa interrupção impactou severamente nossa continuidade de negócios.
Nossa equipe notou o downtime afetando múltiplos componentes dentro do nosso ecossistema desde &lt;start_time&gt;. Inicialmente, acreditávamos que isso era um pequeno erro; no entanto, apesar de nossas tentativas de corrigir o problema, o downtime persiste. Esforços como reiniciar serviços e consultar a documentação inicial de suporte não resultaram em nada.
Estamos buscando assistência imediata de sua equipe especializada em infraestrutura de nuvem para investigar e resolver esse problema. A questão é sensível ao tempo, e uma intervenção rápida é imperativa para restaurar nossas operações. Agradeceríamos se sua equipe pudesse priorizar a investigação e nos manter atualizados sobre o progresso e as descobertas. Além disso, você poderia garantir que recursos adicionais sejam alocados para acelerar o processo de resolução?
Sinta-se à vontade para me contatar em &lt;email&gt; ou por telefone em &lt;tel_num&gt;. Estamos aguardando sua rápida resposta a esta situação urgente. Obrigado por sua atenção imediata a este assunto crítico.
Atenciosamente,
&lt;name&gt;</t>
        </is>
      </c>
      <c r="D240" t="inlineStr">
        <is>
          <t>Gerenciamento de Incidentes</t>
        </is>
      </c>
      <c r="E240" t="inlineStr">
        <is>
          <t>Gerenciamento de Disponibilidade</t>
        </is>
      </c>
      <c r="F240" t="inlineStr"/>
      <c r="G240" t="inlineStr"/>
      <c r="H240" t="inlineStr"/>
      <c r="I240" t="inlineStr"/>
      <c r="J240" t="inlineStr">
        <is>
          <t>Gerenciamento de Continuidade de Serviço</t>
        </is>
      </c>
      <c r="K240" t="inlineStr">
        <is>
          <t>Gerenciamento de Disponibilidade</t>
        </is>
      </c>
      <c r="L240" t="inlineStr"/>
      <c r="M240" t="inlineStr"/>
    </row>
    <row r="241">
      <c r="A241" t="inlineStr">
        <is>
          <t>2149</t>
        </is>
      </c>
      <c r="B241" t="inlineStr">
        <is>
          <t>Problema de Cobrança Duplicada na Compra</t>
        </is>
      </c>
      <c r="C241" t="inlineStr">
        <is>
          <t>Caro Time de Suporte da Tech Online Store,
Espero que esta mensagem o encontre bem. Estou escrevendo para chamar a sua atenção para um problema relacionado à minha compra recente do Google Workspace Business Standard em sua loja. Ao revisar meus extratos bancários, percebi que minha conta foi debitada duas vezes por esta única compra. Essa cobrança duplicada causou inconvenientes e estou bastante preocupado com esse erro.
Para resolver isso, solicito gentilmente que você inicie um reembolso pela cobrança duplicada feita na minha conta &lt;acc_num&gt;. Além disso, eu apreciaria algumas esclarecimentos sobre como tal erro ocorreu em primeiro lugar, para garantir que não aconteça em futuras transações.
Por favor, encontre os detalhes necessários da transação anexados para sua referência. Eu apreciaria uma resolução rápida para este assunto. Você pode me contatar pelo &lt;tel_num&gt; se informações adicionais forem necessárias.
Obrigado pela sua atenção a este assunto urgente. Aguardo sua resposta e uma resolução satisfatória.
Atenciosamente,
&lt;name&gt;</t>
        </is>
      </c>
      <c r="D241" t="inlineStr">
        <is>
          <t>Gerenciamento Financeiro</t>
        </is>
      </c>
      <c r="E241" t="inlineStr">
        <is>
          <t>Gerenciamento de Incidentes</t>
        </is>
      </c>
      <c r="F241" t="inlineStr"/>
      <c r="G241" t="inlineStr"/>
      <c r="H241" t="inlineStr"/>
      <c r="I241" t="inlineStr"/>
      <c r="J241" t="inlineStr">
        <is>
          <t>Gerenciamento Financeiro de Serviços</t>
        </is>
      </c>
      <c r="K241" t="inlineStr">
        <is>
          <t>Validação e Teste de Serviço</t>
        </is>
      </c>
      <c r="L241" t="inlineStr"/>
      <c r="M241" t="inlineStr"/>
    </row>
    <row r="242">
      <c r="A242" t="inlineStr">
        <is>
          <t>2175</t>
        </is>
      </c>
      <c r="B242" t="inlineStr">
        <is>
          <t>Solicitação de Serviço de Consultoria em TI</t>
        </is>
      </c>
      <c r="C242" t="inlineStr">
        <is>
          <t>Prezado Suporte a Serviços de TI,
Espero que esta mensagem o encontre bem. Meu nome é &lt;name&gt;, e estou entrando em contato em nome da minha organização. Estamos interessados em utilizar o seu Serviço de Consultoria em TI para aprimorar nossos processos de RH utilizando soluções inovadoras baseadas em tecnologia.
Recentemente, reconhecemos o potencial de modernizar nosso departamento de RH para melhorar a eficiência e a satisfação dos colaboradores. Com sua reconhecida experiência e histórico em Consultoria em TI, acreditamos que sua equipe está mais bem qualificada para nos ajudar a alcançar nossos objetivos.
Estamos particularmente interessados em soluções que possam automatizar tarefas rotineiras, fornecer insights baseados em dados e, em última análise, simplificar os processos de recrutamento e gestão de colaboradores. Estamos ansiosos por uma sessão de consultoria detalhada para discutir nossos requisitos específicos e como seus serviços poderiam potencialmente atendê-los.
Você poderia, por favor, fornecer os horários disponíveis para consulta nas próximas semanas? Seria útil se você também pudesse nos enviar alguns estudos de caso ou referências de projetos similares que você tenha executado com sucesso no passado.
Agradeço antecipadamente pela sua assistência. Sinta-se à vontade para entrar em contato comigo pelo &lt;tel_num&gt;.
Atenciosamente,
&lt;name&gt;
&lt;position&gt;
&lt;company&gt;</t>
        </is>
      </c>
      <c r="D242" t="inlineStr">
        <is>
          <t>Solicitação de Serviço</t>
        </is>
      </c>
      <c r="E242" t="inlineStr">
        <is>
          <t>Gerenciamento de Nível de Serviço</t>
        </is>
      </c>
      <c r="F242" t="inlineStr"/>
      <c r="G242" t="inlineStr"/>
      <c r="H242" t="inlineStr"/>
      <c r="I242" t="inlineStr"/>
      <c r="J242" t="inlineStr">
        <is>
          <t>Gerenciamento de Requisição de Serviço</t>
        </is>
      </c>
      <c r="K242" t="inlineStr">
        <is>
          <t>Gerenciamento de Relacionamento</t>
        </is>
      </c>
      <c r="L242" t="inlineStr"/>
      <c r="M242" t="inlineStr"/>
    </row>
    <row r="243">
      <c r="A243" t="inlineStr">
        <is>
          <t>2184</t>
        </is>
      </c>
      <c r="B243" t="inlineStr">
        <is>
          <t>Solicitação de Atualização da Integração de Faturamento e Otimização do Fluxo de Trabalho</t>
        </is>
      </c>
      <c r="C243" t="inlineStr">
        <is>
          <t>Caro time de Suporte de Serviços de TI,
Estou entrando em contato a respeito da minha recente solicitação para atualizar a integração de faturamento dentro da administração do servidor e otimizar o fluxo de trabalho das nossas soluções de TI. Atualmente estamos utilizando seu Serviço de Consultoria de TI.
Obrigado.
Atenciosamente,
&lt;name&gt;
Número da Conta: &lt;acc_num&gt;</t>
        </is>
      </c>
      <c r="D243" t="inlineStr">
        <is>
          <t>Solicitação de Serviço</t>
        </is>
      </c>
      <c r="E243" t="inlineStr">
        <is>
          <t>Gerenciamento Financeiro</t>
        </is>
      </c>
      <c r="F243" t="inlineStr"/>
      <c r="G243" t="inlineStr"/>
      <c r="H243" t="inlineStr"/>
      <c r="I243" t="inlineStr"/>
      <c r="J243" t="inlineStr">
        <is>
          <t>Gerenciamento de Requisição de Serviço</t>
        </is>
      </c>
      <c r="K243" t="inlineStr">
        <is>
          <t>Habilitação de Mudança</t>
        </is>
      </c>
      <c r="L243" t="inlineStr"/>
      <c r="M243" t="inlineStr"/>
    </row>
    <row r="244">
      <c r="A244" t="inlineStr">
        <is>
          <t>2189</t>
        </is>
      </c>
      <c r="B244" t="inlineStr">
        <is>
          <t>Falhas de Implantação e Solicitação de Otimização de Custos</t>
        </is>
      </c>
      <c r="C244" t="inlineStr">
        <is>
          <t>Caro Suporte ao Cliente,
Nosso cliente &lt;name&gt; está enfrentando falhas de implantação com seu Serviço de Gerenciamento AWS. Eles também gostariam de explorar opções para otimização de custos de sua configuração e infraestrutura AWS existentes. O número da conta do cliente é &lt;acc_num&gt;. Por favor, ajude com este assunto o mais rápido possível. Você pode me contatar pelo &lt;tel_num&gt;
Obrigado.
Atenciosamente,
&lt;name&gt;</t>
        </is>
      </c>
      <c r="D244" t="inlineStr">
        <is>
          <t>Gerenciamento de Incidentes</t>
        </is>
      </c>
      <c r="E244" t="inlineStr">
        <is>
          <t>Gerenciamento Financeiro</t>
        </is>
      </c>
      <c r="F244" t="inlineStr"/>
      <c r="G244" t="inlineStr"/>
      <c r="H244" t="inlineStr"/>
      <c r="I244" t="inlineStr"/>
      <c r="J244" t="inlineStr">
        <is>
          <t>Gerenciamento de Incidentes</t>
        </is>
      </c>
      <c r="K244" t="inlineStr">
        <is>
          <t>Gerenciamento Financeiro de Serviços</t>
        </is>
      </c>
      <c r="L244" t="inlineStr"/>
      <c r="M244" t="inlineStr"/>
    </row>
    <row r="245">
      <c r="A245" t="inlineStr">
        <is>
          <t>2195</t>
        </is>
      </c>
      <c r="B245" t="inlineStr">
        <is>
          <t>Solicitação de Orientação: Otimização de Configurações de Servidor</t>
        </is>
      </c>
      <c r="C245" t="inlineStr">
        <is>
          <t>Caro Time de Suporte ao Cliente,
Estou escrevendo para pedir assistência em relação à nossa recente necessidade de orientação sobre a otimização de configurações de servidor. Nosso objetivo é aprimorar o desempenho e otimizar operações da forma mais eficaz e rápida possível. Como parte do Serviço de Consultoria de TI que estamos utilizando, isso se tornou uma prioridade. A gestão eficiente do servidor é crítica, e apreciaríamos qualquer percepção ou estratégia que você pudesse fornecer adaptada à nossa configuração atual.
Por favor, nos informe a melhor forma de proceder, se envolve agendar uma consulta ou acessar recursos específicos. Sua experiência nesta área é altamente valorizada pela nossa equipe.
Obrigado pela sua atenção a este assunto.
Atenciosamente,
&lt;name&gt;
&lt;tel_num&gt;
&lt;acc_num&gt;
&lt;name&gt;@companyemail.com</t>
        </is>
      </c>
      <c r="D245" t="inlineStr">
        <is>
          <t>Solicitação de Serviço</t>
        </is>
      </c>
      <c r="E245" t="inlineStr">
        <is>
          <t>Gerenciamento de Capacidade</t>
        </is>
      </c>
      <c r="F245" t="inlineStr"/>
      <c r="G245" t="inlineStr"/>
      <c r="H245" t="inlineStr"/>
      <c r="I245" t="inlineStr"/>
      <c r="J245" t="inlineStr">
        <is>
          <t>Gerenciamento de Requisição de Serviço</t>
        </is>
      </c>
      <c r="K245" t="inlineStr">
        <is>
          <t>Gerenciamento de Capacidade e Desempenho</t>
        </is>
      </c>
      <c r="L245" t="inlineStr"/>
      <c r="M245" t="inlineStr"/>
    </row>
    <row r="246">
      <c r="A246" t="inlineStr">
        <is>
          <t>2204</t>
        </is>
      </c>
      <c r="B246" t="inlineStr">
        <is>
          <t>Assistência Necessária para Soluções de TI</t>
        </is>
      </c>
      <c r="C246" t="inlineStr">
        <is>
          <t>Caro Suporte ao Cliente,  
Estou entrando em contato para solicitar orientação sobre como melhorar nossa administração de servidores atual e fluxo de trabalho de desenvolvimento de software. Dada a nossa necessidade de otimização, acreditamos que o seu Serviço de Consultoria de TI poderia oferecer soluções valiosas adaptadas à nossa situação. Nosso objetivo é melhorar a eficiência e a produtividade, e, portanto, precisamos de conselhos e estratégias específicas para a implementação. Por favor, forneça mais informações sobre como podemos iniciar este processo de consultoria e os requisitos necessários. Detalhes da nossa empresa foram compartilhados com sua equipe anteriormente. Agradecemos sua resposta rápida.  
Obrigado,  
&lt;name&gt;
&lt;acc_num&gt;</t>
        </is>
      </c>
      <c r="D246" t="inlineStr">
        <is>
          <t>Solicitação de Serviço</t>
        </is>
      </c>
      <c r="E246" t="inlineStr">
        <is>
          <t>Gerenciamento de Nível de Serviço</t>
        </is>
      </c>
      <c r="F246" t="inlineStr"/>
      <c r="G246" t="inlineStr"/>
      <c r="H246" t="inlineStr"/>
      <c r="I246" t="inlineStr"/>
      <c r="J246" t="inlineStr">
        <is>
          <t>Gerenciamento de Requisição de Serviço</t>
        </is>
      </c>
      <c r="K246" t="inlineStr">
        <is>
          <t>Desenvolvimento e Gerenciamento de Software</t>
        </is>
      </c>
      <c r="L246" t="inlineStr"/>
      <c r="M246" t="inlineStr"/>
    </row>
    <row r="247">
      <c r="A247" t="inlineStr">
        <is>
          <t>2207</t>
        </is>
      </c>
      <c r="B247" t="inlineStr">
        <is>
          <t>Problema de Cobrança: Renovação da Assinatura do Adobe Photoshop</t>
        </is>
      </c>
      <c r="C247" t="inlineStr">
        <is>
          <t>Caro Equipe de Suporte ao Cliente,
Espero que esta mensagem os encontre bem. Estou escrevendo para expressar minha preocupação em relação a um problema de cobrança com a renovação da minha assinatura do Adobe Photoshop 2024. Apesar de várias tentativas, parece que o pagamento não foi processado corretamente. Como resultado, não consigo acessar os recursos associados à renovação, o que está afetando meu fluxo de trabalho.
Meu número da conta é &lt;acc_num&gt;. Verifiquei que meus dados de pagamento estão atualizados e que há fundos suficientes disponíveis. No entanto, o problema persiste. Por favor, ajudem a resolver esta questão assim que possível.
Além disso, eu apreciaria orientações sobre quaisquer etapas alternativas que eu pudesse tomar para garantir o processamento suave de pagamentos futuros.
Obrigado pela sua atenção a este problema. Você pode me contatar em &lt;tel_num&gt; se mais informações forem necessárias.
Atenciosamente,
&lt;name&gt;</t>
        </is>
      </c>
      <c r="D247" t="inlineStr">
        <is>
          <t>Gerenciamento Financeiro</t>
        </is>
      </c>
      <c r="E247" t="inlineStr">
        <is>
          <t>Gerenciamento de Incidentes</t>
        </is>
      </c>
      <c r="F247" t="inlineStr"/>
      <c r="G247" t="inlineStr"/>
      <c r="H247" t="inlineStr"/>
      <c r="I247" t="inlineStr"/>
      <c r="J247" t="inlineStr">
        <is>
          <t>Gerenciamento Financeiro de Serviços</t>
        </is>
      </c>
      <c r="K247" t="inlineStr">
        <is>
          <t>Gerenciamento de Incidentes</t>
        </is>
      </c>
      <c r="L247" t="inlineStr"/>
      <c r="M247" t="inlineStr"/>
    </row>
    <row r="248">
      <c r="A248" t="inlineStr">
        <is>
          <t>2209</t>
        </is>
      </c>
      <c r="B248" t="inlineStr">
        <is>
          <t>Urgente: Impacto crítico na conectividade da rede corporativa</t>
        </is>
      </c>
      <c r="C248" t="inlineStr">
        <is>
          <t>Caro time de suporte ao cliente, Estamos enfrentando uma queda completa que afeta nossa rede corporativa envolvendo o Router Cisco ISR4331. Esta interrupção está impactando criticamente nossa conectividade WAN segura em todos os domínios, exigindo urgentemente sua intervenção imediata. Devido a esse problema, nossa empresa interrompeu várias operações essenciais, afetando significativamente nossos serviços e compromissos com os clientes. Como nossa equipe técnica não conseguiu resolver o problema internamente, precisamos do seu suporte especializado para diagnosticar e corrigir essa questão rapidamente. Por favor, considere isso como uma alta prioridade e nos forneça a assistência técnica necessária para restaurar a funcionalidade da nossa rede. Agradecemos pela sua atenção rápida. Atenciosamente, &lt;name&gt;, Gerente de TI da &lt;company&gt;</t>
        </is>
      </c>
      <c r="D248" t="inlineStr">
        <is>
          <t>Gerenciamento de Incidentes</t>
        </is>
      </c>
      <c r="E248" t="inlineStr">
        <is>
          <t>Gerenciamento de Disponibilidade</t>
        </is>
      </c>
      <c r="F248" t="inlineStr"/>
      <c r="G248" t="inlineStr"/>
      <c r="H248" t="inlineStr"/>
      <c r="I248" t="inlineStr"/>
      <c r="J248" t="inlineStr">
        <is>
          <t>Gerenciamento de Incidentes</t>
        </is>
      </c>
      <c r="K248" t="inlineStr">
        <is>
          <t>Gerenciamento de Disponibilidade</t>
        </is>
      </c>
      <c r="L248" t="inlineStr"/>
      <c r="M248" t="inlineStr"/>
    </row>
    <row r="249">
      <c r="A249" t="inlineStr">
        <is>
          <t>2213</t>
        </is>
      </c>
      <c r="B249" t="inlineStr">
        <is>
          <t>Assistência com Erro de Faturamento</t>
        </is>
      </c>
      <c r="C249" t="inlineStr">
        <is>
          <t>Olá, notei um erro de faturamento relacionado à minha compra recente da impressora HP DeskJet 3755. Meu número de conta é &lt;acc_num&gt;. Você poderia, por favor, me ajudar a resolver este problema?</t>
        </is>
      </c>
      <c r="D249" t="inlineStr">
        <is>
          <t>Gerenciamento Financeiro</t>
        </is>
      </c>
      <c r="E249" t="inlineStr">
        <is>
          <t>Gerenciamento de Incidentes</t>
        </is>
      </c>
      <c r="F249" t="inlineStr"/>
      <c r="G249" t="inlineStr"/>
      <c r="H249" t="inlineStr"/>
      <c r="I249" t="inlineStr"/>
      <c r="J249" t="inlineStr">
        <is>
          <t>Gerenciamento Financeiro de Serviços</t>
        </is>
      </c>
      <c r="K249" t="inlineStr">
        <is>
          <t>Gerenciamento de Requisição de Serviço</t>
        </is>
      </c>
      <c r="L249" t="inlineStr"/>
      <c r="M249" t="inlineStr"/>
    </row>
    <row r="250">
      <c r="A250" t="inlineStr">
        <is>
          <t>2228</t>
        </is>
      </c>
      <c r="B250" t="inlineStr">
        <is>
          <t>Solicitação de Suporte Urgente: Problema com Dell XPS 13 9310</t>
        </is>
      </c>
      <c r="C250" t="inlineStr">
        <is>
          <t>Caro Time de Suporte ao Cliente,
Estou escrevendo para trazer à sua atenção um problema recorrente que venho enfrentando com meu Dell XPS 13 9310. Após a última atualização do Windows, meu dispositivo começou a mostrar um erro de tela azul persistente, afetando significativamente seu desempenho e usabilidade.
Esse problema começou imediatamente após a instalação da nova atualização, com a tela azul aparecendo quase toda vez que inicio ou reinicio o computador. Além disso, o desempenho geral do dispositivo declinou notavelmente, com tarefas que deveriam ser simples levando agora consideravelmente mais tempo e aplicativos frequentemente travando.
Eu dependo muito deste laptop para trabalho e tarefas pessoais, tornando este problema particularmente urgente. Tentei algumas etapas básicas de solução de problemas, como reiniciar em modo seguro e procurar por novas atualizações do sistema, mas o problema persiste.
Por favor, aconselhe sobre possíveis soluções ou se este é um problema conhecido com uma correção atual em andamento. Entendendo o quão crítico este dispositivo é para minha rotina diária, eu apreciaria uma resposta rápida.
Obrigado pela sua atenção a este assunto.
Atenciosamente,
&lt;name&gt;
&lt;email_address&gt;
&lt;tel_num&gt;
&lt;acc_num&gt;</t>
        </is>
      </c>
      <c r="D250" t="inlineStr">
        <is>
          <t>Gerenciamento de Incidentes</t>
        </is>
      </c>
      <c r="E250" t="inlineStr">
        <is>
          <t>Gerenciamento de Problemas</t>
        </is>
      </c>
      <c r="F250" t="inlineStr"/>
      <c r="G250" t="inlineStr"/>
      <c r="H250" t="inlineStr"/>
      <c r="I250" t="inlineStr"/>
      <c r="J250" t="inlineStr">
        <is>
          <t>Gerenciamento de Incidentes</t>
        </is>
      </c>
      <c r="K250" t="inlineStr">
        <is>
          <t>Habilitação de Mudança</t>
        </is>
      </c>
      <c r="L250" t="inlineStr"/>
      <c r="M250" t="inlineStr"/>
    </row>
    <row r="251">
      <c r="A251" t="inlineStr">
        <is>
          <t>2235</t>
        </is>
      </c>
      <c r="B251" t="inlineStr">
        <is>
          <t>Solicitação de Upgrade para Office 365 Business</t>
        </is>
      </c>
      <c r="C251" t="inlineStr">
        <is>
          <t>Caro Time de Suporte ao Cliente,
Espero que esta mensagem o encontre bem. Meu nome é &lt;name&gt;, e estou escrevendo para solicitar um upgrade para o Microsoft Office 365 Business Premium. Atualmente, estou inscrito no Microsoft Office 365, e gostaria de entender as opções de faturamento e as mudanças potenciais de custo que ocorrerão após o upgrade.
Você poderia fornecer informações detalhadas sobre os diferentes planos de faturamento disponíveis para o Office 365 Business Premium? Além disso, existem promoções ou descontos especiais disponíveis no momento? Entender a discriminação de encargos me ajudará a tomar uma decisão informada.
Além disso, se houver alguma mudança nas características ou serviços incluídos no plano Business Premium em comparação com minha assinatura atual, eu apreciaria suas informações sobre esse assunto também.
Aguardo sua resposta rápida. Sinta-se à vontade para me contatar pelo telefone &lt;tel_num&gt; caso precise de mais detalhes ou esclarecimentos da minha parte.
Obrigado pela sua assistência.
Atenciosamente,
&lt;name&gt;</t>
        </is>
      </c>
      <c r="D251" t="inlineStr">
        <is>
          <t>Solicitação de Serviço</t>
        </is>
      </c>
      <c r="E251" t="inlineStr">
        <is>
          <t>Gerenciamento Financeiro</t>
        </is>
      </c>
      <c r="F251" t="inlineStr"/>
      <c r="G251" t="inlineStr"/>
      <c r="H251" t="inlineStr"/>
      <c r="I251" t="inlineStr"/>
      <c r="J251" t="inlineStr">
        <is>
          <t>Gerenciamento de Requisição de Serviço</t>
        </is>
      </c>
      <c r="K251" t="inlineStr">
        <is>
          <t>Gerenciamento Financeiro de Serviços</t>
        </is>
      </c>
      <c r="L251" t="inlineStr"/>
      <c r="M251" t="inlineStr"/>
    </row>
    <row r="252">
      <c r="A252" t="inlineStr">
        <is>
          <t>2291</t>
        </is>
      </c>
      <c r="B252" t="inlineStr">
        <is>
          <t>Solicitação Urgente de Solução de Problemas para o Roteador Cisco ISR4331</t>
        </is>
      </c>
      <c r="C252" t="inlineStr">
        <is>
          <t>Caro Suporte ao Cliente,
Estou escrevendo para relatar um problema de conectividade de rede que afeta nosso Roteador Cisco ISR4331. Este problema é crítico e requer solução de problemas urgente para restaurar a conectividade em nível empresarial. A questão interrompeu nossas operações diárias e estamos ansiosos para resolver isso o mais rápido possível. Por favor, oriente quais são os próximos passos para diagnosticar e corrigir o problema ou se a assistência remota está disponível.
Obrigado pela sua atenção imediata a este assunto.
Atenciosamente,
&lt;name&gt;</t>
        </is>
      </c>
      <c r="D252" t="inlineStr">
        <is>
          <t>Gerenciamento de Incidentes</t>
        </is>
      </c>
      <c r="E252" t="inlineStr">
        <is>
          <t>Gerenciamento de Disponibilidade</t>
        </is>
      </c>
      <c r="F252" t="inlineStr"/>
      <c r="G252" t="inlineStr"/>
      <c r="H252" t="inlineStr"/>
      <c r="I252" t="inlineStr"/>
      <c r="J252" t="inlineStr">
        <is>
          <t>Gerenciamento de Incidentes</t>
        </is>
      </c>
      <c r="K252" t="inlineStr">
        <is>
          <t>Gerenciamento de Problemas</t>
        </is>
      </c>
      <c r="L252" t="inlineStr"/>
      <c r="M252" t="inlineStr"/>
    </row>
    <row r="253">
      <c r="A253" t="inlineStr">
        <is>
          <t>2293</t>
        </is>
      </c>
      <c r="B253" t="inlineStr">
        <is>
          <t>Consultoria de TI urgente necessária para problemas de servidor</t>
        </is>
      </c>
      <c r="C253" t="inlineStr">
        <is>
          <t>Caro Suporte ao Cliente,
Estou entrando em contato para solicitar assistência urgente com serviços de consultoria para nossos problemas de servidor em andamento. Também estamos interessados em ter uma auditoria do nosso sistema de tickets para identificar possíveis áreas de melhorias de desempenho. Por favor, entre em contato conosco assim que possível para agendar uma consulta. Estamos ansiosos para resolver esses problemas rapidamente. Sua cooperação e expertise são muito apreciadas.
Obrigado,
&lt;name&gt;
&lt;acc_num&gt;</t>
        </is>
      </c>
      <c r="D253" t="inlineStr">
        <is>
          <t>Solicitação de Serviço</t>
        </is>
      </c>
      <c r="E253" t="inlineStr">
        <is>
          <t>Gerenciamento de Problemas</t>
        </is>
      </c>
      <c r="F253" t="inlineStr"/>
      <c r="G253" t="inlineStr"/>
      <c r="H253" t="inlineStr"/>
      <c r="I253" t="inlineStr"/>
      <c r="J253" t="inlineStr">
        <is>
          <t>Gerenciamento de Requisição de Serviço</t>
        </is>
      </c>
      <c r="K253" t="inlineStr">
        <is>
          <t>Melhoria Contínua</t>
        </is>
      </c>
      <c r="L253" t="inlineStr"/>
      <c r="M253" t="inlineStr"/>
    </row>
    <row r="254">
      <c r="A254" t="inlineStr">
        <is>
          <t>2295</t>
        </is>
      </c>
      <c r="B254" t="inlineStr">
        <is>
          <t>Problemas intermitentes de conectividade com o roteador Cisco ISR4331</t>
        </is>
      </c>
      <c r="C254" t="inlineStr">
        <is>
          <t>O roteador ISR4331 está enfrentando problemas de conectividade, impactando o desempenho da rede e o acesso do usuário. Precisamos do seu suporte.</t>
        </is>
      </c>
      <c r="D254" t="inlineStr">
        <is>
          <t>Gerenciamento de Incidentes</t>
        </is>
      </c>
      <c r="E254" t="inlineStr">
        <is>
          <t>Gerenciamento de Problemas</t>
        </is>
      </c>
      <c r="F254" t="inlineStr"/>
      <c r="G254" t="inlineStr"/>
      <c r="H254" t="inlineStr"/>
      <c r="I254" t="inlineStr"/>
      <c r="J254" t="inlineStr">
        <is>
          <t>Gerenciamento de Problemas</t>
        </is>
      </c>
      <c r="K254" t="inlineStr">
        <is>
          <t>Gerenciamento de Incidentes</t>
        </is>
      </c>
      <c r="L254" t="inlineStr"/>
      <c r="M254" t="inlineStr"/>
    </row>
    <row r="255">
      <c r="A255" t="inlineStr">
        <is>
          <t>2296</t>
        </is>
      </c>
      <c r="B255" t="inlineStr">
        <is>
          <t>Incidente de Baixa Prioridade: Problemas de Conexão do Roteador Cisco ISR4331</t>
        </is>
      </c>
      <c r="C255" t="inlineStr">
        <is>
          <t>Prezado Suporte ao Cliente de Serviços de TI,
Estou escrevendo para solicitar assistência em relação a um problema técnico com nosso Roteador Cisco ISR4331, que tem apresentado problemas de conexão intermitentes. Este assunto está atualmente categorizado como um incidente de baixa prioridade, uma vez que não impacta criticamente nossas operações diárias, mas requer resolução para evitar possíveis escalonamentos.
Nossa equipe de rede observou que as interrupções de conexão ocorrem em intervalos aleatórios, e, embora soluções temporárias tenham sido tentadas, o problema persiste. Estamos contando com sua experiência para fornecer uma solução mais permanente.
Por favor, aconselhe-nos sobre os próximos passos que devemos seguir para solucionar este problema mais a fundo. Se forem necessárias quaisquer ajustes de configuração ou inspeções de hardware de nossa parte, gentilmente forneça instruções detalhadas.
Sinta-se à vontade para nos contatar pelo &lt;tel_num&gt; ou por e-mail se informações adicionais forem necessárias. Aguardamos sua pronta assistência sobre este assunto para restaurar o desempenho ideal da rede.
Obrigado pela sua ajuda.
Atenciosamente,
&lt;name&gt;
&lt;acc_num&gt;</t>
        </is>
      </c>
      <c r="D255" t="inlineStr">
        <is>
          <t>Gerenciamento de Incidentes</t>
        </is>
      </c>
      <c r="E255" t="inlineStr">
        <is>
          <t>Gerenciamento de Problemas</t>
        </is>
      </c>
      <c r="F255" t="inlineStr"/>
      <c r="G255" t="inlineStr"/>
      <c r="H255" t="inlineStr"/>
      <c r="I255" t="inlineStr"/>
      <c r="J255" t="inlineStr">
        <is>
          <t>Gerenciamento de Problemas</t>
        </is>
      </c>
      <c r="K255" t="inlineStr">
        <is>
          <t>Central de Serviço</t>
        </is>
      </c>
      <c r="L255" t="inlineStr"/>
      <c r="M255" t="inlineStr"/>
    </row>
    <row r="256">
      <c r="A256" t="inlineStr">
        <is>
          <t>2307</t>
        </is>
      </c>
      <c r="B256" t="inlineStr">
        <is>
          <t>Pedido para Abordar Discrepâncias na Declaração de Cobrança</t>
        </is>
      </c>
      <c r="C256" t="inlineStr">
        <is>
          <t>Olá Suporte ao Cliente,
Espero que esta mensagem o encontre bem. Estou escrevendo para solicitar uma revisão da minha declaração de cobrança em relação à minha assinatura do Microsoft Office 365. Notei algumas discrepâncias na última cobrança para o número da conta &lt;acc_num&gt;. Parece que há taxas adicionais que não foram divulgadas anteriormente. Por favor, ajude a esclarecer esta questão e garanta que quaisquer cobranças não autorizadas sejam revertidas. Além disso, por favor, confirme os termos atuais da assinatura e a discriminação de custos. Você pode entrar em contato comigo diretamente pelo &lt;tel_num&gt;.
Obrigado pela sua assistência rápida.
Atenciosamente,
&lt;name&gt;</t>
        </is>
      </c>
      <c r="D256" t="inlineStr">
        <is>
          <t>Gerenciamento Financeiro</t>
        </is>
      </c>
      <c r="E256" t="inlineStr">
        <is>
          <t>Gerenciamento de Incidentes</t>
        </is>
      </c>
      <c r="F256" t="inlineStr"/>
      <c r="G256" t="inlineStr"/>
      <c r="H256" t="inlineStr"/>
      <c r="I256" t="inlineStr"/>
      <c r="J256" t="inlineStr">
        <is>
          <t>Gerenciamento Financeiro de Serviços</t>
        </is>
      </c>
      <c r="K256" t="inlineStr">
        <is>
          <t>Gerenciamento de Requisição de Serviço</t>
        </is>
      </c>
      <c r="L256" t="inlineStr"/>
      <c r="M256" t="inlineStr"/>
    </row>
    <row r="257">
      <c r="A257" t="inlineStr">
        <is>
          <t>2308</t>
        </is>
      </c>
      <c r="B257" t="inlineStr">
        <is>
          <t>Urgente: Interrupção de Rede</t>
        </is>
      </c>
      <c r="C257" t="inlineStr">
        <is>
          <t>Caro Time de Suporte ao Cliente,
Estou escrevendo para relatar um incidente de alta prioridade envolvendo o Roteador Cisco ISR4331, que está causando interrupções significativas na rede dentro da nossa organização. Este problema está afetando severamente nossas operações, e precisamos de solução e resolução imediatas para restaurar a funcionalidade da nossa rede.
Nossa equipe notou pela primeira vez a interrupção na manhã de 10 de outubro de 2023, quando surgiram problemas de conectividade afetando nossos aplicativos de negócios críticos e comunicações. Isso resultou em um tempo considerável de inatividade, afetando não apenas as comunicações internas, mas também nossos serviços voltados para o cliente.
O roteador em questão faz parte de um segmento de rede vital e está atualmente exibindo códigos de erro de diagnóstico que são desconhecidos para nossa equipe interna. Tentamos vários procedimentos padrão de solução de problemas sem sucesso. Dado o impacto em nossas operações, solicitamos que sua equipe especializada examine esse assunto o mais rápido possível.
Por favor, informe-nos os próximos passos para facilitar um diagnóstico e resolução expedidos. Você pode me contatar em &lt;tel_num&gt; ou por e-mail na sua primeira oportunidade. Sua rápida atenção a este assunto é muito apreciada, pois impacta diretamente nossas operações diárias.
Obrigado pela sua assistência.
Atenciosamente,
&lt;name&gt;
Gerente de TI
&lt;company&gt;
Contato: &lt;tel_num&gt;</t>
        </is>
      </c>
      <c r="D257" t="inlineStr">
        <is>
          <t>Gerenciamento de Incidentes</t>
        </is>
      </c>
      <c r="E257" t="inlineStr">
        <is>
          <t>Gerenciamento de Disponibilidade</t>
        </is>
      </c>
      <c r="F257" t="inlineStr"/>
      <c r="G257" t="inlineStr"/>
      <c r="H257" t="inlineStr"/>
      <c r="I257" t="inlineStr"/>
      <c r="J257" t="inlineStr">
        <is>
          <t>Gerenciamento de Incidentes</t>
        </is>
      </c>
      <c r="K257" t="inlineStr">
        <is>
          <t>Gerenciamento de Problemas</t>
        </is>
      </c>
      <c r="L257" t="inlineStr"/>
      <c r="M257" t="inlineStr"/>
    </row>
    <row r="258">
      <c r="A258" t="inlineStr">
        <is>
          <t>2319</t>
        </is>
      </c>
      <c r="B258" t="inlineStr">
        <is>
          <t>Interrupção Crítica de Serviço</t>
        </is>
      </c>
      <c r="C258" t="inlineStr">
        <is>
          <t>Caro Time de Suporte de Serviços de TI, Estou escrevendo para notificá-los sobre uma interrupção de serviço detectada, causando problemas críticos de inatividade com o Serviço de Gerenciamento da AWS. Essa interrupção impactou consideravelmente nossas operações, e precisamos de uma inspeção urgente e resolução da infraestrutura de nuvem afetada. A inatividade interrompeu nossa capacidade de gerenciar recursos em nuvem, impactando tanto o desempenho quanto a produtividade. Como essa situação é crítica, por favor, priorize nosso pedido e envolva as equipes necessárias para diagnosticar e mitigar o problema rapidamente. Além disso, agradeceríamos atualizações regulares sobre o progresso feito. Por favor, entre em contato com &lt;name&gt; em nosso escritório via e-mail ou contate-o diretamente pelo &lt;tel_num&gt;. Nosso número de conta é &lt;acc_num&gt;. Obrigado pela sua atenção imediata a este assunto. Atenciosamente, &lt;name&gt;</t>
        </is>
      </c>
      <c r="D258" t="inlineStr">
        <is>
          <t>Gerenciamento de Incidentes</t>
        </is>
      </c>
      <c r="E258" t="inlineStr">
        <is>
          <t>Gerenciamento de Disponibilidade</t>
        </is>
      </c>
      <c r="F258" t="inlineStr"/>
      <c r="G258" t="inlineStr"/>
      <c r="H258" t="inlineStr"/>
      <c r="I258" t="inlineStr"/>
      <c r="J258" t="inlineStr">
        <is>
          <t>Gerenciamento de Incidentes</t>
        </is>
      </c>
      <c r="K258" t="inlineStr">
        <is>
          <t>Gerenciamento de Continuidade de Serviço</t>
        </is>
      </c>
      <c r="L258" t="inlineStr"/>
      <c r="M258" t="inlineStr"/>
    </row>
    <row r="259">
      <c r="A259" t="inlineStr">
        <is>
          <t>2338</t>
        </is>
      </c>
      <c r="B259" t="inlineStr">
        <is>
          <t>Solicitação de Assistência para Alteração de Configuração da AWS</t>
        </is>
      </c>
      <c r="C259" t="inlineStr">
        <is>
          <t>Prezado Time de Suporte ao Cliente,
Estou escrevendo para solicitar assistência com uma alteração de configuração para otimizar os custos da infraestrutura da AWS e melhorar a eficiência da implantação na nuvem. Atualmente, estamos utilizando seu Serviço de Gerenciamento da AWS e identificamos melhorias potenciais que podem beneficiar muito nossas operações. Você poderia nos aconselhar sobre os melhores passos para iniciar esse processo? Sua resposta rápida seria muito apreciada.
Obrigado pelo seu contínuo apoio.
Atenciosamente,
&lt;name&gt;</t>
        </is>
      </c>
      <c r="D259" t="inlineStr">
        <is>
          <t>Solicitação de Serviço</t>
        </is>
      </c>
      <c r="E259" t="inlineStr">
        <is>
          <t>Gerenciamento Financeiro</t>
        </is>
      </c>
      <c r="F259" t="inlineStr"/>
      <c r="G259" t="inlineStr"/>
      <c r="H259" t="inlineStr"/>
      <c r="I259" t="inlineStr"/>
      <c r="J259" t="inlineStr">
        <is>
          <t>Habilitação de Mudança</t>
        </is>
      </c>
      <c r="K259" t="inlineStr">
        <is>
          <t>Gerenciamento Financeiro de Serviços</t>
        </is>
      </c>
      <c r="L259" t="inlineStr"/>
      <c r="M259" t="inlineStr"/>
    </row>
    <row r="260">
      <c r="A260" t="inlineStr">
        <is>
          <t>2339</t>
        </is>
      </c>
      <c r="B260" t="inlineStr">
        <is>
          <t>Urgente: Dificuldade com a Configuração da Impressora HP LaserJet Pro M15w</t>
        </is>
      </c>
      <c r="C260" t="inlineStr">
        <is>
          <t>Olá, Equipe de Suporte, estou enfrentando dificuldades com a configuração da minha impressora HP LaserJet Pro M15w. Ela não está conectando como deveria. Poderiam me orientar sobre como solucionar esse problema? Agradeço, &lt;name&gt;, &lt;tel_num&gt;, &lt;acc_num&gt;.</t>
        </is>
      </c>
      <c r="D260" t="inlineStr">
        <is>
          <t>Solicitação de Serviço</t>
        </is>
      </c>
      <c r="E260" t="inlineStr">
        <is>
          <t>Gerenciamento de Incidentes</t>
        </is>
      </c>
      <c r="F260" t="inlineStr"/>
      <c r="G260" t="inlineStr"/>
      <c r="H260" t="inlineStr"/>
      <c r="I260" t="inlineStr"/>
      <c r="J260" t="inlineStr">
        <is>
          <t>Gerenciamento de Requisição de Serviço</t>
        </is>
      </c>
      <c r="K260" t="inlineStr">
        <is>
          <t>Central de Serviço</t>
        </is>
      </c>
      <c r="L260" t="inlineStr"/>
      <c r="M260" t="inlineStr"/>
    </row>
    <row r="261">
      <c r="A261" t="inlineStr">
        <is>
          <t>2346</t>
        </is>
      </c>
      <c r="B261" t="inlineStr">
        <is>
          <t>Solicitação de Troca Devido a Problemas de Conectividade</t>
        </is>
      </c>
      <c r="C261" t="inlineStr">
        <is>
          <t>Caro Suporte da Loja Online de Tecnologia,
Espero que esta mensagem o encontre bem. Recentemente, comprei uma impressora Epson EcoTank ET-4760 em sua loja sob o número da conta &lt;acc_num&gt;. Infelizmente, estou enfrentando problemas de compatibilidade com minha rede sem fio, tornando impossível conectar a impressora. Esse problema tornou a impressora inutilizável para minha configuração atual.
Como um cliente fiel, solicito gentilmente uma troca por um modelo de impressora compatível ou conselhos sobre soluções alternativas. Por favor, informe-me sobre os próximos passos em relação ao processo de troca, bem como quaisquer instruções de envio.
Obrigado pela sua compreensão e rápida atenção ao meu pedido.
Atenciosamente,
&lt;name&gt;
&lt;tel_num&gt;</t>
        </is>
      </c>
      <c r="D261" t="inlineStr">
        <is>
          <t>Solicitação de Serviço</t>
        </is>
      </c>
      <c r="E261" t="inlineStr">
        <is>
          <t>Gerenciamento de Ativos de TI</t>
        </is>
      </c>
      <c r="F261" t="inlineStr"/>
      <c r="G261" t="inlineStr"/>
      <c r="H261" t="inlineStr"/>
      <c r="I261" t="inlineStr"/>
      <c r="J261" t="inlineStr">
        <is>
          <t>Gerenciamento de Requisição de Serviço</t>
        </is>
      </c>
      <c r="K261" t="inlineStr">
        <is>
          <t>Gerenciamento de Catálogo de Serviço</t>
        </is>
      </c>
      <c r="L261" t="inlineStr"/>
      <c r="M261" t="inlineStr"/>
    </row>
    <row r="262">
      <c r="A262" t="inlineStr">
        <is>
          <t>2352</t>
        </is>
      </c>
      <c r="B262" t="inlineStr">
        <is>
          <t>Problemas de Desempenho de Rede com o Roteador Cisco ISR4331</t>
        </is>
      </c>
      <c r="C262" t="inlineStr">
        <is>
          <t>Caro Time de Suporte ao Cliente,
Espero que esta mensagem o encontre bem. Estou escrevendo para informar sobre um problema crítico que estamos enfrentando com o Roteador Cisco ISR4331 em nosso ambiente de pequeno escritório. Nas últimas semanas, temos enfrentado problemas significativos de desempenho de rede e um padrão preocupante de quedas de conectividade WiFi. Os roteadores parecem não conseguir manter uma conexão estável, levando a interrupções esporádicas na rede.
Nosso escritório depende fortemente de uma conectividade de internet consistente para realizar as operações diárias, interagir com clientes e apoiar as capacidades de trabalho remoto. A instabilidade na nossa configuração de rede atual, devido à degradação do desempenho deste roteador, resulta em frequentes interrupções de serviço, o que, em última análise, prejudica a produtividade e afeta os processos de negócios como um todo.
Tentamos ações de remediação, como reiniciar o dispositivo, atualizar o firmware e ajustar as configurações de configuração, todas as quais não corrigiram o problema. Nossa equipe interna de TI realizou diagnósticos minuciosos, descartando interferências externas ou falhas em outros componentes da rede. Tudo aponta para um problema com os roteadores em si.
Dada a importância da confiabilidade da rede para nossas operações, agradeceríamos se você pudesse acelerar a revisão desse assunto. Ter nosso Roteador Cisco ISR4331 em condição funcional ideal é fundamental para a eficiência do nosso escritório. Gostaríamos de orientações sobre passos avançados de solução de problemas que possamos ter negligenciado ou se o reparo ou substituição é recomendável.
Gentilmente, forneça-nos quaisquer soluções possíveis ou organize uma consulta de suporte técnico na sua primeira conveniência. Agradecendo pela sua atenção rápida a este problema, aguardo sua rápida resposta.
Obrigado e melhores cumprimentos,
&lt;name&gt;
Gerente de Operações Técnicas
&lt;name&gt; Solutions Inc.
&lt;tel_num&gt;
&lt;email_address&gt;</t>
        </is>
      </c>
      <c r="D262" t="inlineStr">
        <is>
          <t>Gerenciamento de Incidentes</t>
        </is>
      </c>
      <c r="E262" t="inlineStr">
        <is>
          <t>Gerenciamento de Capacidade</t>
        </is>
      </c>
      <c r="F262" t="inlineStr"/>
      <c r="G262" t="inlineStr"/>
      <c r="H262" t="inlineStr"/>
      <c r="I262" t="inlineStr"/>
      <c r="J262" t="inlineStr">
        <is>
          <t>Gerenciamento de Capacidade e Desempenho</t>
        </is>
      </c>
      <c r="K262" t="inlineStr">
        <is>
          <t>Gerenciamento de Problemas</t>
        </is>
      </c>
      <c r="L262" t="inlineStr"/>
      <c r="M262" t="inlineStr"/>
    </row>
    <row r="263">
      <c r="A263" t="inlineStr">
        <is>
          <t>2360</t>
        </is>
      </c>
      <c r="B263" t="inlineStr">
        <is>
          <t>Problemas de Conectividade: Impressora HP DeskJet 3755</t>
        </is>
      </c>
      <c r="C263" t="inlineStr">
        <is>
          <t>Caro Suporte ao Cliente,
Estou escrevendo para relatar um problema contínuo com minha impressora HP DeskJet 3755, que freqüentemente enfrenta problemas de conectividade Wi-Fi. Apesar de várias tentativas de solucionar o problema, a impressora frequentemente desconecta da minha rede sem fio, resultando em capacidades de impressão esporádicas. Este problema tem sido bastante frustrante, pois interrompe meu fluxo de trabalho e leva a ineficiências ao tentar imprimir documentos importantes.
Assegurei-me de que as configurações da rede sem fio estão configuradas corretamente e que a impressora está dentro do alcance do roteador. Além disso, realizei atualizações de firmware e redefini as configurações da impressora, mas o problema de conectividade persiste. Agradeceria sua orientação sobre como resolver esse problema ou se há necessidade de uma substituição ou reparo do produto sob garantia.
Por favor, me avise se houver mais etapas que eu deva seguir ou se informações adicionais forem necessárias para agilizar o processo de resolução. Obrigado pela sua assistência.
Atenciosamente,
&lt;name&gt;</t>
        </is>
      </c>
      <c r="D263" t="inlineStr">
        <is>
          <t>Gerenciamento de Incidentes</t>
        </is>
      </c>
      <c r="E263" t="inlineStr">
        <is>
          <t>Gerenciamento de Problemas</t>
        </is>
      </c>
      <c r="F263" t="inlineStr"/>
      <c r="G263" t="inlineStr"/>
      <c r="H263" t="inlineStr"/>
      <c r="I263" t="inlineStr"/>
      <c r="J263" t="inlineStr">
        <is>
          <t>Gerenciamento de Problemas</t>
        </is>
      </c>
      <c r="K263" t="inlineStr">
        <is>
          <t>Gerenciamento de Incidentes</t>
        </is>
      </c>
      <c r="L263" t="inlineStr"/>
      <c r="M263" t="inlineStr"/>
    </row>
    <row r="264">
      <c r="A264" t="inlineStr">
        <is>
          <t>2361</t>
        </is>
      </c>
      <c r="B264" t="inlineStr">
        <is>
          <t>Urgente: Problema de Energia do Laptop</t>
        </is>
      </c>
      <c r="C264" t="inlineStr">
        <is>
          <t>Caro Suporte ao Cliente,
Recentemente comprei um Dell XPS 13 9310 na sua loja online. Infelizmente, ele não está ligando. Por favor, forneça uma solução urgente para resolver este problema rapidamente.
Obrigado,
&lt;name&gt;</t>
        </is>
      </c>
      <c r="D264" t="inlineStr">
        <is>
          <t>Gerenciamento de Incidentes</t>
        </is>
      </c>
      <c r="E264" t="inlineStr">
        <is>
          <t>Gerenciamento de Ativos de TI</t>
        </is>
      </c>
      <c r="F264" t="inlineStr"/>
      <c r="G264" t="inlineStr"/>
      <c r="H264" t="inlineStr"/>
      <c r="I264" t="inlineStr"/>
      <c r="J264" t="inlineStr">
        <is>
          <t>Gerenciamento de Incidentes</t>
        </is>
      </c>
      <c r="K264" t="inlineStr">
        <is>
          <t>Gerenciamento de Ativos de TI</t>
        </is>
      </c>
      <c r="L264" t="inlineStr"/>
      <c r="M264" t="inlineStr"/>
    </row>
    <row r="265">
      <c r="A265" t="inlineStr">
        <is>
          <t>2362</t>
        </is>
      </c>
      <c r="B265" t="inlineStr">
        <is>
          <t>Urgente: Necessário solucionar falhas do Google Chrome 102.0</t>
        </is>
      </c>
      <c r="C265" t="inlineStr">
        <is>
          <t>Caro Atendimento ao Cliente da Tech Online Store,
Estou escrevendo para trazer à sua atenção um problema persistente que estou enfrentando com o Google Chrome 102.0, que comprei em sua loja. O navegador trava constantemente sempre que tento carregar qualquer site, interrompendo significativamente minhas tarefas de trabalho urgentes. Como resultado, minha produtividade é severamente afetada e tenho dificuldade em completar minhas tarefas diárias a tempo.
Já tentei várias etapas de solução de problemas, como limpar o cache, desativar extensões e reinstalar o navegador, mas, infelizmente, nenhuma dessas soluções funcionou.
Dada a urgência deste assunto, solicito gentilmente uma resolução ou substituição acelerada. Por favor, me avise quais são os próximos passos assim que possível, pois meu trabalho continua sendo dificultado por esse problema.
Obrigado pelo seu rápido suporte neste assunto.
Atenciosamente,
&lt;name&gt;
Número de Contato: &lt;tel_num&gt;
Número do Pedido: &lt;order_num&gt;</t>
        </is>
      </c>
      <c r="D265" t="inlineStr">
        <is>
          <t>Gerenciamento de Incidentes</t>
        </is>
      </c>
      <c r="E265" t="inlineStr">
        <is>
          <t>Gerenciamento de Problemas</t>
        </is>
      </c>
      <c r="F265" t="inlineStr"/>
      <c r="G265" t="inlineStr"/>
      <c r="H265" t="inlineStr"/>
      <c r="I265" t="inlineStr"/>
      <c r="J265" t="inlineStr">
        <is>
          <t>Gerenciamento de Incidentes</t>
        </is>
      </c>
      <c r="K265" t="inlineStr">
        <is>
          <t>Desenvolvimento e Gerenciamento de Software</t>
        </is>
      </c>
      <c r="L265" t="inlineStr"/>
      <c r="M265" t="inlineStr"/>
    </row>
    <row r="266">
      <c r="A266" t="inlineStr">
        <is>
          <t>2368</t>
        </is>
      </c>
      <c r="B266" t="inlineStr">
        <is>
          <t>Urgente: Assistência Imediata Necessária para Falha na Aplicação de Folha de Pagamento</t>
        </is>
      </c>
      <c r="C266" t="inlineStr">
        <is>
          <t>Caro Suporte ao Cliente da Firma de Consultoria de TI, Nosso RH relata que nossa aplicação de folha de pagamento primária falhou durante o processamento. Precisamos urgentemente da sua assistência para restaurar sua operação. O serviço afetado é o Serviço de Consultoria de TI fornecido pela sua empresa. Por favor, entre em contato conosco o mais rápido possível. Para mais informações, entre em contato com &lt;name&gt; pelo &lt;tel_num&gt;.</t>
        </is>
      </c>
      <c r="D266" t="inlineStr">
        <is>
          <t>Gerenciamento de Incidentes</t>
        </is>
      </c>
      <c r="E266" t="inlineStr">
        <is>
          <t>Gerenciamento de Disponibilidade</t>
        </is>
      </c>
      <c r="F266" t="inlineStr"/>
      <c r="G266" t="inlineStr"/>
      <c r="H266" t="inlineStr"/>
      <c r="I266" t="inlineStr"/>
      <c r="J266" t="inlineStr">
        <is>
          <t>Gerenciamento de Incidentes</t>
        </is>
      </c>
      <c r="K266" t="inlineStr">
        <is>
          <t>Gerenciamento de Continuidade de Serviço</t>
        </is>
      </c>
      <c r="L266" t="inlineStr"/>
      <c r="M266" t="inlineStr"/>
    </row>
    <row r="267">
      <c r="A267" t="inlineStr">
        <is>
          <t>2390</t>
        </is>
      </c>
      <c r="B267" t="inlineStr">
        <is>
          <t>Urgente: Problema de Tempo de Inatividade do Serviço de Gerenciamento AWS</t>
        </is>
      </c>
      <c r="C267" t="inlineStr">
        <is>
          <t>Prezado Time de Suporte ao Cliente,
Estou escrevendo para informar sobre um problema com o seu Serviço de Gerenciamento AWS, que recentemente experimentou um tempo de inatividade não programado. Essa interrupção impactou significativamente o acesso ao servidor virtual dos clientes. Precisamos de assistência imediata para resolver o problema e garantir que não ocorram mais interrupções. Por favor, priorizem a restauração da funcionalidade e mantenham-nos atualizados sobre o seu progresso. Nós dependemos muito do seu serviço e tais incidentes afetam criticamente nossas operações. Ação rápida seria apreciada. Entre em contato comigo pelo &lt;tel_num&gt; para mais discussões.
Obrigado,
&lt;name&gt;</t>
        </is>
      </c>
      <c r="D267" t="inlineStr">
        <is>
          <t>Gerenciamento de Incidentes</t>
        </is>
      </c>
      <c r="E267" t="inlineStr">
        <is>
          <t>Gerenciamento de Disponibilidade</t>
        </is>
      </c>
      <c r="F267" t="inlineStr"/>
      <c r="G267" t="inlineStr"/>
      <c r="H267" t="inlineStr"/>
      <c r="I267" t="inlineStr"/>
      <c r="J267" t="inlineStr">
        <is>
          <t>Gerenciamento de Incidentes</t>
        </is>
      </c>
      <c r="K267" t="inlineStr">
        <is>
          <t>Gerenciamento de Disponibilidade</t>
        </is>
      </c>
      <c r="L267" t="inlineStr"/>
      <c r="M267" t="inlineStr"/>
    </row>
    <row r="268">
      <c r="A268" t="inlineStr">
        <is>
          <t>2392</t>
        </is>
      </c>
      <c r="B268" t="inlineStr">
        <is>
          <t>Experienciando Desconexões Frequentes com o Zoom 5.11.0</t>
        </is>
      </c>
      <c r="C268" t="inlineStr">
        <is>
          <t>Caro time de suporte ao cliente, espero que esta mensagem os encontre bem. Estou escrevendo para expressar minha preocupação em relação ao software Zoom 5.11.0, que comprei na sua loja online Tech. Nas últimas semanas, experimentei desconexões frequentes durante chamadas de vídeo, o que impactou severamente minha experiência de usuário e produtividade. Tentei solucionar problemas comuns, como velocidade de internet e compatibilidade do dispositivo, sem sucesso. Minhas tentativas de resolver isso atualizando para uma versão mais nova do Zoom ou alterando configurações foram infrutíferas. Agradeceria sua orientação sobre este assunto ou quaisquer soluções possíveis para melhorar a estabilidade das chamadas de vídeo. Obrigado pela sua resposta rápida. Atenciosamente, &lt;name&gt;</t>
        </is>
      </c>
      <c r="D268" t="inlineStr">
        <is>
          <t>Gerenciamento de Incidentes</t>
        </is>
      </c>
      <c r="E268" t="inlineStr">
        <is>
          <t>Gerenciamento de Problemas</t>
        </is>
      </c>
      <c r="F268" t="inlineStr"/>
      <c r="G268" t="inlineStr"/>
      <c r="H268" t="inlineStr"/>
      <c r="I268" t="inlineStr"/>
      <c r="J268" t="inlineStr">
        <is>
          <t>Gerenciamento de Problemas</t>
        </is>
      </c>
      <c r="K268" t="inlineStr">
        <is>
          <t>Gerenciamento de Capacidade e Desempenho</t>
        </is>
      </c>
      <c r="L268" t="inlineStr"/>
      <c r="M268" t="inlineStr"/>
    </row>
    <row r="269">
      <c r="A269" t="inlineStr">
        <is>
          <t>2407</t>
        </is>
      </c>
      <c r="B269" t="inlineStr">
        <is>
          <t>Problema de Flickering na Tela do Surface Pro 7</t>
        </is>
      </c>
      <c r="C269" t="inlineStr">
        <is>
          <t>Prezado Suporte ao Cliente,
Estou escrevendo para relatar um problema persistente com meu Microsoft Surface Pro 7, adquirido recentemente na Tech Online Store. A tela pisca aleatoriamente, o que é especialmente perceptível durante a reprodução de vídeos. Esse comportamento interrompe severamente meu fluxo de trabalho e torna o dispositivo difícil de usar efetivamente.
Após revisar fóruns e guias de solução de problemas, cheguei à conclusão de que esse pode ser um problema conhecido que afeta outros usuários também. Verifiquei se todos os drivers e firmware estão atualizados, mas o problema persiste. Você poderia, por favor, aconselhar sobre as etapas que preciso seguir para resolver esta questão? Devo considerar retornar o dispositivo para troca ou reparo?
Sua orientação seria muito apreciada.
Obrigado.
Atenciosamente,
&lt;name&gt;</t>
        </is>
      </c>
      <c r="D269" t="inlineStr">
        <is>
          <t>Gerenciamento de Incidentes</t>
        </is>
      </c>
      <c r="E269" t="inlineStr">
        <is>
          <t>Gerenciamento de Ativos de TI</t>
        </is>
      </c>
      <c r="F269" t="inlineStr"/>
      <c r="G269" t="inlineStr"/>
      <c r="H269" t="inlineStr"/>
      <c r="I269" t="inlineStr"/>
      <c r="J269" t="inlineStr">
        <is>
          <t>Gerenciamento de Problemas</t>
        </is>
      </c>
      <c r="K269" t="inlineStr">
        <is>
          <t>Gerenciamento de Incidentes</t>
        </is>
      </c>
      <c r="L269" t="inlineStr"/>
      <c r="M269" t="inlineStr"/>
    </row>
    <row r="270">
      <c r="A270" t="inlineStr">
        <is>
          <t>2409</t>
        </is>
      </c>
      <c r="B270" t="inlineStr">
        <is>
          <t>Solicitação de Troca do Canon PIXMA MG3620</t>
        </is>
      </c>
      <c r="C270" t="inlineStr">
        <is>
          <t>Olá, estou enfrentando problemas de conectividade com meu Canon PIXMA MG3620 ao tentar imprimir sem fio. Gostaria de solicitar a devolução ou troca deste equipamento. Por favor, me ajude com o processo. Obrigado.</t>
        </is>
      </c>
      <c r="D270" t="inlineStr">
        <is>
          <t>Solicitação de Serviço</t>
        </is>
      </c>
      <c r="E270" t="inlineStr">
        <is>
          <t>Gerenciamento de Ativos de TI</t>
        </is>
      </c>
      <c r="F270" t="inlineStr"/>
      <c r="G270" t="inlineStr"/>
      <c r="H270" t="inlineStr"/>
      <c r="I270" t="inlineStr"/>
      <c r="J270" t="inlineStr">
        <is>
          <t>Gerenciamento de Requisição de Serviço</t>
        </is>
      </c>
      <c r="K270" t="inlineStr">
        <is>
          <t>Central de Serviço</t>
        </is>
      </c>
      <c r="L270" t="inlineStr"/>
      <c r="M270" t="inlineStr"/>
    </row>
    <row r="271">
      <c r="A271" t="inlineStr">
        <is>
          <t>2412</t>
        </is>
      </c>
      <c r="B271" t="inlineStr">
        <is>
          <t>Problema ao Instalar o Norton Antivirus Plus Detectado</t>
        </is>
      </c>
      <c r="C271" t="inlineStr">
        <is>
          <t>Prezado Suporte ao Cliente,
Encounterei uma dificuldade ao instalar o Norton Antivirus Plus. Poderia me auxiliar a solucionar isso?
Cordialmente,
&lt;nome&gt;
&lt;tel_num&gt;
&lt;email&gt;</t>
        </is>
      </c>
      <c r="D271" t="inlineStr">
        <is>
          <t>Gerenciamento de Incidentes</t>
        </is>
      </c>
      <c r="E271" t="inlineStr">
        <is>
          <t>Gerenciamento de Problemas</t>
        </is>
      </c>
      <c r="F271" t="inlineStr"/>
      <c r="G271" t="inlineStr"/>
      <c r="H271" t="inlineStr"/>
      <c r="I271" t="inlineStr"/>
      <c r="J271" t="inlineStr">
        <is>
          <t>Gerenciamento de Requisição de Serviço</t>
        </is>
      </c>
      <c r="K271" t="inlineStr">
        <is>
          <t>Central de Serviço</t>
        </is>
      </c>
      <c r="L271" t="inlineStr"/>
      <c r="M27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20"/>
  <sheetViews>
    <sheetView tabSelected="1" zoomScaleNormal="100" workbookViewId="0">
      <pane xSplit="4" ySplit="1" topLeftCell="E2" activePane="bottomRight" state="frozen"/>
      <selection pane="topRight" activeCell="E1" sqref="E1"/>
      <selection pane="bottomLeft" activeCell="A2" sqref="A2"/>
      <selection pane="bottomRight" activeCell="B1" sqref="B1:C1048576"/>
    </sheetView>
  </sheetViews>
  <sheetFormatPr baseColWidth="8" defaultRowHeight="16.5" customHeight="1"/>
  <cols>
    <col width="9.140625" customWidth="1" style="1" min="1" max="1"/>
    <col width="45.5703125" customWidth="1" style="3" min="2" max="2"/>
    <col width="59.140625" customWidth="1" style="3" min="3" max="3"/>
    <col width="62.28515625" customWidth="1" style="1" min="4" max="4"/>
    <col hidden="1" width="25.42578125" customWidth="1" style="1" min="5" max="5"/>
    <col width="62.28515625" customWidth="1" style="1" min="6" max="6"/>
    <col hidden="1" width="9.7109375" customWidth="1" style="1" min="7" max="7"/>
    <col width="48.7109375" customWidth="1" style="1" min="8" max="8"/>
    <col width="9.140625" customWidth="1" style="1" min="9" max="9"/>
    <col width="14.85546875" customWidth="1" style="1" min="10" max="10"/>
    <col width="9.140625" customWidth="1" style="1" min="11" max="31"/>
    <col width="9.140625" customWidth="1" style="1" min="32" max="16384"/>
  </cols>
  <sheetData>
    <row r="1" ht="15.75" customHeight="1" thickBot="1">
      <c r="A1" s="7" t="inlineStr">
        <is>
          <t>Id</t>
        </is>
      </c>
      <c r="B1" s="14" t="inlineStr">
        <is>
          <t>Prática Principal</t>
        </is>
      </c>
      <c r="C1" s="14" t="inlineStr">
        <is>
          <t>Prática Auxiliar</t>
        </is>
      </c>
      <c r="D1" s="7" t="inlineStr">
        <is>
          <t>assunto</t>
        </is>
      </c>
      <c r="E1" s="7" t="inlineStr">
        <is>
          <t>fila</t>
        </is>
      </c>
      <c r="F1" s="7" t="inlineStr">
        <is>
          <t>descricao</t>
        </is>
      </c>
      <c r="G1" s="7" t="inlineStr">
        <is>
          <t>tipo</t>
        </is>
      </c>
      <c r="H1" s="7" t="inlineStr">
        <is>
          <t>resposta</t>
        </is>
      </c>
      <c r="I1" s="7" t="inlineStr">
        <is>
          <t>prioridade</t>
        </is>
      </c>
      <c r="J1" s="7" t="inlineStr">
        <is>
          <t>todas_tags</t>
        </is>
      </c>
      <c r="K1" s="7" t="inlineStr">
        <is>
          <t>idioma</t>
        </is>
      </c>
      <c r="L1" s="7" t="inlineStr">
        <is>
          <t>descricao_length</t>
        </is>
      </c>
    </row>
    <row r="2" ht="16.5" customHeight="1">
      <c r="A2" s="1" t="n">
        <v>3</v>
      </c>
      <c r="B2" s="4" t="inlineStr">
        <is>
          <t>Gerenciamento de Incidentes</t>
        </is>
      </c>
      <c r="C2" s="4" t="inlineStr">
        <is>
          <t>Gerenciamento de Problemas</t>
        </is>
      </c>
      <c r="D2" s="1" t="inlineStr">
        <is>
          <t>Erro na Autocompletação de Código do IntelliJ IDEA</t>
        </is>
      </c>
      <c r="E2" s="1" t="inlineStr">
        <is>
          <t>Technical Support</t>
        </is>
      </c>
      <c r="F2" s="1" t="inlineStr">
        <is>
          <t>Prezado Suporte ao Cliente &lt;name&gt;,
Estou escrevendo para trazer à sua atenção um problema recorrente com o recurso de autocompletação de código no IntelliJ IDEA 2024.1. Este problema específico faz com que o aplicativo travar frequentemente durante o desenvolvimento, o que está prejudicando significativamente minha produtividade. Cada vez que tento usar o recurso de autocompletação de código, o software fica sem resposta, levando eventualmente a um travamento. Já tentei os passos comuns de solução de problemas, como reinstalação e aplicação das atualizações mais recentes, mas o problema persiste. Agradeceria sua orientação sobre como resolver esse problema o mais rápido possível. Obrigado pela sua atenção.
Atenciosamente,
&lt;name&gt;</t>
        </is>
      </c>
      <c r="G2" s="1" t="inlineStr">
        <is>
          <t>Incident</t>
        </is>
      </c>
      <c r="H2" s="1" t="inlineStr">
        <is>
          <t>Prezado &lt;name&gt;,
Obrigado por entrar em contato e nos informar sobre o problema com o recurso de autocompletação de código no IntelliJ IDEA 2024.1. Entendemos o quão crucial essa ferramenta é para o seu trabalho de desenvolvimento.
Para ajudá-lo melhor, por favor, tente os seguintes passos:
1. Verifique a compatibilidade do seu sistema com o IntelliJ IDEA 2024.1.
2. Limpe o cache da IDE acessando Arquivo &gt; Invalidar Caches / Reiniciar.
3. Desative quaisquer plugins desnecessários para ver se estão causando conflitos.
4. Aumente a alocação de memória para o aplicativo por meio das opções de VM.
Se o problema persistir, por favor, nos envie os logs (localizados em Ajuda &gt; Coletar Logs) para uma análise mais profunda. Estamos comprometidos em resolver esse problema o mais rápido possível.
Atenciosamente,
Equipe de Suporte ao Cliente</t>
        </is>
      </c>
      <c r="I2" s="1" t="inlineStr">
        <is>
          <t>high</t>
        </is>
      </c>
      <c r="J2" s="1" t="inlineStr">
        <is>
          <t>['Technical Support', 'Software Bug', 'Problem Resolution', 'Urgent Issue', 'IT Support']</t>
        </is>
      </c>
      <c r="K2" s="1" t="inlineStr">
        <is>
          <t>pt</t>
        </is>
      </c>
      <c r="L2" s="1" t="n">
        <v>740</v>
      </c>
    </row>
    <row r="3" ht="16.5" customHeight="1">
      <c r="A3" s="1" t="n">
        <v>25</v>
      </c>
      <c r="B3" s="4" t="inlineStr">
        <is>
          <t>Gerenciamento de Incidentes</t>
        </is>
      </c>
      <c r="C3" s="4" t="inlineStr">
        <is>
          <t>Gerenciamento de Mudanças</t>
        </is>
      </c>
      <c r="D3" s="1" t="inlineStr">
        <is>
          <t>Problemas intermitentes de exibição após atualização de firmware</t>
        </is>
      </c>
      <c r="E3" s="1" t="inlineStr">
        <is>
          <t>Product Support</t>
        </is>
      </c>
      <c r="F3" s="1" t="inlineStr">
        <is>
          <t>Caro Suporte ao Cliente,
 Estou entrando em contato para relatar um problema com meu Samsung QLED QN90A que comprei em sua loja. Após a recente atualização de firmware, estou enfrentando problemas intermitentes de exibição. A tela às vezes pisca e às vezes perde o sinal completamente, o que prejudica significativamente minha experiência de visualização.
 Esses problemas começaram a ocorrer imediatamente após a atualização de firmware, sugerindo uma possível causa. Tentei solucionar o problema verificando todas as conexões e reiniciando a TV para as configurações de fábrica, mas o problema persiste.
 Você poderia me fornecer orientações sobre como resolver isso ou me informar os próximos passos? Se um retrocesso de firmware ou uma correção estiver disponível, isso seria extremamente útil para recuperar a funcionalidade total da minha TV.
 Obrigado antecipadamente pela sua assistência. Aguardo uma solução rápida.
 Atenciosamente,
 &lt;name&gt;
 &lt;email&gt;
 &lt;tel_num&gt;</t>
        </is>
      </c>
      <c r="G3" s="1" t="inlineStr">
        <is>
          <t>Problem</t>
        </is>
      </c>
      <c r="H3" s="1" t="inlineStr">
        <is>
          <t>Caro &lt;name&gt;,
 Obrigado por entrar em contato e pela sua paciência. Lamentamos saber sobre os problemas de exibição após a atualização de firmware em sua Samsung QLED QN90A.
 Para resolver isso, por favor, assegure-se de que o software da sua TV esteja atualizado com os últimos patches do site de suporte da Samsung. Se o problema persistir, recomendamos um retrocesso de firmware, se disponível, com o qual podemos ajudá-lo. Além disso, nosso centro de serviços pode diagnosticar e resolver o problema, se necessário.
 Entre em contato conosco pelo &lt;tel_num&gt; ou visite o centro de serviços mais próximo com o comprovante de compra. Pedimos desculpas pelo inconveniente e estamos comprometidos em resolver isso rapidamente.
 Atenciosamente,
 Equipe de Suporte ao Cliente</t>
        </is>
      </c>
      <c r="I3" s="1" t="inlineStr">
        <is>
          <t>high</t>
        </is>
      </c>
      <c r="J3" s="1" t="inlineStr">
        <is>
          <t>['Technical Support', 'Product Support', 'Software Bug', 'Technical Guidance', 'Problem Resolution']</t>
        </is>
      </c>
      <c r="K3" s="1" t="inlineStr">
        <is>
          <t>pt</t>
        </is>
      </c>
      <c r="L3" s="1" t="n">
        <v>975</v>
      </c>
    </row>
    <row r="4" ht="16.5" customHeight="1">
      <c r="A4" s="1" t="n">
        <v>42</v>
      </c>
      <c r="B4" s="4" t="inlineStr">
        <is>
          <t>Solicitação de Serviço</t>
        </is>
      </c>
      <c r="C4" s="4" t="inlineStr">
        <is>
          <t>Gerenciamento de Nível de Serviço</t>
        </is>
      </c>
      <c r="D4" s="1" t="inlineStr">
        <is>
          <t>Pedido de Assistência para Administração de Servidores</t>
        </is>
      </c>
      <c r="E4" s="1" t="inlineStr">
        <is>
          <t>Customer Service</t>
        </is>
      </c>
      <c r="F4" s="1" t="inlineStr">
        <is>
          <t>Prezado Suporte ao Cliente de Serviços de TI,
Espero que esta mensagem o encontre bem. Estou escrevendo para solicitar assistência adicional com a administração do servidor para melhorar a eficiência e o desempenho de nossos sistemas atuais. Acreditamos que aproveitar seus serviços de consultoria pode nos ajudar a alcançar essas melhorias e abordar quaisquer desafios existentes que estamos enfrentando.
Nosso principal objetivo é otimizar as operações do servidor para apoiar nosso crescimento e garantir a confiabilidade de nossa infraestrutura de TI. Após revisar seus Serviços de Consultoria de TI, estamos confiantes de que a experiência de sua equipe pode fornecer insights e soluções valiosas adaptadas às nossas necessidades específicas.
Poderíamos, por favor, agendar uma consulta com um de seus especialistas na sua primeira conveniência? Estamos ansiosos para discutir estratégias potenciais, planos de serviço e quaisquer recomendações que você possa ter. Aguardamos ansiosamente o refinamento de nossos sistemas e a sua adaptação às melhores práticas.
Obrigado pela sua atenção a este pedido. Agradecemos sua assistência e estamos animados com a possibilidade de colaborar com sua equipe.
Atenciosamente,
&lt;name&gt;
&lt;position&gt;
&lt;company&gt;
&lt;tel_num&gt;
&lt;email&gt;</t>
        </is>
      </c>
      <c r="G4" s="1" t="inlineStr">
        <is>
          <t>Request</t>
        </is>
      </c>
      <c r="H4" s="1" t="inlineStr">
        <is>
          <t>Prezado &lt;name&gt;,
Obrigado por entrar em contato com o Suporte ao Cliente de Serviços de TI. Agradecemos seu interesse em nossos serviços de consultoria para melhorar a administração do seu servidor.
Ficaríamos felizes em agendar uma consulta para você com um de nossos especialistas. Por favor, nos informe sua disponibilidade e organizaremos uma reunião na primeira conveniência.
Nossa equipe está animada para colaborar com você, discutir estratégias potenciais e fornecer soluções personalizadas para otimizar suas operações de servidor e apoiar seu crescimento.
Aguardamos ansiosos para trabalhar com você.
Atenciosamente,
Equipe de Suporte ao Cliente de Serviços de TI</t>
        </is>
      </c>
      <c r="I4" s="1" t="inlineStr">
        <is>
          <t>medium</t>
        </is>
      </c>
      <c r="J4" s="1" t="inlineStr">
        <is>
          <t>['Technical Support', 'IT Support', 'Performance Tuning', 'Technical Guidance', 'General Inquiry', 'Service Recovery']</t>
        </is>
      </c>
      <c r="K4" s="1" t="inlineStr">
        <is>
          <t>pt</t>
        </is>
      </c>
      <c r="L4" s="1" t="n">
        <v>1271</v>
      </c>
    </row>
    <row r="5" ht="16.5" customHeight="1">
      <c r="A5" s="1" t="n">
        <v>57</v>
      </c>
      <c r="B5" s="4" t="inlineStr">
        <is>
          <t>Gerenciamento de Incidentes</t>
        </is>
      </c>
      <c r="C5" s="4" t="inlineStr">
        <is>
          <t>Gerenciamento de Ativos de TI</t>
        </is>
      </c>
      <c r="D5" s="1" t="inlineStr">
        <is>
          <t>Urgente: Relato de Falha na Bateria do MacBook Air M1 Adquirido na Loja Virtual</t>
        </is>
      </c>
      <c r="E5" s="1" t="inlineStr">
        <is>
          <t>Returns and Exchanges</t>
        </is>
      </c>
      <c r="F5" s="1" t="inlineStr">
        <is>
          <t>Prezado Atendimento ao Cliente,&lt;br&gt;&lt;br&gt;Recentemente adquiri um MacBook Air M1 em sua loja virtual e estou enfrentando sérios problemas com a bateria. Ela se esgota de forma extremamente rápida. Por favor, me avisem sobre os passos que devo seguir para realizar uma substituição ou um conserto.&lt;br&gt;&lt;br&gt;Atenciosamente,&lt;br&gt;&lt;nome&gt;</t>
        </is>
      </c>
      <c r="G5" s="1" t="inlineStr">
        <is>
          <t>Problem</t>
        </is>
      </c>
      <c r="H5" s="1" t="inlineStr">
        <is>
          <t>Prezado [Nome],&lt;br&gt;&lt;br&gt;Lamento pelo inconveniente. Por gentileza, inicie verificando a condição da bateria nas Preferências do Sistema &gt; Bateria. Se os problemas continuarem, contate nossa equipe de suporte pelo [número de suporte] ou siga as diretrizes em nosso site para obter uma substituição ou conserto.&lt;br&gt;&lt;br&gt;Cordialmente,&lt;br&gt;Atendimento ao Cliente</t>
        </is>
      </c>
      <c r="I5" s="1" t="inlineStr">
        <is>
          <t>medium</t>
        </is>
      </c>
      <c r="J5" s="1" t="inlineStr">
        <is>
          <t>['Product Support', 'Hardware Failure', 'Returns and Exchanges', 'Technical Support', 'Warranty Claim', 'Problem Resolution']</t>
        </is>
      </c>
      <c r="K5" s="1" t="inlineStr">
        <is>
          <t>pt</t>
        </is>
      </c>
      <c r="L5" s="1" t="n">
        <v>326</v>
      </c>
    </row>
    <row r="6" ht="16.5" customHeight="1">
      <c r="A6" s="1" t="n">
        <v>62</v>
      </c>
      <c r="B6" s="4" t="inlineStr">
        <is>
          <t>Gerenciamento de Problemas</t>
        </is>
      </c>
      <c r="C6" s="4" t="inlineStr">
        <is>
          <t>Gerenciamento de Mudanças</t>
        </is>
      </c>
      <c r="D6" s="1" t="inlineStr">
        <is>
          <t>Assistência Necessária para Integração do Jira Software</t>
        </is>
      </c>
      <c r="E6" s="1" t="inlineStr">
        <is>
          <t>Technical Support</t>
        </is>
      </c>
      <c r="F6" s="1" t="inlineStr">
        <is>
          <t>Prezado Time de Suporte ao Cliente,
Espero que esta mensagem o encontre bem. Estou entrando em contato a respeito de um ticket que diz respeito a problemas que temos encontrado com nossas configurações de quadro Scrum na versão 8.20 do Jira Software. Temos enfrentado dificuldades consideráveis para integrar nossos fluxos de gerenciamento de projetos de maneira suave. Apesar de nossos esforços para configurar os quadros de acordo com nossos requisitos, certas funções não parecem funcionar como esperado. Isso interrompeu nosso fluxo de trabalho, afetando a produtividade.
Estamos buscando seu aconselhamento especializado para nos ajudar a resolver esse problema. Especificamente, precisamos de orientação sobre configurações ideais para uma integração de gerenciamento de projetos sem fricções. Se possível, eu apreciaria um guia passo a passo ou recomendações sobre as melhores práticas para garantir que nossa configuração esteja perfeitamente alinhada com os recursos mais recentes no Jira Software 8.20.
Obrigado pela sua atenção a este assunto, e aguardo sua resposta rápida.
Atenciosamente,
&lt;name&gt;</t>
        </is>
      </c>
      <c r="G6" s="1" t="inlineStr">
        <is>
          <t>Request</t>
        </is>
      </c>
      <c r="H6" s="1" t="inlineStr">
        <is>
          <t>Prezado &lt;name&gt;,
Obrigado por entrar em contato sobre as dificuldades que você está enfrentando com a configuração do seu quadro Scrum na versão 8.20 do Jira Software. Entendo o quão crucial é uma integração suave para manter a produtividade da sua equipe.
Para ajudá-lo de forma eficaz, recomendo começar com os seguintes passos para uma configuração ideal:
1. Revisar Filtros do Quadro: Certifique-se de que os filtros do seu quadro estão configurados corretamente para refletir os problemas que você deseja exibir. Consultas JQL incorretas podem resultar em itens faltando.
2. Validar Esquemas de Fluxo de Trabalho: Verifique se seus fluxos de trabalho correspondem corretamente a cada projeto e tipo de problema. Transições mal configuradas podem levar a comportamentos inesperados.
3. Verificação de Permissões: Garanta que os membros da equipe tenham as permissões necessárias para acesso ao quadro e tarefas para evitar problemas de acesso que causam interrupções.
4. Verifique Conflitos de Plugins: Revise quaisquer plugins de terceiros que possam interferir na funcionalidade padrão. Desativá-los temporariamente pode ajudar a diagnosticar o problema.
5. Melhorias Específicas da Versão: Aproveite os novos recursos na versão 8.20 revisando as notas de lançamento da Atlassian para uso ideal e alinhamento.
6. Ajustes de Desempenho: Otimize o desempenho do quadro minimizando atualizações rápidas do quadro e mantendo um tamanho de backlog gerenciável.
Se esses passos não resolverem seus problemas, por favor, forneça mensagens de erro específicas ou comportamentos que você está encontrando, e ofereceremos suporte mais direcionado.
Sinta-se à vontade para entrar em contato se precisar de mais assistência. Nossa equipe está aqui para ajudar a garantir que sua configuração do Jira Software apoie sua produtividade sem interrupções.
Atenciosamente,
Equipe de Suporte ao Cliente</t>
        </is>
      </c>
      <c r="I6" s="1" t="inlineStr">
        <is>
          <t>high</t>
        </is>
      </c>
      <c r="J6" s="1" t="inlineStr">
        <is>
          <t>['Technical Support', 'Product Support', 'Software Bug', 'Problem Resolution', 'Technical Guidance', 'General Inquiry', 'Performance Tuning']</t>
        </is>
      </c>
      <c r="K6" s="1" t="inlineStr">
        <is>
          <t>pt</t>
        </is>
      </c>
      <c r="L6" s="1" t="n">
        <v>1112</v>
      </c>
    </row>
    <row r="7" ht="16.5" customHeight="1">
      <c r="A7" s="1" t="n">
        <v>77</v>
      </c>
      <c r="B7" s="4" t="inlineStr">
        <is>
          <t>Gerenciamento Financeiro</t>
        </is>
      </c>
      <c r="C7" s="4" t="inlineStr">
        <is>
          <t>Gerenciamento de Incidentes</t>
        </is>
      </c>
      <c r="D7" s="1" t="inlineStr">
        <is>
          <t>Discrepância de Faturamento no Google Workspace</t>
        </is>
      </c>
      <c r="E7" s="1" t="inlineStr">
        <is>
          <t>Billing and Payments</t>
        </is>
      </c>
      <c r="F7" s="1" t="inlineStr">
        <is>
          <t>Caro Time de Suporte de TI,
Estou escrevendo para relatar um valor de faturamento incorreto na minha assinatura do Google Workspace Business Standard sob a conta &lt;acc_num&gt;. Por favor, revise e ajuste a fatura. Aguardando sua pronta resposta.
Atenciosamente,
&lt;name&gt;</t>
        </is>
      </c>
      <c r="G7" s="1" t="inlineStr">
        <is>
          <t>Incident</t>
        </is>
      </c>
      <c r="H7" s="1" t="inlineStr">
        <is>
          <t>Caro &lt;name&gt;,
Obrigado por entrar em contato. Revisaremos os detalhes de faturamento da sua assinatura do Google Workspace Business Standard sob a conta &lt;acc_num&gt;. Nossa equipe investigará a discrepância e fará os ajustes necessários. Atualizaremos você o mais rápido possível com uma solução.
Atenciosamente,
Time de Suporte de TI</t>
        </is>
      </c>
      <c r="I7" s="1" t="inlineStr">
        <is>
          <t>low</t>
        </is>
      </c>
      <c r="J7" s="1" t="inlineStr">
        <is>
          <t>['Billing Issue', 'Customer Service', 'Account Assistance', 'Payment Processing']</t>
        </is>
      </c>
      <c r="K7" s="1" t="inlineStr">
        <is>
          <t>pt</t>
        </is>
      </c>
      <c r="L7" s="1" t="n">
        <v>267</v>
      </c>
    </row>
    <row r="8" ht="16.5" customHeight="1">
      <c r="A8" s="1" t="n">
        <v>87</v>
      </c>
      <c r="B8" s="4" t="inlineStr">
        <is>
          <t>Gerenciamento de Incidentes</t>
        </is>
      </c>
      <c r="C8" s="4" t="inlineStr">
        <is>
          <t>Gerenciamento de Disponibilidade</t>
        </is>
      </c>
      <c r="D8" s="1" t="inlineStr">
        <is>
          <t>Urgente: Problema de inatividade do Serviço de Gerenciamento da AWS</t>
        </is>
      </c>
      <c r="E8" s="1" t="inlineStr">
        <is>
          <t>Service Outages and Maintenance</t>
        </is>
      </c>
      <c r="F8" s="1" t="inlineStr">
        <is>
          <t>Prezado time de suporte ao cliente,
Estou escrevendo para informar sobre um problema com seu Serviço de Gerenciamento da AWS, que recentemente enfrentou inatividade não planejada. Essa interrupção impactou significativamente o acesso dos clientes ao servidor virtual. Precisamos de assistência imediata para resolver o problema e garantir que não ocorram mais interrupções. Por favor, priorize a restauração da funcionalidade e mantenha-nos atualizados sobre seu progresso. Dependemos muito do seu serviço, e tais incidentes afetam criticamente nossas operações. Ação rápida seria apreciada. Entre em contato comigo pelo &lt;tel_num&gt; para mais discussões.
Obrigado,
&lt;name&gt;</t>
        </is>
      </c>
      <c r="G8" s="1" t="inlineStr">
        <is>
          <t>Incident</t>
        </is>
      </c>
      <c r="H8" s="1" t="inlineStr">
        <is>
          <t>Prezado &lt;name&gt;,
Obrigado por entrar em contato. Pedimos desculpas pelo inconveniente causado pela inatividade não planejada de nosso Serviço de Gerenciamento da AWS. Entendemos o impacto crítico em suas operações e estamos atualmente trabalhando para resolver o problema. Fique tranquilo, nossa equipe está priorizando a restauração da funcionalidade total do serviço. Manteremos você atualizado sobre nosso progresso e ações tomadas. Para mais discussões, por favor, aguarde uma ligação direta em breve.
Obrigado pela sua paciência e compreensão.
Atenciosamente,
Equipe do Service Desk</t>
        </is>
      </c>
      <c r="I8" s="1" t="inlineStr">
        <is>
          <t>medium</t>
        </is>
      </c>
      <c r="J8" s="1" t="inlineStr">
        <is>
          <t>['Service Outage', 'Urgent Issue', 'Technical Support', 'Problem Resolution', 'Service Notification', 'Service Disruption']</t>
        </is>
      </c>
      <c r="K8" s="1" t="inlineStr">
        <is>
          <t>pt</t>
        </is>
      </c>
      <c r="L8" s="1" t="n">
        <v>672</v>
      </c>
    </row>
    <row r="9" ht="16.5" customHeight="1">
      <c r="A9" s="1" t="n">
        <v>98</v>
      </c>
      <c r="B9" s="4" t="inlineStr">
        <is>
          <t>Solicitação de Serviço</t>
        </is>
      </c>
      <c r="C9" s="4" t="inlineStr">
        <is>
          <t>Gerenciamento Financeiro</t>
        </is>
      </c>
      <c r="D9" s="1" t="inlineStr">
        <is>
          <t>Solicitação de Soluções de Gerenciamento da AWS Eficientes em Custo</t>
        </is>
      </c>
      <c r="E9" s="1" t="inlineStr">
        <is>
          <t>Technical Support</t>
        </is>
      </c>
      <c r="F9" s="1" t="inlineStr">
        <is>
          <t>Caro Time de Suporte ao Cliente,
Espero que esta mensagem os encontre bem. Meu nome é &lt;name&gt; e atualmente estou supervisionando as operações no escritório de &lt;name&gt;. Temos utilizado seus Serviços de Gerenciamento da AWS no último ano e, embora o serviço tenha sido satisfatório, encontramos alguns desafios em relação aos altos custos operacionais associados a ele.
À luz dessas restrições financeiras, estamos buscando aconselhamento sobre como otimizar da melhor forma nossos Serviços de Gerenciamento da AWS existentes. Especificamente, estamos interessados em explorar soluções que sejam eficientes em custo e que possam ajudar a racionalizar nossas operações sem comprometer o desempenho ou a confiabilidade. Poderiam, por favor, nos fornecer insights ou recomendações sobre opções ou ajustes disponíveis que podemos considerar?
Compreender os detalhes do nosso uso da AWS e identificar áreas potenciais para economia de custos pode beneficiar muito nosso planejamento financeiro e estratégia operacional.
Muito obrigado pela sua assistência e por considerar nossa solicitação. Aguardo seu retorno em breve sobre possíveis soluções ou para agendar uma reunião com um consultor.
Atenciosamente,
&lt;name&gt;
Departamento de TI de &lt;name&gt;
Contato: &lt;tel_num&gt;</t>
        </is>
      </c>
      <c r="G9" s="1" t="inlineStr">
        <is>
          <t>Request</t>
        </is>
      </c>
      <c r="H9" s="1" t="inlineStr">
        <is>
          <t>Caro &lt;name&gt;,
Obrigado por entrar em contato conosco sobre suas preocupações em relação aos custos dos Serviços de Gerenciamento da AWS. Estamos felizes em saber que você considera nossos serviços satisfatórios e estamos aqui para ajudá-lo a explorar opções para torná-los mais eficientes em custo.
Para atender às suas necessidades, recomendamos os seguintes passos iniciais:
1. **AWS Cost Explorer e Dashboard de Faturamento**: Utilize essas ferramentas para obter insights detalhados sobre seus padrões de gastos e identificar serviços que estão consumindo mais recursos.
2. **Dimensionamento Adequado**: Assegure-se de que os recursos que você provisionou correspondam ao seu uso atual. Às vezes, reduzir ou mudar para famílias de instâncias mais novas e menos caras pode reduzir significativamente os custos.
3. **Instâncias Reservadas e Planos de Economia**: Avalie se comprometer-se com instâncias reservadas ou participar de planos de economia pode beneficiar você para serviços que têm uso estável e previsível.
4. **Auto Scaling**: Implemente auto-scaling onde aplicável para garantir que você pague apenas pelo que utilizar, escalando para baixo durante horários de pico e reduzindo quando não estiver em demanda.
5. **Otimizar Transferências de Dados**: Revise suas despesas de transferência de dados para ver se existem estratégias mais econômicas que você pode aplicar, como cache ou implantação de conteúdo por meio de Redes de Entrega de Conteúdo, como o Amazon CloudFront.
6. **Consulta**: Podemos agendar uma reunião com um de nossos consultores de otimização em nuvem que pode fornecer insights mais personalizados sobre seu uso atual.
Por favor, nos informe um horário conveniente para você discutir mais suas oportunidades. Estamos comprometidos em ajudá-lo a encontrar as melhores soluções para reduzir seus custos sem sacrificar desempenho ou confiabilidade.
Aguardamos ansiosamente para ajudá-lo mais.
Atenciosamente,
Equipe do Service Desk</t>
        </is>
      </c>
      <c r="I9" s="1" t="inlineStr">
        <is>
          <t>high</t>
        </is>
      </c>
      <c r="J9" s="1" t="inlineStr">
        <is>
          <t>['Technical Support', 'Customer Service', 'Product Support', 'General Inquiry', 'Cost Optimization', 'Cloud Services', 'Incident Report', 'Problem Resolution']</t>
        </is>
      </c>
      <c r="K9" s="1" t="inlineStr">
        <is>
          <t>pt</t>
        </is>
      </c>
      <c r="L9" s="1" t="n">
        <v>1259</v>
      </c>
    </row>
    <row r="10" ht="16.5" customHeight="1">
      <c r="A10" s="1" t="n">
        <v>104</v>
      </c>
      <c r="B10" s="4" t="inlineStr">
        <is>
          <t>Gerenciamento de Incidentes</t>
        </is>
      </c>
      <c r="C10" s="4" t="inlineStr">
        <is>
          <t>Gerenciamento de Problemas</t>
        </is>
      </c>
      <c r="D10" s="1" t="inlineStr">
        <is>
          <t>Interrupção do Roteador Cisco</t>
        </is>
      </c>
      <c r="E10" s="1" t="inlineStr">
        <is>
          <t>Service Outages and Maintenance</t>
        </is>
      </c>
      <c r="F10" s="1" t="inlineStr">
        <is>
          <t>Caro Suporte ao Cliente,
Estou escrevendo para informá-los sobre um problema técnico de alta prioridade que estamos enfrentando com o Roteador Cisco ISR4331. O erro associado a este equipamento levou a uma interrupção total do serviço que afeta vários clientes, necessitando de atenção e resolução imediatas.
Este problema foi detectado pela primeira vez em &lt;date&gt;, e impactou severamente nossa entrega de serviços. Recebemos inúmeros relatórios de clientes que não conseguem acessar seus serviços, e isso está causando grandes interrupções operacionais para eles. Parece que o roteador é incapaz de manter a conectividade e essa interrupção é consistente em várias redes conectadas. Verificamos todas as conexões e configurações para garantir que o problema não está em nossos sistemas internos. Consequentemente, suspeitamos fortemente de uma falha originada no hardware ou firmware do roteador que precisa de uma investigação urgente.
Dada a natureza crítica deste problema, estamos escalando isso para a mais alta prioridade. Nossos clientes dependem de nós para um serviço confiável, e é imperativo que essa interrupção seja resolvida rapidamente para minimizar perdas adicionais e restaurar a confiança dos afetados. Agradeceríamos se vocês pudessem despachar uma equipe técnica sênior para avaliar e tratar a causa raiz o mais cedo possível.
Vocês poderiam, por favor, confirmar o recebimento desta comunicação e fornecer orientações sobre os próximos passos? Confiamos em sua proficiência e contamos com sua experiência para nos ajudar a restaurar a funcionalidade total o mais rápido possível.
Para fins de documentação, nosso número da conta é &lt;acc_num&gt;. Por favor, entre em contato conosco por este e-mail ou pelo &lt;tel_num&gt; caso necessitem de mais informações ou esclarecimentos.
Obrigado pela sua atenção rápida a este problema crítico.
Atenciosamente,
&lt;name&gt;
Equipe de Serviços de TI</t>
        </is>
      </c>
      <c r="G10" s="1" t="inlineStr">
        <is>
          <t>Incident</t>
        </is>
      </c>
      <c r="H10" s="1" t="inlineStr">
        <is>
          <t>Caro &lt;name&gt;,
Obrigado por entrar em contato e nos informar sobre o problema crítico com o Roteador Cisco ISR4331. Entendemos a urgência e o impacto que essa interrupção está causando em seus serviços e clientes.
Nossa equipe técnica está priorizando seu caso e irá coordenar com vocês em breve para tratar a falha suspeita de hardware ou firmware. Recomendamos preparar quaisquer logs ou dados relevantes que possam ajudar em um diagnóstico e resolução rápidos.
Por favor, aguarde um membro da equipe técnica sênior entrando em contato dentro da próxima hora para começar a resolver este problema. Nosso objetivo é restaurar a funcionalidade total e manteremos vocês atualizados ao longo do processo.
Obrigado pela sua paciência e confiança em nossos serviços. Estamos comprometidos em resolver esta questão com a máxima urgência.
Atenciosamente,
[Seu Nome]
Equipe de Suporte ao Cliente</t>
        </is>
      </c>
      <c r="I10" s="1" t="inlineStr">
        <is>
          <t>high</t>
        </is>
      </c>
      <c r="J10" s="1" t="inlineStr">
        <is>
          <t>['Technical Support', 'Service Disruption', 'Urgent Issue', 'Hardware Failure', 'System Crash', 'Incident Report']</t>
        </is>
      </c>
      <c r="K10" s="1" t="inlineStr">
        <is>
          <t>pt</t>
        </is>
      </c>
      <c r="L10" s="1" t="n">
        <v>1904</v>
      </c>
    </row>
    <row r="11" ht="16.5" customHeight="1">
      <c r="A11" s="1" t="n">
        <v>110</v>
      </c>
      <c r="B11" s="4" t="inlineStr">
        <is>
          <t>Gerenciamento de Incidentes</t>
        </is>
      </c>
      <c r="C11" s="4" t="inlineStr">
        <is>
          <t>Gerenciamento de Problemas</t>
        </is>
      </c>
      <c r="D11" s="1" t="inlineStr">
        <is>
          <t>Urgente: Problemas de Conectividade de Rede do Roteador Cisco ISR4331</t>
        </is>
      </c>
      <c r="E11" s="1" t="inlineStr">
        <is>
          <t>Technical Support</t>
        </is>
      </c>
      <c r="F11" s="1" t="inlineStr">
        <is>
          <t>Caro Time de Suporte ao Cliente,
Espero que esta mensagem o encontre bem. Estou escrevendo para trazer formalmente à sua atenção um problema relacionado à conectividade de rede do meu Roteador Cisco ISR4331. Meu nome é &lt;name&gt;, e venho enfrentando problemas de forma consistente nas últimas semanas. O dispositivo, que me foi recomendado por seu desempenho de alta reputação, infelizmente, não está entregando o que era esperado.
O problema principal é que o roteador falha em manter uma velocidade de rede consistente e frequentemente desconecta. Isso interrompeu significativamente meus arranjos de trabalho em casa, onde uma conectividade de internet confiável é crucial. Inicialmente, pensei que isso poderia estar relacionado ao meu provedor de serviços de internet, mas após diversas verificações e consultas com eles, foi confirmado que o problema não é do lado deles.
Para fornecer mais detalhes, a conexão parece cair de forma imprevisível, às vezes até várias vezes na mesma hora, e nesse momentos, nenhuma atividade específica está sendo realizada que poderia sobrecarregar a rede. Já tentei etapas básicas de solução de problemas, como reiniciar o roteador, redefini-lo para as configurações de fábrica e atualizar o firmware. Nenhuma dessas medidas trouxe um resultado positivo.
Dadas essas circunstâncias, solicito gentilmente sua assistência para resolver essa situação o mais rápido possível. Talvez haja uma configuração avançada ou uma alteração que possa estabilizar o desempenho da rede do ISR4331. Sua orientação e suporte especializados na resolução deste assunto seriam inestimáveis.
Obrigado pela sua atenção a este problema. Por favor, me avise se você precisar de informações adicionais ou se houver detalhes específicos sobre a configuração que você precisa para ajudar mais.
Atenciosamente,
&lt;name&gt;
&lt;tel_num&gt;
&lt;acc_num&gt;</t>
        </is>
      </c>
      <c r="G11" s="1" t="inlineStr">
        <is>
          <t>Problem</t>
        </is>
      </c>
      <c r="H11" s="1" t="inlineStr">
        <is>
          <t>Caro &lt;name&gt;,
Obrigado por entrar em contato conosco sobre os problemas de conectividade com o seu Roteador Cisco ISR4331. Entendemos a importância de um desempenho de rede confiável e estamos aqui para ajudar.
Com base nas informações que você forneceu, você já tomou medidas significativas para solucionar o problema. Recomendamos verificar estes pontos adicionais:
1. **Verifique Cabos e Conexões**: Certifique-se de que todos os cabos estão conectados de forma segura e sem danos.
2. **Verifique a Colocação do Roteador**: Coloque o seu roteador em um local central, livre de obstruções, para melhorar a força do sinal.
3. **Desative QoS**: Às vezes, desativar o Quality of Service (QoS) pode estabilizar as velocidades.
4. **Verifique a Interferência**: Considere a possível interferência de outros dispositivos eletrônicos e tente mudar o canal sem fio.
Se isso não melhorar a situação, entre em contato conosco com os registros do roteador e quaisquer mensagens de erro que você possa ter observado, e iremos investigar mais a fundo. 
Sinta-se à vontade para nos contatar a qualquer momento para mais assistência. Nosso objetivo é resolver isso prontamente para que você possa retomar suas atividades normais de trabalho.
Atenciosamente,
Time de Suporte ao Cliente</t>
        </is>
      </c>
      <c r="I11" s="1" t="inlineStr">
        <is>
          <t>medium</t>
        </is>
      </c>
      <c r="J11" s="1" t="inlineStr">
        <is>
          <t>['Network Issue', 'Technical Support', 'Urgent Issue', 'Problem Resolution', 'Service Disruption', 'Technical Guidance']</t>
        </is>
      </c>
      <c r="K11" s="1" t="inlineStr">
        <is>
          <t>pt</t>
        </is>
      </c>
      <c r="L11" s="1" t="n">
        <v>1851</v>
      </c>
    </row>
    <row r="12" ht="16.5" customHeight="1">
      <c r="A12" s="1" t="n">
        <v>111</v>
      </c>
      <c r="B12" s="4" t="inlineStr">
        <is>
          <t>Gerenciamento Financeiro</t>
        </is>
      </c>
      <c r="C12" s="4" t="inlineStr">
        <is>
          <t>Gerenciamento de Incidentes</t>
        </is>
      </c>
      <c r="D12" s="1" t="inlineStr">
        <is>
          <t>Discrepância de Cobrança no Google Workspace</t>
        </is>
      </c>
      <c r="E12" s="1" t="inlineStr">
        <is>
          <t>Billing and Payments</t>
        </is>
      </c>
      <c r="F12" s="1" t="inlineStr">
        <is>
          <t>Prezada equipe de suporte de TI,
Estou escrevendo para relatar um valor de cobrança incorreto na minha assinatura do Google Workspace Business Standard sob a conta &lt;acc_num&gt;. Por favor, revise e ajuste a fatura. Aguardando sua resposta rápida.
Atenciosamente,
&lt;name&gt;</t>
        </is>
      </c>
      <c r="G12" s="1" t="inlineStr">
        <is>
          <t>Incident</t>
        </is>
      </c>
      <c r="H12" s="1" t="inlineStr">
        <is>
          <t>Prezado &lt;name&gt;,
Obrigado por entrar em contato. Revisaremos os detalhes de cobrança de sua assinatura do Google Workspace Business Standard sob a conta &lt;acc_num&gt;. Nossa equipe investigará a discrepância e fará os ajustes necessários. Atualizaremos você assim que possível com uma resolução.
Atenciosamente,
equipe de suporte de TI</t>
        </is>
      </c>
      <c r="I12" s="1" t="inlineStr">
        <is>
          <t>low</t>
        </is>
      </c>
      <c r="J12" s="1" t="inlineStr">
        <is>
          <t>['Billing Issue', 'Customer Service', 'Account Assistance', 'Payment Processing']</t>
        </is>
      </c>
      <c r="K12" s="1" t="inlineStr">
        <is>
          <t>pt</t>
        </is>
      </c>
      <c r="L12" s="1" t="n">
        <v>269</v>
      </c>
    </row>
    <row r="13" ht="16.5" customHeight="1">
      <c r="A13" s="1" t="n">
        <v>123</v>
      </c>
      <c r="B13" s="4" t="inlineStr">
        <is>
          <t>Gerenciamento de Incidentes</t>
        </is>
      </c>
      <c r="C13" s="4" t="inlineStr">
        <is>
          <t>Gerenciamento de Capacidade</t>
        </is>
      </c>
      <c r="D13" s="1" t="inlineStr">
        <is>
          <t>Problemas de Performance de Rede com o Roteador Cisco ISR4331</t>
        </is>
      </c>
      <c r="E13" s="1" t="inlineStr">
        <is>
          <t>Technical Support</t>
        </is>
      </c>
      <c r="F13" s="1" t="inlineStr">
        <is>
          <t>Caro Time de Suporte ao Cliente,
Espero que esta mensagem os encontre bem. Estou escrevendo para informar sobre um problema crítico que estamos enfrentando com o Roteador Cisco ISR4331 em nosso ambiente de pequeno escritório. Nas últimas semanas, temos enfrentado problemas significativos de performance na rede e um padrão preocupante de quedas de conectividade de WiFi. Os roteadores parecem não conseguir manter uma conexão estável, levando a interrupções esporádicas na rede.
Nosso escritório depende fortemente de uma conectividade de internet consistente para realizar operações diárias, interagir com clientes e apoiar capacidades de trabalho remoto. A instabilidade de nossa configuração de rede atual, devido à degradação de desempenho deste roteador, resulta em interrupções frequentes no serviço, o que impede a produtividade e afeta os processos de negócios como um todo.
Tentamos ações corretivas como reiniciar o dispositivo, atualizar o firmware e ajustar configurações, tudo isso sem resolver o problema. Nossa equipe interna de TI realizou diagnósticos completos, descartando interferências externas ou falhas em outros componentes da rede. Tudo aponta para um problema com os próprios roteadores.
Dada a importância da confiabilidade da rede para nossas operações, apreciaríamos se vocês pudessem acelerar a revisão deste assunto. Ter o nosso Roteador Cisco ISR4331 em condição funcional ideal é fundamental para a eficiência do nosso escritório. Gostaríamos de orientação sobre passos avançados de solução de problemas que possamos ter negligenciado ou se o reparo ou substituição é recomendável.
Pedimos gentilmente que nos forneçam quaisquer soluções possíveis ou que organizem uma consulta de suporte técnico assim que possível. Agradecemos pela pronta atenção a esta questão e espero sua resposta rápida.
Obrigado e melhores cumprimentos,
&lt;name&gt;
Gerente de Operações Técnicas
&lt;name&gt; Solutions Inc.
&lt;tel_num&gt;
&lt;email_address&gt;</t>
        </is>
      </c>
      <c r="G13" s="1" t="inlineStr">
        <is>
          <t>Incident</t>
        </is>
      </c>
      <c r="H13" s="1" t="inlineStr">
        <is>
          <t>Caro &lt;name&gt;,
Obrigado por entrar em contato conosco sobre os problemas de performance de rede com seu Roteador Cisco ISR4331. Entendemos a importância de manter uma conexão estável para suas operações e pedimos sinceras desculpas pelo inconveniente causado.
Para acelerar o processo de resolução, recomendo os seguintes passos avançados de solução de problemas:
1. Verifique novamente a fonte de alimentação para garantir que está estável e não está causando desconexões intermitentes.
2. Reavalie o ambiente do roteador para garantir ventilação adequada, pois o superaquecimento pode afetar o desempenho.
3. Verifique se há alguma atividade ou tráfego incomum que poderia estar impactando o desempenho do roteador.
Se esses passos não resolverem o problema, isso pode indicar um problema de hardware mais profundo. Vou providenciar uma consulta de suporte técnico com um de nossos especialistas para melhor diagnosticar o problema. Entrarei em contato em breve para confirmar um horário conveniente para esta consulta.
Enquanto isso, você poderia confirmar sua versão atual do firmware e quaisquer mensagens de erro específicas que você possa ter encontrado? Esta informação seria útil para nossa equipe se preparar para a consulta.
Por favor, esteja certo de que estamos priorizando este assunto para restaurar a estabilidade da sua rede o mais rápido possível.
Obrigado pela sua paciência e compreensão.
Atenciosamente,
&lt;name&gt;
Equipe de Suporte ao Cliente</t>
        </is>
      </c>
      <c r="I13" s="1" t="inlineStr">
        <is>
          <t>high</t>
        </is>
      </c>
      <c r="J13" s="1" t="inlineStr">
        <is>
          <t>['Network Issue', 'Technical Support', 'System Maintenance', 'Performance Tuning', 'Incident Report', 'Technical Guidance', 'Service Recovery']</t>
        </is>
      </c>
      <c r="K13" s="1" t="inlineStr">
        <is>
          <t>pt</t>
        </is>
      </c>
      <c r="L13" s="1" t="n">
        <v>1953</v>
      </c>
    </row>
    <row r="14" ht="16.5" customHeight="1">
      <c r="A14" s="1" t="n">
        <v>125</v>
      </c>
      <c r="B14" s="4" t="inlineStr">
        <is>
          <t>Solicitação de Serviço</t>
        </is>
      </c>
      <c r="C14" s="4" t="inlineStr">
        <is>
          <t>Gerenciamento de Capacidade</t>
        </is>
      </c>
      <c r="D14" s="1" t="inlineStr">
        <is>
          <t>Solicitação de Otimização das Instâncias da AWS</t>
        </is>
      </c>
      <c r="E14" s="1" t="inlineStr">
        <is>
          <t>Technical Support</t>
        </is>
      </c>
      <c r="F14" s="1" t="inlineStr">
        <is>
          <t>Caro time de suporte de Serviços de TI,
Espero que esta mensagem os encontre bem. Estou entrando em contato para solicitar orientação e assistência na otimização de nossas instâncias da AWS para melhorar o desempenho em nossa infraestrutura de computação em nuvem. Como cliente utilizando seu Serviço de Gerenciamento da AWS, notamos algumas áreas onde o desempenho poderia ser aprimorado. Acreditamos que com a intervenção de especialistas, isso poderia levar a uma melhor eficiência e relação custo-benefício.
Considerando as demandas atuais da empresa por maior produtividade, estamos priorizando essa tarefa de modificação em um nível médio dentro de nossos objetivos. Agradeceríamos suas percepções e sugestões sobre melhores práticas, configurações ou quaisquer ferramentas e serviços necessários que vocês possam oferecer para alcançar esses objetivos.
Por favor, informe-nos um horário conveniente para uma discussão detalhada com nossa equipe técnica. Estamos ansiosos por sua experiência e atenção rápida a este assunto. Para quaisquer perguntas imediatas, sinta-se à vontade para entrar em contato por e-mail ou através do telefone &lt;tel_num&gt;.
Obrigado pelo seu apoio.
Atenciosamente,
&lt;name&gt;</t>
        </is>
      </c>
      <c r="G14" s="1" t="inlineStr">
        <is>
          <t>Change</t>
        </is>
      </c>
      <c r="H14" s="1" t="inlineStr">
        <is>
          <t>Caro &lt;name&gt;,
Obrigado por entrar em contato conosco sobre a otimização de suas instâncias da AWS. Estamos ansiosos para ajudá-lo a melhorar sua infraestrutura de computação em nuvem para obter melhor desempenho e eficiência de custos.
Para iniciar, recomendamos agendar uma discussão com nossa equipe técnica para explorar soluções potenciais personalizadas para suas necessidades específicas. Por favor, forneça-nos alguns horários adequados, e organizaremos uma reunião na sua conveniência.
Enquanto isso, sugerimos começar com nossos recursos de otimização da AWS, que incluem melhores práticas e ferramentas que podem se alinhar com seus objetivos. Estamos comprometidos em assisti-lo de forma ágil e eficaz.
Para quaisquer dúvidas imediatas, sinta-se à vontade para nos contatar neste endereço de e-mail ou através do número de telefone fornecido.
Estamos ansiosos para colaborar com sua equipe.
Atenciosamente,
Sua equipe de suporte de TI</t>
        </is>
      </c>
      <c r="I14" s="1" t="inlineStr">
        <is>
          <t>medium</t>
        </is>
      </c>
      <c r="J14" s="1" t="inlineStr">
        <is>
          <t>['Technical Support', 'IT Support', 'Performance Tuning', 'Technical Guidance', 'General Inquiry', 'System Maintenance', 'Problem Resolution']</t>
        </is>
      </c>
      <c r="K14" s="1" t="inlineStr">
        <is>
          <t>pt</t>
        </is>
      </c>
      <c r="L14" s="1" t="n">
        <v>1206</v>
      </c>
    </row>
    <row r="15" ht="16.5" customHeight="1">
      <c r="A15" s="1" t="n">
        <v>151</v>
      </c>
      <c r="B15" s="4" t="inlineStr">
        <is>
          <t>Gerenciamento de Incidentes</t>
        </is>
      </c>
      <c r="C15" s="4" t="inlineStr">
        <is>
          <t>Gerenciamento de Problemas</t>
        </is>
      </c>
      <c r="D15" s="1" t="inlineStr">
        <is>
          <t>Assistência Imediata Necessária para Problemas com o Jira Software</t>
        </is>
      </c>
      <c r="E15" s="1" t="inlineStr">
        <is>
          <t>Technical Support</t>
        </is>
      </c>
      <c r="F15" s="1" t="inlineStr">
        <is>
          <t>Olá, equipe de suporte, nosso membro da equipe &lt;name&gt; está enfrentando problemas com os recursos de gerenciamento de projetos do Jira Software 8.20. Essas falhas estão afetando significativamente nosso trabalho. Precisamos de assistência técnica imediata para resolver esse assunto. Por favor, forneça orientação assim que possível. Obrigado.</t>
        </is>
      </c>
      <c r="G15" s="1" t="inlineStr">
        <is>
          <t>Incident</t>
        </is>
      </c>
      <c r="H15" s="1" t="inlineStr">
        <is>
          <t>Assunto: Re: Assistência Imediata Necessária para Problemas com o Jira Software
Olá,
Obrigado por entrar em contato conosco. Entendemos a urgência da situação em relação aos problemas com o Jira Software 8.20. Para ajudá-lo prontamente, por favor, certifique-se de que o software está atualizado para a versão mais recente e reinicie o aplicativo. Se o problema persistir, você poderia fornecer os recursos específicos de gerenciamento de projetos afetados? Isso nos ajudará a assisti-lo de forma mais eficaz. Nossa equipe está pronta para fornecer mais suporte técnico para resolver este assunto.
Atenciosamente,
equipe de suporte</t>
        </is>
      </c>
      <c r="I15" s="1" t="inlineStr">
        <is>
          <t>medium</t>
        </is>
      </c>
      <c r="J15" s="1" t="inlineStr">
        <is>
          <t>['Technical Support', 'Software Bug', 'IT Support', 'Problem Resolution', 'Urgent Issue']</t>
        </is>
      </c>
      <c r="K15" s="1" t="inlineStr">
        <is>
          <t>pt</t>
        </is>
      </c>
      <c r="L15" s="1" t="n">
        <v>342</v>
      </c>
    </row>
    <row r="16" ht="16.5" customHeight="1">
      <c r="A16" s="1" t="n">
        <v>162</v>
      </c>
      <c r="B16" s="4" t="inlineStr">
        <is>
          <t>Gerenciamento de Incidentes</t>
        </is>
      </c>
      <c r="C16" s="4" t="inlineStr">
        <is>
          <t>Gerenciamento de Disponibilidade</t>
        </is>
      </c>
      <c r="D16" s="1" t="inlineStr">
        <is>
          <t>Suporte urgente da AWS necessário</t>
        </is>
      </c>
      <c r="E16" s="1" t="inlineStr">
        <is>
          <t>Technical Support</t>
        </is>
      </c>
      <c r="F16" s="1" t="inlineStr">
        <is>
          <t>Prezada equipe de suporte,
Meu nome é &lt;name&gt; e eu represento &lt;company_name&gt;. Estamos enfrentando problemas significativos com nossa infraestrutura da AWS, gerenciada pelo seu Serviço de Gerenciamento da AWS, o que está afetando o tempo de atividade e o desempenho geral do nosso site. Isso teve um impacto considerável nas operações do nosso negócio, e precisamos de assistência imediata para resolver esses problemas.
Você poderia, por favor, priorizar nosso pedido e nos fornecer suporte urgente para otimizar e estabilizar nossa infraestrutura? Agradecemos sua atenção rápida a esta questão e aguardamos sua resposta ágil.
Obrigado pela sua compreensão e cooperação.
Atenciosamente,
&lt;name&gt;
&lt;email_address&gt;
&lt;tel_num&gt;</t>
        </is>
      </c>
      <c r="G16" s="1" t="inlineStr">
        <is>
          <t>Request</t>
        </is>
      </c>
      <c r="H16" s="1" t="inlineStr">
        <is>
          <t>Caro &lt;name&gt;,
Obrigado por entrar em contato conosco. Entendemos a urgência da sua situação em relação aos problemas da infraestrutura da AWS na &lt;company_name&gt;. Fique tranquilo, estamos priorizando seu pedido de suporte imediato para otimizar e estabilizar seu sistema. Nossa equipe entrará em contato em breve para abordar o problema e trabalhar em uma solução. Agradecemos sua paciência e cooperação.
Atenciosamente,
[Sua equipe de suporte]</t>
        </is>
      </c>
      <c r="I16" s="1" t="inlineStr">
        <is>
          <t>high</t>
        </is>
      </c>
      <c r="J16" s="1" t="inlineStr">
        <is>
          <t>['Technical Support', 'Urgent Issue', 'Service Disruption', 'Performance Tuning', 'Product Support', 'System Maintenance']</t>
        </is>
      </c>
      <c r="K16" s="1" t="inlineStr">
        <is>
          <t>pt</t>
        </is>
      </c>
      <c r="L16" s="1" t="n">
        <v>722</v>
      </c>
    </row>
    <row r="17" ht="16.5" customHeight="1">
      <c r="A17" s="1" t="n">
        <v>182</v>
      </c>
      <c r="B17" s="4" t="inlineStr">
        <is>
          <t>Gerenciamento de Incidentes</t>
        </is>
      </c>
      <c r="C17" s="4" t="inlineStr">
        <is>
          <t>Gerenciamento de Configuração</t>
        </is>
      </c>
      <c r="D17" s="1" t="inlineStr">
        <is>
          <t>Problema de Piscar da Tela no Dell XPS</t>
        </is>
      </c>
      <c r="E17" s="1" t="inlineStr">
        <is>
          <t>Product Support</t>
        </is>
      </c>
      <c r="F17" s="1" t="inlineStr">
        <is>
          <t>Caro Suporte ao Cliente,
Estou enfrentando problemas de piscar a tela com meu Dell XPS 13 9310 quando está funcionando com a bateria. O dispositivo funciona bem quando está conectado, mas o piscar começa assim que é desconectado. Esse problema está afetando minha produtividade e eu apreciaria qualquer orientação que você possa fornecer para resolver a questão. Eu tentei passos básicos de solução de problemas, como reiniciar e atualizar drivers, mas o problema persiste.
Obrigado pela sua pronta assistência. Por favor, me avise se precisar de mais informações.
Atenciosamente,
&lt;name&gt; &lt;tel_num&gt; &lt;acc_num&gt;</t>
        </is>
      </c>
      <c r="G17" s="1" t="inlineStr">
        <is>
          <t>Problem</t>
        </is>
      </c>
      <c r="H17" s="1" t="inlineStr">
        <is>
          <t>Caro &lt;name&gt;,
Obrigado por entrar em contato. Para o piscar da tela no seu Dell XPS 13 quando funcionando com a bateria, por favor, tente os seguintes passos: 
1. Vá para as opções de energia e defina seu dispositivo para o modo de alto desempenho.
2. Desative a aceleração de hardware nas configurações gráficas.
3. Realize uma atualização de BIOS no site de Suporte da Dell. 
4. Se o problema persistir, considere redefinir as configurações de gerenciamento de energia no gerenciador de dispositivos.
Se precisar de mais assistência, sinta-se à vontade para nos contatar.
Atenciosamente,
Equipe de Suporte ao Cliente</t>
        </is>
      </c>
      <c r="I17" s="1" t="inlineStr">
        <is>
          <t>medium</t>
        </is>
      </c>
      <c r="J17" s="1" t="inlineStr">
        <is>
          <t>['Technical Support', 'Product Support', 'Hardware Failure', 'Performance Tuning', 'Urgent Issue']</t>
        </is>
      </c>
      <c r="K17" s="1" t="inlineStr">
        <is>
          <t>pt</t>
        </is>
      </c>
      <c r="L17" s="1" t="n">
        <v>610</v>
      </c>
    </row>
    <row r="18" ht="16.5" customHeight="1">
      <c r="A18" s="1" t="n">
        <v>183</v>
      </c>
      <c r="B18" s="4" t="inlineStr">
        <is>
          <t>Gerenciamento Financeiro</t>
        </is>
      </c>
      <c r="C18" s="4" t="inlineStr">
        <is>
          <t>Gerenciamento de Incidentes</t>
        </is>
      </c>
      <c r="D18" s="1" t="inlineStr">
        <is>
          <t>Cobrança Incorreta para o MySQL 8.0.30 Relato da Assinatura</t>
        </is>
      </c>
      <c r="E18" s="1" t="inlineStr">
        <is>
          <t>Billing and Payments</t>
        </is>
      </c>
      <c r="F18" s="1" t="inlineStr">
        <is>
          <t>Caro time de suporte ao cliente,
Estou escrevendo para relatar um problema com a cobrança da minha assinatura do MySQL 8.0.30. O valor cobrado parece estar incorreto. Gentileza investigar esta questão e fornecer uma resolução o mais rápido possível.
Obrigado,
&lt;name&gt;
&lt;acc_num&gt;</t>
        </is>
      </c>
      <c r="G18" s="1" t="inlineStr">
        <is>
          <t>Incident</t>
        </is>
      </c>
      <c r="H18" s="1" t="inlineStr">
        <is>
          <t>Caro &lt;name&gt;,
Obrigado por trazer isso à nossa atenção. Estamos investigando o problema de cobrança para sua assinatura do MySQL 8.0.30. Nossa equipe o atualizará com uma resolução em breve.
Atenciosamente,
Equipe de Suporte ao Cliente</t>
        </is>
      </c>
      <c r="I18" s="1" t="inlineStr">
        <is>
          <t>medium</t>
        </is>
      </c>
      <c r="J18" s="1" t="inlineStr">
        <is>
          <t>['Billing Issue', 'Customer Service', 'Problem Resolution', 'Account Assistance']</t>
        </is>
      </c>
      <c r="K18" s="1" t="inlineStr">
        <is>
          <t>pt</t>
        </is>
      </c>
      <c r="L18" s="1" t="n">
        <v>278</v>
      </c>
    </row>
    <row r="19" ht="16.5" customHeight="1">
      <c r="A19" s="1" t="n">
        <v>189</v>
      </c>
      <c r="B19" s="4" t="inlineStr">
        <is>
          <t>Gerenciamento de Incidentes</t>
        </is>
      </c>
      <c r="C19" s="4" t="inlineStr">
        <is>
          <t>Gerenciamento de Problemas</t>
        </is>
      </c>
      <c r="D19" s="1" t="inlineStr">
        <is>
          <t>Problema de Conectividade Wi-Fi</t>
        </is>
      </c>
      <c r="E19" s="1" t="inlineStr">
        <is>
          <t>Customer Service</t>
        </is>
      </c>
      <c r="F19" s="1" t="inlineStr">
        <is>
          <t>Prezado Equipe de Suporte ao Cliente, Espero que esta mensagem o encontre bem. Estou escrevendo para chamar sua atenção para um problema que estou enfrentando com a impressora HP DeskJet 3755 que comprei em sua loja. Apesar de seguir as instruções de configuração meticulosamente, a impressora não consegue se conectar a nenhuma rede Wi-Fi. Esse problema inibe significativamente suas capacidades de impressão sem fio, que é uma das principais razões pelas quais escolhi este modelo. A experiência de impressão, especialmente a conveniência de imprimir de vários dispositivos de forma sem fio, foi um dos principais pontos de venda dessa impressora. Infelizmente, não consigo acessar esses recursos. Já tentei etapas comuns de solução de problemas, como reiniciar o roteador, garantir que o firmware esteja atualizado e redefinir as configurações de rede da impressora. Lamentavelmente, nenhuma dessas soluções resolveu o problema. Seria possível que sua equipe de suporte técnico me ajudasse mais a resolver esse problema de conectividade? Além disso, se houver especificações ou requisitos adicionais que eu possa ter deixado passar, por favor, avise. Estou ansioso para retomar a utilização da gama completa de recursos da impressora o mais rápido possível. Agradeço antecipadamente pela sua ajuda. Aguardando sua resposta rápida. Atenciosamente, &lt;name&gt;</t>
        </is>
      </c>
      <c r="G19" s="1" t="inlineStr">
        <is>
          <t>Problem</t>
        </is>
      </c>
      <c r="H19" s="1" t="inlineStr">
        <is>
          <t>Prezado &lt;name&gt;,
Obrigado por entrar em contato sobre o problema de conectividade Wi-Fi com sua impressora HP DeskJet 3755. Sinto muito em saber das dificuldades que você está enfrentando.
Para te ajudar melhor, por favor, tente as seguintes etapas se você ainda não o fez:
1. Certifique-se de que sua impressora está dentro do alcance do seu roteador.
2. Confrime que sua rede Wi-Fi está operacional e não está sobrecarregada.
3. Verifique novamente as configurações de conectividade de rede no painel de controle da sua impressora.
Se o problema persistir após essas etapas, nossa equipe de suporte técnico está pronta para te ajudar mais. Por favor, entre em contato com eles diretamente pelo &lt;tel_num&gt; ou responda a este e-mail com um horário adequado para um retorno.
Além disso, verifique se há alguma interferência de outros dispositivos eletrônicos ao redor da impressora e do roteador, o que pode impactar o sinal.
Estamos comprometidos em ajudá-lo a restaurar a funcionalidade sem fio de sua impressora prontamente. Obrigado pela sua paciência e compreensão.
Atenciosamente,
Equipe de Suporte ao Cliente</t>
        </is>
      </c>
      <c r="I19" s="1" t="inlineStr">
        <is>
          <t>high</t>
        </is>
      </c>
      <c r="J19" s="1" t="inlineStr">
        <is>
          <t>['Technical Support', 'Product Support', 'Network Issue', 'Software Bug', 'Problem Resolution', 'Hardware Failure']</t>
        </is>
      </c>
      <c r="K19" s="1" t="inlineStr">
        <is>
          <t>pt</t>
        </is>
      </c>
      <c r="L19" s="1" t="n">
        <v>1356</v>
      </c>
    </row>
    <row r="20" ht="16.5" customHeight="1">
      <c r="A20" s="1" t="n">
        <v>194</v>
      </c>
      <c r="B20" s="4" t="inlineStr">
        <is>
          <t>Gerenciamento de Incidentes</t>
        </is>
      </c>
      <c r="C20" s="4" t="inlineStr">
        <is>
          <t>Gerenciamento de Ativos de TI</t>
        </is>
      </c>
      <c r="D20" s="1" t="inlineStr">
        <is>
          <t>Buscando Assistência Imediata para Problema de Ruído da Impressora HP DeskJet 3755</t>
        </is>
      </c>
      <c r="E20" s="1" t="inlineStr">
        <is>
          <t>Customer Service</t>
        </is>
      </c>
      <c r="F20" s="1" t="inlineStr">
        <is>
          <t>Caro time de Suporte ao Cliente, espero que esta mensagem os encontre bem. Estou entrando em contato para buscar assistência em relação a um problema que venho enfrentando com minha impressora HP DeskJet 3755, que tem emitido um ruído incomumente alto durante o processo de impressão. Este problema começou recentemente e é bastante preocupante, pois interrompe a função de impressão silenciosa que eu esperava deste modelo.
O ruído alto aparece sempre que um trabalho de impressão é iniciado, continuando durante todo o processo. Não estou certo se é um problema mecânico ou algo que pode ser ajustado por meio de configurações ou manutenção.
Dado que a HP DeskJet 3755 é vital para minhas necessidades diárias de impressão, estou ansioso para encontrar uma solução para este problema rapidamente. Agradeceria sua orientação sobre os passos de solução de problemas necessários ou se uma visita de serviço é necessária.
Quaisquer instruções detalhadas ou sugestões para resolver esse problema de ruído seriam muito úteis. Por favor, me avise se precisar de mais informações da minha parte para facilitar o processo de solução de problemas.
Obrigado pela sua atenção rápida a este assunto. Aguardo sua resposta rápida e uma resolução. Atenciosamente, &lt;name&gt;</t>
        </is>
      </c>
      <c r="G20" s="1" t="inlineStr">
        <is>
          <t>Incident</t>
        </is>
      </c>
      <c r="H20" s="1" t="inlineStr">
        <is>
          <t>Caro &lt;name&gt;,
Obrigado por entrar em contato conosco sobre o problema de ruído da sua impressora HP DeskJet 3755. Peço desculpas pela inconveniência que essa interrupção está causando. Para resolver isso, por favor, siga estes passos iniciais de solução de problemas:
1. Certifique-se de que a impressora está em uma superfície estável e plana.
2. Verifique e remova quaisquer obstruções ou papel preso dentro.
3. Inspecione os cartuchos e os rolos de papel em busca de danos visíveis ou desalinhamento.
4. Atualize o firmware da impressora pelo site da HP, se aplicável.
5. Redefina a impressora desconectando-a por um minuto e, em seguida, conectando-a novamente.
Se o problema persistir após esses passos, pode ser necessário uma avaliação profissional. Por favor, nos informe se uma visita de serviço é necessária, fornecendo sua localização, para que possamos ajudar você mais.
Agradecemos sua paciência e esperamos resolver isso rapidamente.
Atenciosamente,
Equipe de Suporte ao Cliente</t>
        </is>
      </c>
      <c r="I20" s="1" t="inlineStr">
        <is>
          <t>medium</t>
        </is>
      </c>
      <c r="J20" s="1" t="inlineStr">
        <is>
          <t>['Technical Support', 'Product Support', 'Hardware Failure', 'Problem Resolution', 'Service Recovery']</t>
        </is>
      </c>
      <c r="K20" s="1" t="inlineStr">
        <is>
          <t>pt</t>
        </is>
      </c>
      <c r="L20" s="1" t="n">
        <v>1260</v>
      </c>
    </row>
    <row r="21" ht="16.5" customHeight="1">
      <c r="A21" s="1" t="n">
        <v>201</v>
      </c>
      <c r="B21" s="4" t="inlineStr">
        <is>
          <t>Gerenciamento de Incidentes</t>
        </is>
      </c>
      <c r="C21" s="4" t="inlineStr">
        <is>
          <t>Gerenciamento de Mudanças</t>
        </is>
      </c>
      <c r="D21" s="1" t="inlineStr">
        <is>
          <t>Solicitação de Assistência com Erro de Instalação do Office 365</t>
        </is>
      </c>
      <c r="E21" s="1" t="inlineStr">
        <is>
          <t>Technical Support</t>
        </is>
      </c>
      <c r="F21" s="1" t="inlineStr">
        <is>
          <t>Prezado Suporte ao Cliente,
Estou enfrentando um erro de instalação com o Excel no Microsoft Office 365 e preciso de assistência para resolver o problema rapidamente. O erro ocorre durante a fase de instalação e tem impedido minha capacidade de utilizar recursos necessários no Excel, impactando minha produtividade. Como usuário de assinatura, isso está causando inconvenientes e precisa de atenção imediata para solucionar e implementar uma correção apropriada.
Por favor, me guie pelo processo para resolver este problema ou agende uma sessão de suporte, se necessário. É crucial resolver isso o mais rápido possível para evitar mais interrupções. Aguardo sua resposta rápida e uma resolução bem-sucedida.
Obrigado,
&lt;name&gt;</t>
        </is>
      </c>
      <c r="G21" s="1" t="inlineStr">
        <is>
          <t>Problem</t>
        </is>
      </c>
      <c r="H21" s="1" t="inlineStr">
        <is>
          <t>Prezado &lt;name&gt;,
Obrigado por entrar em contato sobre o erro de instalação do Excel no Microsoft Office 365. Compreendo a urgência e o inconveniente que este problema está causando.
Para começar a solucionar o problema, por favor, tente os seguintes passos:
1. Certifique-se de que seu computador atende a todos os requisitos do sistema para o Office 365.
2. Desinstale quaisquer versões anteriores do Office antes de tentar a instalação novamente.
3. Visite a página de instalação do Office 365 e baixe o arquivo de configuração diretamente de lá.
4. Execute a instalação como administrador clicando com o botão direito no arquivo de configuração e selecionando "Executar como administrador."
5. Se o problema persistir, tente reparar o Office através do Painel de Controle selecionando "Programas," "Programas e Recursos," e "Microsoft Office 365" e escolhendo "Reparar."
Se esses passos não resolverem o problema, por favor, nos avise e poderemos agendar uma sessão de suporte para ajudar você ainda mais. Nosso objetivo é que você esteja operando o mais rápido possível.
Obrigado pela sua paciência e compreensão.
Atenciosamente,
&lt;Solidão da Equipe de Suporte ao Cliente&gt;</t>
        </is>
      </c>
      <c r="I21" s="1" t="inlineStr">
        <is>
          <t>medium</t>
        </is>
      </c>
      <c r="J21" s="1" t="inlineStr">
        <is>
          <t>['Technical Support', 'Software Bug', 'Product Support', 'Urgent Issue', 'Problem Resolution', 'Customer Service']</t>
        </is>
      </c>
      <c r="K21" s="1" t="inlineStr">
        <is>
          <t>pt</t>
        </is>
      </c>
      <c r="L21" s="1" t="n">
        <v>729</v>
      </c>
    </row>
    <row r="22" ht="16.5" customHeight="1">
      <c r="A22" s="1" t="n">
        <v>203</v>
      </c>
      <c r="B22" s="4" t="inlineStr">
        <is>
          <t>Gerenciamento Financeiro</t>
        </is>
      </c>
      <c r="C22" s="4" t="inlineStr">
        <is>
          <t>Gerenciamento de Incidentes</t>
        </is>
      </c>
      <c r="D22" s="1" t="inlineStr">
        <is>
          <t>Problema com a Precisão da Transação de Software</t>
        </is>
      </c>
      <c r="E22" s="1" t="inlineStr">
        <is>
          <t>Billing and Payments</t>
        </is>
      </c>
      <c r="F22" s="1" t="inlineStr">
        <is>
          <t>Caro Suporte ao Cliente,
Estou escrevendo para trazer à sua atenção um problema que encontrei com uma transação recente para o Adobe Photoshop 2024. Meu número de conta é &lt;acc_num&gt;, e acredito que possa haver uma discrepância no valor da cobrança realizada. Fiz esta compra no &lt;date&gt;, e ao revisar os detalhes da cobrança, percebi um valor mais alto do que o inicialmente acordado durante o processo de compra.
Eu esperava que o valor cobrado refletisse o preço promocional anunciado. No entanto, ao verificar meu extrato de cobrança, o valor debitado da minha conta foi significativamente superior a este preço esperado. Isso me leva a suspeitar de uma possível cobrança indevida ou de um erro de cálculo realizado pelo seu sistema de cobrança.
Agradeceria se você pudesse investigar este assunto para mim. Por favor, confirme se as cobranças aplicadas estão corretas ou se um erro pode ter ocorrido. Anexados a este e-mail estão capturas de tela da promoção e do meu extrato de cobrança para sua referência.
Você também poderia me informar a melhor forma de resolver essa discrepância? Estou ansioso para que isso seja resolvido rapidamente para evitar mais inconvenientes.
Obrigado pela sua atenção a este assunto, e aguardo sua resposta rápida. Sinta-se à vontade para me contatar por e-mail ou pelo &lt;tel_num&gt;.
Atenciosamente,
&lt;name&gt;</t>
        </is>
      </c>
      <c r="G22" s="1" t="inlineStr">
        <is>
          <t>Problem</t>
        </is>
      </c>
      <c r="H22" s="1" t="inlineStr">
        <is>
          <t>Caro &lt;name&gt;,
Obrigado por entrar em contato sobre a discrepância com sua transação do Adobe Photoshop 2024. Pedimos desculpas por qualquer inconveniente causado.
Vamos investigar o problema de cobrança usando as capturas de tela anexadas. Enquanto isso, garanto que verificaremos o preço promocional e corrigiremos qualquer cobrança indevida encontrada.
Por favor, nos permita até 48 horas para realizar uma revisão completa. Entraremos em contato com você por e-mail com nossas conclusões e os passos para resolver este assunto.
Sua paciência é apreciada, e nosso objetivo é resolver isso rapidamente. Para mais assistência, sinta-se à vontade para responder a este e-mail ou nos contatar pelo &lt;tel_num&gt;.
Atenciosamente,
Equipe de Suporte ao Cliente</t>
        </is>
      </c>
      <c r="I22" s="1" t="inlineStr">
        <is>
          <t>high</t>
        </is>
      </c>
      <c r="J22" s="1" t="inlineStr">
        <is>
          <t>['Billing Issue', 'Customer Service', 'Refund Request', 'Payment Processing', 'Problem Resolution']</t>
        </is>
      </c>
      <c r="K22" s="1" t="inlineStr">
        <is>
          <t>pt</t>
        </is>
      </c>
      <c r="L22" s="1" t="n">
        <v>1344</v>
      </c>
    </row>
    <row r="23" ht="16.5" customHeight="1">
      <c r="A23" s="1" t="n">
        <v>205</v>
      </c>
      <c r="B23" s="4" t="inlineStr">
        <is>
          <t>Solicitação de Serviço</t>
        </is>
      </c>
      <c r="C23" s="4" t="inlineStr">
        <is>
          <t>Gerenciamento de Incidentes</t>
        </is>
      </c>
      <c r="D23" s="1" t="inlineStr">
        <is>
          <t>Assistência necessária para configuração sem fio da HP DeskJet 3755</t>
        </is>
      </c>
      <c r="E23" s="1" t="inlineStr">
        <is>
          <t>Customer Service</t>
        </is>
      </c>
      <c r="F23" s="1" t="inlineStr">
        <is>
          <t>Caro Suporte ao Cliente,
Espero que esta mensagem o encontre bem. Estou tendo dificuldade em configurar minha impressora HP DeskJet 3755 para funcionar com vários dispositivos em casa. O recurso de impressão sem fio não está funcionando como esperado, e preciso de instruções detalhadas ou suporte para resolver esse problema. Sua orientação será muito apreciada, pois gostaria de aproveitar ao máximo a impressora com todos os dispositivos.
Obrigado pela sua atenção a este assunto.
Atenciosamente,
&lt;name&gt;, &lt;tel_num&gt;</t>
        </is>
      </c>
      <c r="G23" s="1" t="inlineStr">
        <is>
          <t>Request</t>
        </is>
      </c>
      <c r="H23" s="1" t="inlineStr">
        <is>
          <t>Caro &lt;name&gt;,
Obrigado por entrar em contato. Para configurar sua HP DeskJet 3755 sem fio, por favor, assegure-se de que sua impressora, roteador e dispositivos estão ligados e conectados à mesma rede Wi-Fi. Baixe o aplicativo HP Smart em cada dispositivo para o processo de configuração. Se o problema persistir, tente reiniciar seu roteador e dispositivos. Se precisar de mais ajuda, entre em contato conosco novamente.
Atenciosamente,
Suporte ao Cliente</t>
        </is>
      </c>
      <c r="I23" s="1" t="inlineStr">
        <is>
          <t>medium</t>
        </is>
      </c>
      <c r="J23" s="1" t="inlineStr">
        <is>
          <t>['Product Support', 'Technical Support', 'Customer Service', 'Problem Resolution', 'Technical Guidance']</t>
        </is>
      </c>
      <c r="K23" s="1" t="inlineStr">
        <is>
          <t>pt</t>
        </is>
      </c>
      <c r="L23" s="1" t="n">
        <v>520</v>
      </c>
    </row>
    <row r="24" ht="16.5" customHeight="1">
      <c r="A24" s="1" t="n">
        <v>219</v>
      </c>
      <c r="B24" s="4" t="inlineStr">
        <is>
          <t>Solicitação de Serviço</t>
        </is>
      </c>
      <c r="C24" s="4" t="inlineStr">
        <is>
          <t>Gerenciamento de Capacidade</t>
        </is>
      </c>
      <c r="D24" s="1" t="inlineStr">
        <is>
          <t>Consultoria para Otimização de Desempenho de Servidores</t>
        </is>
      </c>
      <c r="E24" s="1" t="inlineStr">
        <is>
          <t>General Inquiry</t>
        </is>
      </c>
      <c r="F24" s="1" t="inlineStr">
        <is>
          <t>Prezado(a) Cliente do Suporte de Serviços de TI,
Espero que esta mensagem o encontre bem. Estou entrando em contato para buscar seu conselho especializado sobre como otimizar o desempenho do servidor em nosso ambiente de pequenas empresas. Estamos enfrentando desafios para gerenciar eficientemente nossos recursos de TI, e acredito que seu renomado Serviço de Consultoria de TI poderia ser imensamente benéfico para nós.
Nossa equipe identificou algumas áreas-chave onde o desempenho poderia ser melhorado, mas não temos o conhecimento profundo necessário para implementar soluções eficazes sem orientação de especialistas externos. Especificamente, estamos buscando melhorar os tempos de resposta do servidor, gerenciar cargas de trabalho de forma mais eficaz e garantir uma escalabilidade sustentável à medida que nosso negócio cresce.
Você poderia, por favor, fornecer informações sobre como seus serviços de consultoria poderiam nos ajudar a resolver essas questões? Além disso, eu apreciaria qualquer recomendação sobre os pacotes ou soluções mais adequados que você oferece que se alinhem com nossas necessidades específicas. Estou ansioso para discutir isso mais a fundo e ficaria grato se pudéssemos agendar uma consulta na sua primeira conveniência.
Obrigado pela sua assistência.
Atenciosamente,
&lt;name&gt;</t>
        </is>
      </c>
      <c r="G24" s="1" t="inlineStr">
        <is>
          <t>Request</t>
        </is>
      </c>
      <c r="H24" s="1" t="inlineStr">
        <is>
          <t>Prezado(a) &lt;name&gt;,
Obrigado por entrar em contato conosco sobre suas necessidades de otimização de desempenho do servidor. Ficamos felizes em saber do seu interesse em nossos Serviços de Consultoria de TI e estamos prontos para ajudá-lo.
Nossos serviços de consultoria se concentram em melhorar os tempos de resposta do servidor, otimizar o gerenciamento de carga de trabalho e garantir escalabilidade à medida que as empresas se expandem. Oferecemos uma gama de soluções adaptadas para abordar suas preocupações específicas e aprimorar sua infraestrutura de TI de forma eficaz.
Recomendamos começar com uma avaliação abrangente do seu ambiente de servidor atual para identificar oportunidades específicas de otimização. A partir daí, podemos personalizar um pacote que se alinhe com as suas necessidades empresariais, incluindo suporte contínuo para crescimento sustentável e melhoria de desempenho.
Por favor, informe-nos sobre sua disponibilidade para que possamos agendar um horário conveniente para uma consulta. Nossa equipe aguarda ansiosamente ajudar você a alcançar um desempenho ideal do servidor.
Atenciosamente,
Equipe de Suporte ao Cliente</t>
        </is>
      </c>
      <c r="I24" s="1" t="inlineStr">
        <is>
          <t>low</t>
        </is>
      </c>
      <c r="J24" s="1" t="inlineStr">
        <is>
          <t>['Technical Support', 'Performance Tuning', 'IT Support', 'Consulting Services', 'System Optimization', 'Problem Resolution', 'Service Notification']</t>
        </is>
      </c>
      <c r="K24" s="1" t="inlineStr">
        <is>
          <t>pt</t>
        </is>
      </c>
      <c r="L24" s="1" t="n">
        <v>1318</v>
      </c>
    </row>
    <row r="25" ht="16.5" customHeight="1">
      <c r="A25" s="1" t="n">
        <v>223</v>
      </c>
      <c r="B25" s="4" t="inlineStr">
        <is>
          <t>Gerenciamento de Mudanças</t>
        </is>
      </c>
      <c r="C25" s="4" t="inlineStr">
        <is>
          <t>Gerenciamento de Problemas</t>
        </is>
      </c>
      <c r="D25" s="1" t="inlineStr">
        <is>
          <t>Atualização do Fluxo de Trabalho do Jira</t>
        </is>
      </c>
      <c r="E25" s="1" t="inlineStr">
        <is>
          <t>IT Support</t>
        </is>
      </c>
      <c r="F25" s="1" t="inlineStr">
        <is>
          <t>Caro(a) Equipe de Suporte ao Cliente, 
Espero que esta mensagem o encontre bem. Estou escrevendo para solicitar uma mudança em nosso fluxo de trabalho atual do projeto dentro do Jira Software 8.20 para aprimorar nosso gerenciamento de tickets e capacidades de rastreamento de versões. No momento, estamos enfrentando desafios com nosso fluxo de trabalho existente devido às suas limitações em gerenciar as várias etapas das tarefas do projeto de maneira eficiente. Especificamente, as transições de estado atuais dos tickets não refletem adequadamente a natureza dinâmica de nossos ciclos de desenvolvimento de projeto, levando a uma visibilidade pobre e, às vezes, até confusão entre nossas equipes de projeto.
Portanto, proponho uma integração de estados e transições mais personalizados dentro do fluxo de trabalho do Jira. Essa mudança melhoraria significativamente a capacidade da nossa equipe de rastrear o progresso das tarefas, gerenciar cargas de trabalho e cumprir os prazos do projeto. Além disso, a otimização desses aspectos alinharia melhor nossos projetos com nossas métricas de desempenho e entregas.
Por favor, entre em contato diretamente comigo pelo &lt;tel_num&gt; ou responda a este e-mail. Meu número de conta é &lt;acc_num&gt; para referência. Estou ansioso para discutir possíveis soluções e receber sua orientação para iniciar o processo de mudança do fluxo de trabalho. 
Agradeço pela sua atenção a este assunto.
Atenciosamente,
&lt;name&gt;</t>
        </is>
      </c>
      <c r="G25" s="1" t="inlineStr">
        <is>
          <t>Change</t>
        </is>
      </c>
      <c r="H25" s="1" t="inlineStr">
        <is>
          <t>Caro(a) &lt;name&gt;,
Obrigado por entrar em contato com seu pedido para atualizar seu fluxo de trabalho do Jira. Compreendo os desafios que você está enfrentando com a configuração atual e a necessidade de um sistema de transição de estados mais dinâmico para gerenciar melhor suas tarefas de projeto.
Para prosseguir, examinaremos seu fluxo de trabalho atual e trabalharemos com você para personalizar os estados e transições para refletir melhor os requisitos da sua equipe. Isso envolverá a avaliação da dinâmica do seu projeto e o alinhamento do novo fluxo de trabalho com suas métricas de desempenho.
Entrarei em contato com você em breve pelo &lt;tel_num&gt; ou sinta-se à vontade para responder a este e-mail para coordenar nossos próximos passos. Sua referência de conta &lt;acc_num&gt; está anotada para nossos registros.
Aguardamos ansiosamente a oportunidade de ajudá-lo com esse aprimoramento.
Atenciosamente,
Equipe de Suporte ao Cliente</t>
        </is>
      </c>
      <c r="I25" s="1" t="inlineStr">
        <is>
          <t>medium</t>
        </is>
      </c>
      <c r="J25" s="1" t="inlineStr">
        <is>
          <t>['Technical Support', 'Product Support', 'Feature Request', 'Problem Resolution', 'Customer Service', 'Service Notification']</t>
        </is>
      </c>
      <c r="K25" s="1" t="inlineStr">
        <is>
          <t>pt</t>
        </is>
      </c>
      <c r="L25" s="1" t="n">
        <v>1455</v>
      </c>
    </row>
    <row r="26" ht="16.5" customHeight="1">
      <c r="A26" s="1" t="n">
        <v>225</v>
      </c>
      <c r="B26" s="4" t="inlineStr">
        <is>
          <t>Solicitação de Serviço</t>
        </is>
      </c>
      <c r="C26" s="4" t="inlineStr">
        <is>
          <t>Gerenciamento de Configuração</t>
        </is>
      </c>
      <c r="D26" s="1" t="inlineStr">
        <is>
          <t>Cliente Precisa de Modo Escuro e Extensões para Configuração do VS Code</t>
        </is>
      </c>
      <c r="E26" s="1" t="inlineStr">
        <is>
          <t>Product Support</t>
        </is>
      </c>
      <c r="F26" s="1" t="inlineStr">
        <is>
          <t>Olá equipe de suporte,
Estou escrevendo para solicitar uma alteração nas configurações do meu Visual Studio Code 1.70. Gostaria de mudar para o modo escuro e ter algumas extensões específicas instaladas. Vocês podem ajudar com essas modificações?
Obrigado,
&lt;name&gt;</t>
        </is>
      </c>
      <c r="G26" s="1" t="inlineStr">
        <is>
          <t>Change</t>
        </is>
      </c>
      <c r="H26" s="1" t="inlineStr">
        <is>
          <t>Olá &lt;name&gt;,
Para ativar o modo escuro no VS Code, vá para Preferências &gt; Tema de Cor e selecione 'Dark+'. Para extensões, visite a barra lateral de Extensões no VS Code, pesquise e instale conforme necessário. Avise-nos se precisar de mais ajuda!
Atenciosamente, Agente do Service Desk</t>
        </is>
      </c>
      <c r="I26" s="1" t="inlineStr">
        <is>
          <t>low</t>
        </is>
      </c>
      <c r="J26" s="1" t="inlineStr">
        <is>
          <t>['Technical Support', 'Product Support', 'Software Bug', 'Feature Request', 'Problem Resolution']</t>
        </is>
      </c>
      <c r="K26" s="1" t="inlineStr">
        <is>
          <t>pt</t>
        </is>
      </c>
      <c r="L26" s="1" t="n">
        <v>266</v>
      </c>
    </row>
    <row r="27" ht="16.5" customHeight="1">
      <c r="A27" s="1" t="n">
        <v>228</v>
      </c>
      <c r="B27" s="4" t="inlineStr">
        <is>
          <t>Solicitação de Serviço</t>
        </is>
      </c>
      <c r="C27" s="4" t="inlineStr">
        <is>
          <t>Gerenciamento de Incidentes</t>
        </is>
      </c>
      <c r="D27" s="1" t="inlineStr">
        <is>
          <t>Assistência Necessária: Problema de Configuração Sem Fio</t>
        </is>
      </c>
      <c r="E27" s="1" t="inlineStr">
        <is>
          <t>Product Support</t>
        </is>
      </c>
      <c r="F27" s="1" t="inlineStr">
        <is>
          <t>Caro Suporte ao Cliente da Loja Online Tech, estou solicitando assistência para configurar a conexão sem fio da minha impressora colorida Compact All-in-One, a HP DeskJet 3755. Não consigo prosseguir com as instruções atuais fornecidas. Poderia me guiar pelos passos necessários? Obrigado pela sua ajuda. Atenciosamente, &lt;name&gt;.</t>
        </is>
      </c>
      <c r="G27" s="1" t="inlineStr">
        <is>
          <t>Request</t>
        </is>
      </c>
      <c r="H27" s="1" t="inlineStr">
        <is>
          <t>Assunto: Re: Assistência Necessária: Problema de Configuração Sem Fio
Caro &lt;name&gt;,
Obrigado por entrar em contato. Para conectar sua HP DeskJet 3755 sem fio, siga estas etapas:
1. Certifique-se de que a impressora esteja ligada e que o papel esteja carregado.
2. No painel de controle da impressora, pressione o botão Wireless para ativar o sinal sem fio.
3. Mantenha pressionado até que a luz comece a piscar, aproximadamente 3 segundos.
4. Instale o aplicativo HP Smart no seu dispositivo e siga as instruções do aplicativo para adicionar a impressora usando Wi-Fi Direct ou pela sua rede.
5. Complete a configuração com os prompts do aplicativo.
Se você encontrar mais problemas, fique à vontade para entrar em contato.
Atenciosamente,
Suporte ao Cliente da Loja Online Tech</t>
        </is>
      </c>
      <c r="I27" s="1" t="inlineStr">
        <is>
          <t>low</t>
        </is>
      </c>
      <c r="J27" s="1" t="inlineStr">
        <is>
          <t>['Technical Support', 'Product Support', 'Hardware Failure', 'Problem Resolution']</t>
        </is>
      </c>
      <c r="K27" s="1" t="inlineStr">
        <is>
          <t>pt</t>
        </is>
      </c>
      <c r="L27" s="1" t="n">
        <v>328</v>
      </c>
    </row>
    <row r="28" ht="16.5" customHeight="1">
      <c r="A28" s="1" t="n">
        <v>229</v>
      </c>
      <c r="B28" s="4" t="inlineStr">
        <is>
          <t>Gerenciamento de Incidentes</t>
        </is>
      </c>
      <c r="C28" s="4" t="inlineStr">
        <is>
          <t>Gerenciamento de Acesso</t>
        </is>
      </c>
      <c r="D28" s="1" t="inlineStr">
        <is>
          <t>Urgente: Problema de Acesso ao Jira</t>
        </is>
      </c>
      <c r="E28" s="1" t="inlineStr">
        <is>
          <t>Technical Support</t>
        </is>
      </c>
      <c r="F28" s="1" t="inlineStr">
        <is>
          <t>Caro Suporte ao Cliente,
Estou entrando em contato sobre um problema que estou enfrentando com o Jira Software 8.20. Minha conta de usuário, &lt;acc_num&gt;, atualmente não consegue acessar o painel de gerenciamento de projetos, o que atrapalhou minha capacidade de gerenciar projetos em andamento de forma eficaz. Suspeito que isso possa estar relacionado a privilégios de conta, pois não houve restrições intencionais da minha parte.
Esse problema é crítico, pois afeta os prazos dos projetos e a coordenação com minha equipe. Agradeceria uma resolução urgente para recuperar o acesso. Além disso, por favor, me avise se houver alguma atualização que precise ser feita nas configurações atuais de privacidade ou permissões.
Obrigado pela sua atenção rápida a este assunto.
Atenciosamente,
&lt;name&gt;
&lt;tel_num&gt;</t>
        </is>
      </c>
      <c r="G28" s="1" t="inlineStr">
        <is>
          <t>Problem</t>
        </is>
      </c>
      <c r="H28" s="1" t="inlineStr">
        <is>
          <t>Caro &lt;name&gt;,
Obrigado por entrar em contato. Entendo a urgência em relação ao seu problema de acesso ao Jira. Vamos investigar os privilégios da sua conta de usuário &lt;acc_num&gt; imediatamente para identificar quaisquer discrepâncias. Por favor, nos dê um tempo para resolver isso.
Enquanto isso, por favor, certifique-se de que suas configurações de privacidade e permissões estejam atualizadas conforme necessário, embora nenhuma alteração específica seja solicitada até que nossa investigação seja concluída.
Manteremos você informado sobre nosso progresso e notificaremos você assim que o acesso for restaurado. Se precisar de assistência imediata, sinta-se à vontade para nos contatar em &lt;tel_num&gt;.
Obrigado pela sua paciência e compreensão.
Atenciosamente,
Equipe de Suporte ao Cliente</t>
        </is>
      </c>
      <c r="I28" s="1" t="inlineStr">
        <is>
          <t>high</t>
        </is>
      </c>
      <c r="J28" s="1" t="inlineStr">
        <is>
          <t>['Account Assistance', 'Login Issue', 'Urgent Issue', 'Technical Support', 'Problem Resolution', 'Service Recovery']</t>
        </is>
      </c>
      <c r="K28" s="1" t="inlineStr">
        <is>
          <t>pt</t>
        </is>
      </c>
      <c r="L28" s="1" t="n">
        <v>805</v>
      </c>
    </row>
    <row r="29" ht="16.5" customHeight="1">
      <c r="A29" s="1" t="n">
        <v>230</v>
      </c>
      <c r="B29" s="4" t="inlineStr">
        <is>
          <t>Solicitação de Serviço</t>
        </is>
      </c>
      <c r="C29" s="4" t="inlineStr">
        <is>
          <t>Gerenciamento de Ativos de TI</t>
        </is>
      </c>
      <c r="D29" s="1" t="inlineStr">
        <is>
          <t>Consulta sobre o Dell XPS 13</t>
        </is>
      </c>
      <c r="E29" s="1" t="inlineStr">
        <is>
          <t>Sales and Pre-Sales</t>
        </is>
      </c>
      <c r="F29" s="1" t="inlineStr">
        <is>
          <t>Prezado Suporte ao Cliente,
Estou escrevendo em nome de um cliente potencial que demonstrou interesse em comprar o Dell XPS 13 9310. Antes de prosseguir, ele gostaria de ter a oportunidade de inspecionar o produto na loja. Portanto, buscamos sua assistência para determinar a disponibilidade atual deste modelo para uma avaliação pré-compra em uma de suas lojas físicas.
Entendendo que os níveis de estoque precisos podem variar, agradeceríamos muito se você pudesse nos fornecer informações atualizadas sobre os modelos em estoque em suas lojas mais próximas. Isso permitiria ao cliente tomar uma decisão informada sobre quando ele poderia visitar para ver e testar o produto pessoalmente.
Solicitamos gentilmente uma resposta rápida, dada a vontade do cliente de avançar com a compra potencial.
Obrigado pela sua ajuda.
Atenciosamente,
&lt;name&gt;</t>
        </is>
      </c>
      <c r="G29" s="1" t="inlineStr">
        <is>
          <t>Incident</t>
        </is>
      </c>
      <c r="H29" s="1" t="inlineStr">
        <is>
          <t>Caro &lt;name&gt;,
Obrigado por entrar em contato sobre o Dell XPS 13 9310. Entendemos a importância de avaliar o produto antes da compra. Por favor, visite nosso site ou entre em contato diretamente com sua loja mais próxima para verificar a disponibilidade atual deste modelo, já que os níveis de estoque podem flutuar com frequência. Nossos representantes de loja terão o prazer de ajudá-lo a organizar uma visita para que seu cliente potencial inspecione o produto.
Agradecemos seu interesse e esperamos poder ajudá-lo com esta consulta. Por favor, avise-nos se pudermos ajudar em mais alguma coisa.
Atenciosamente,
Equipe de Suporte ao Cliente</t>
        </is>
      </c>
      <c r="I29" s="1" t="inlineStr">
        <is>
          <t>medium</t>
        </is>
      </c>
      <c r="J29" s="1" t="inlineStr">
        <is>
          <t>['Customer Service', 'Sales Inquiry', 'Product Support', 'General Inquiry']</t>
        </is>
      </c>
      <c r="K29" s="1" t="inlineStr">
        <is>
          <t>pt</t>
        </is>
      </c>
      <c r="L29" s="1" t="n">
        <v>850</v>
      </c>
    </row>
    <row r="30" ht="16.5" customHeight="1">
      <c r="A30" s="1" t="n">
        <v>234</v>
      </c>
      <c r="B30" s="4" t="inlineStr">
        <is>
          <t>Gerenciamento de Incidentes</t>
        </is>
      </c>
      <c r="C30" s="4" t="inlineStr">
        <is>
          <t>Gerenciamento de Problemas</t>
        </is>
      </c>
      <c r="D30" s="1" t="inlineStr">
        <is>
          <t>Suporte para Resolução de Problemas com Atolamentos de Papel Consistentes</t>
        </is>
      </c>
      <c r="E30" s="1" t="inlineStr">
        <is>
          <t>Customer Service</t>
        </is>
      </c>
      <c r="F30" s="1" t="inlineStr">
        <is>
          <t>Olá,
Estou enfrentando atolamentos de papel consistentes com a minha impressora HP DeskJet 3755. Você poderia fornecer orientações sobre como resolver esse problema? Quaisquer etapas de solução de problemas ou conselhos de manutenção seriam muito apreciados para restaurar a funcionalidade da impressora.
Obrigado pela sua assistência.
Atenciosamente,
&lt;name&gt;
&lt;email_address&gt;
&lt;acc_num&gt;</t>
        </is>
      </c>
      <c r="G30" s="1" t="inlineStr">
        <is>
          <t>Incident</t>
        </is>
      </c>
      <c r="H30" s="1" t="inlineStr">
        <is>
          <t>Olá &lt;name&gt;,
Para resolver os atolamentos de papel com sua HP DeskJet 3755, experimente estes passos: 1) Desligue a impressora e remova qualquer papel preso. 2) Abra a bandeja de papel e inspecione se há bloqueios. 3) Limpe os roletes. 4) Verifique se há atualizações de firmware da impressora. Se o problema persistir, entre em contato com nossa equipe de suporte.
Atenciosamente,
Service Desk</t>
        </is>
      </c>
      <c r="I30" s="1" t="inlineStr">
        <is>
          <t>medium</t>
        </is>
      </c>
      <c r="J30" s="1" t="inlineStr">
        <is>
          <t>['Technical Support', 'Product Support', 'Problem Resolution', 'Hardware Failure', 'Technical Guidance']</t>
        </is>
      </c>
      <c r="K30" s="1" t="inlineStr">
        <is>
          <t>pt</t>
        </is>
      </c>
      <c r="L30" s="1" t="n">
        <v>388</v>
      </c>
    </row>
    <row r="31" ht="16.5" customHeight="1">
      <c r="A31" s="1" t="n">
        <v>240</v>
      </c>
      <c r="B31" s="4" t="inlineStr">
        <is>
          <t>Gerenciamento de Incidentes</t>
        </is>
      </c>
      <c r="C31" s="4" t="inlineStr">
        <is>
          <t>Gerenciamento de Problemas</t>
        </is>
      </c>
      <c r="D31" s="1" t="inlineStr">
        <is>
          <t>Problemas de Conectividade com HP DeskJet 3755</t>
        </is>
      </c>
      <c r="E31" s="1" t="inlineStr">
        <is>
          <t>IT Support</t>
        </is>
      </c>
      <c r="F31" s="1" t="inlineStr">
        <is>
          <t>Caro Suporte ao Cliente,
Espero que esta mensagem o encontre bem. Estou enfrentando problemas contínuos de conectividade da impressora com minha HP DeskJet 3755, especificamente em relação às suas capacidades de impressão sem fio. Após a configuração inicial, a impressora parece estar conectada; no entanto, não consegue processar e imprimir documentos enviados sem fio.
Tentei várias etapas básicas de solução de problemas, como reiniciar tanto a impressora quanto o roteador, garantir que a impressora esteja dentro do alcance da rede sem fio e verificar se há atualizações de firmware disponíveis. Apesar desses esforços, continuo sem conseguir imprimir documentos.
Este problema é bastante urgente, pois afeta as operações diárias. Você poderia me orientar na resolução desses problemas de conectividade? Além disso, se houver manuais ou recursos detalhados, seria benéfico. Sua assistência rápida seria muito apreciada.
Obrigado pela sua atenção a este assunto.
Atenciosamente,
&lt;name&gt;</t>
        </is>
      </c>
      <c r="G31" s="1" t="inlineStr">
        <is>
          <t>Problem</t>
        </is>
      </c>
      <c r="H31" s="1" t="inlineStr">
        <is>
          <t>Caro &lt;name&gt;,
Obrigado por entrar em contato sobre os problemas de conectividade da sua HP DeskJet 3755. Entendo a urgência e lamento qualquer inconveniente causado. Aqui estão algumas etapas adicionais que você pode tentar:
1. Reinicie seu computador juntamente com a impressora e o roteador.
2. Certifique-se de que sua impressora e PC estão conectados à mesma rede Wi-Fi.
3. Desative e reative as configurações sem fio na sua impressora.
4. Revise as configurações do seu roteador para garantir que esteja configurado para 2,4GHz, que é compatível com sua impressora.
5. Remova e re-adicione a impressora nas configurações do seu computador.
Se isso não resolver o problema, consulte a ferramenta de diagnóstico de impressão e digitalização da HP disponível em seu site para mais diagnósticos. Para manuais detalhados, visite o site de suporte da HP e procure o modelo da sua impressora.
Se o problema persistir, forneça quaisquer mensagens de erro que você receber.
Atenciosamente,
[Seu Nome]
Agente do Service Desk</t>
        </is>
      </c>
      <c r="I31" s="1" t="inlineStr">
        <is>
          <t>medium</t>
        </is>
      </c>
      <c r="J31" s="1" t="inlineStr">
        <is>
          <t>['Technical Support', 'Product Support', 'Urgent Issue', 'Problem Resolution', 'Service Notification', 'Hardware Failure']</t>
        </is>
      </c>
      <c r="K31" s="1" t="inlineStr">
        <is>
          <t>pt</t>
        </is>
      </c>
      <c r="L31" s="1" t="n">
        <v>995</v>
      </c>
    </row>
    <row r="32" ht="16.5" customHeight="1">
      <c r="A32" s="1" t="n">
        <v>252</v>
      </c>
      <c r="B32" s="3" t="inlineStr">
        <is>
          <t>Solicitação de Serviço</t>
        </is>
      </c>
      <c r="C32" s="3" t="inlineStr">
        <is>
          <t>Gerenciamento de Ativos de TI</t>
        </is>
      </c>
      <c r="D32" s="1" t="inlineStr">
        <is>
          <t>Solicitação de Devolução para Compra do MacBook Air M1</t>
        </is>
      </c>
      <c r="E32" s="1" t="inlineStr">
        <is>
          <t>Returns and Exchanges</t>
        </is>
      </c>
      <c r="F32" s="1" t="inlineStr">
        <is>
          <t>Prezado Suporte ao Cliente,
Espero que esta mensagem o encontre bem. Recentemente comprei um MacBook Air M1 em sua loja online, e meu pedido chegou há alguns dias. O número do pedido associado a esta compra é &lt;acc_num&gt;. Embora a transação tenha sido tranquila e o produto tenha chegado a tempo, estou reconsiderando minha decisão e estou experimentando arrependimento de comprador.
A embalagem do MacBook Air M1 permanece fechada, pois ainda não o utilizei desde a entrega. Decidi não mantê-lo e gostaria de explorar outras opções potencialmente mais adequadas às minhas necessidades atuais. De acordo com a política de devolução de sua loja, entendo que as devoluções podem ser feitas dentro de 30 dias após a compra, desde que o produto esteja em sua condição original e não desembalado.
Agradeceria sua orientação sobre como proceder com essa devolução. Poderia, por favor, fornecer instruções detalhadas sobre o processo de devolução, incluindo quaisquer etiquetas ou formulários necessários que eu possa precisar e prazos que devo cumprir para garantir que a devolução seja bem-sucedida?
Obrigado pela sua assistência.
Atenciosamente,
&lt;name&gt;
&lt;name&gt; &lt;tel_num&gt;</t>
        </is>
      </c>
      <c r="G32" s="1" t="inlineStr">
        <is>
          <t>Request</t>
        </is>
      </c>
      <c r="H32" s="1" t="inlineStr">
        <is>
          <t>Prezado &lt;name&gt;,
Obrigado por entrar em contato. Entendemos sua decisão e estamos aqui para ajudar com sua solicitação de devolução do MacBook Air M1. De acordo com nossa política de devolução, as devoluções podem ser feitas dentro de 30 dias, desde que o produto permaneça não aberto.
Por favor, siga estes passos para sua devolução:
1. Certifique-se de que o MacBook esteja em sua embalagem original, não aberta.
2. Preencha o formulário de devolução disponível em nosso site em "Devoluções".
3. Imprima e inclua a etiqueta de devolução, que você receberá por e-mail após enviar o formulário.
4. Envie o pacote de volta para o endereço fornecido na etiqueta de devolução dentro do prazo especificado.
Para sua conveniência, iniciamos um processo de devolução em sua conta com o número do pedido &lt;acc_num&gt; e você deve receber mais instruções em breve.
Se você tiver alguma dúvida, sinta-se à vontade para entrar em contato conosco a qualquer momento.
Atenciosamente,
Equipe de Suporte ao Cliente</t>
        </is>
      </c>
      <c r="I32" s="1" t="inlineStr">
        <is>
          <t>medium</t>
        </is>
      </c>
      <c r="J32" s="1" t="inlineStr">
        <is>
          <t>['Returns and Exchanges', 'Customer Service', 'Order Issue', 'Product Support']</t>
        </is>
      </c>
      <c r="K32" s="1" t="inlineStr">
        <is>
          <t>pt</t>
        </is>
      </c>
      <c r="L32" s="1" t="n">
        <v>1168</v>
      </c>
    </row>
    <row r="33" ht="16.5" customHeight="1">
      <c r="A33" s="1" t="n">
        <v>257</v>
      </c>
      <c r="B33" s="3" t="inlineStr">
        <is>
          <t>Solicitação de Serviço</t>
        </is>
      </c>
      <c r="C33" s="3" t="inlineStr">
        <is>
          <t>Gerenciamento de Ativos de TI</t>
        </is>
      </c>
      <c r="D33" s="1" t="inlineStr">
        <is>
          <t>Pedido de Troca da Canon PIXMA MG3620</t>
        </is>
      </c>
      <c r="E33" s="1" t="inlineStr">
        <is>
          <t>Returns and Exchanges</t>
        </is>
      </c>
      <c r="F33" s="1" t="inlineStr">
        <is>
          <t>Caro Suporte ao Cliente da Tech Online Store,
Espero que esta mensagem o encontre bem. Estou entrando em contato para solicitar uma troca da minha impressora Canon PIXMA MG3620, comprada sob a conta &lt;acc_num&gt;. Desde a sua chegada recente, encontrei problemas de qualidade de impressão e problemas de conectividade esporádicos, que dificultaram significativamente minha experiência como usuário. Agradeceria uma resolução rápida para este assunto. Para mais detalhes, sinta-se à vontade para entrar em contato pelo meu número de telefone, &lt;tel_num&gt;.
Obrigado pela sua assistência.
Atenciosamente,
&lt;name&gt;</t>
        </is>
      </c>
      <c r="G33" s="1" t="inlineStr">
        <is>
          <t>Request</t>
        </is>
      </c>
      <c r="H33" s="1" t="inlineStr">
        <is>
          <t>Assunto: Re: Pedido de Troca da Canon PIXMA MG3620
Caro &lt;name&gt;,
Obrigado por entrar em contato sobre os problemas com sua impressora Canon PIXMA MG3620. Pedimos desculpas pelo inconveniente que isso causou. Para prosseguir com o processo de troca, favor garantir que a impressora esteja em sua embalagem original com todos os acessórios incluídos. Nossa equipe iniciará a troca assim que a impressora for devolvida e inspecionada. Você pode usar a etiqueta de retorno fornecida dentro da embalagem para enviar a impressora de volta.
Se você tiver mais perguntas ou precisar de assistência adicional, sinta-se à vontade para nos contatar usando os detalhes de suporte ao cliente em nosso site. Nosso objetivo é resolver esta questão rapidamente para você.
Obrigado pela sua paciência e compreensão.
Atenciosamente,
Suporte ao Cliente da Tech Online Store</t>
        </is>
      </c>
      <c r="I33" s="1" t="inlineStr">
        <is>
          <t>low</t>
        </is>
      </c>
      <c r="J33" s="1" t="inlineStr">
        <is>
          <t>['Returns and Exchanges', 'Product Support', 'Customer Service', 'Order Issue', 'Technical Support']</t>
        </is>
      </c>
      <c r="K33" s="1" t="inlineStr">
        <is>
          <t>pt</t>
        </is>
      </c>
      <c r="L33" s="1" t="n">
        <v>606</v>
      </c>
    </row>
    <row r="34" ht="16.5" customHeight="1">
      <c r="A34" s="1" t="n">
        <v>264</v>
      </c>
      <c r="B34" s="3" t="inlineStr">
        <is>
          <t>Gerenciamento de Incidentes</t>
        </is>
      </c>
      <c r="C34" s="3" t="inlineStr">
        <is>
          <t>Gerenciamento de Disponibilidade</t>
        </is>
      </c>
      <c r="D34" s="1" t="inlineStr">
        <is>
          <t>Problemas de Rede</t>
        </is>
      </c>
      <c r="E34" s="1" t="inlineStr">
        <is>
          <t>Technical Support</t>
        </is>
      </c>
      <c r="F34" s="1" t="inlineStr">
        <is>
          <t>Prezados Serviços de TI, Nossa rede está fora do ar devido a uma falha em nosso Roteador Cisco ISR4331. Estamos enfrentando desconexões frequentes e problemas de desempenho. Assistência imediata é necessária para restaurar a estabilidade da nossa rede. Por favor, advise sobre os próximos passos para resolver este problema rapidamente. Aguardamos seu apoio urgente. Obrigado, &lt;name&gt;.</t>
        </is>
      </c>
      <c r="G34" s="1" t="inlineStr">
        <is>
          <t>Incident</t>
        </is>
      </c>
      <c r="H34" s="1" t="inlineStr">
        <is>
          <t>Caro &lt;name&gt;, Obrigado por entrar em contato. Recomendamos reiniciar primeiro o seu Roteador Cisco ISR4331. Se o problema persistir, entre em contato com nossa equipe de suporte técnico pelo telefone &lt;tel_num&gt; para realizar diagnósticos e fornecer assistência. Registre quaisquer mensagens de erro que aparecerem, pois isso pode ajudar a acelerar o processo de resolução. Estamos comprometidos em restaurar sua rede rapidamente. Atenciosamente, Serviços de TI.</t>
        </is>
      </c>
      <c r="I34" s="1" t="inlineStr">
        <is>
          <t>high</t>
        </is>
      </c>
      <c r="J34" s="1" t="inlineStr">
        <is>
          <t>['Network Issue', 'Urgent Issue', 'Technical Support', 'Problem Resolution', 'Performance Tuning']</t>
        </is>
      </c>
      <c r="K34" s="1" t="inlineStr">
        <is>
          <t>pt</t>
        </is>
      </c>
      <c r="L34" s="1" t="n">
        <v>384</v>
      </c>
    </row>
    <row r="35" ht="16.5" customHeight="1">
      <c r="A35" s="1" t="n">
        <v>279</v>
      </c>
      <c r="B35" s="3" t="inlineStr">
        <is>
          <t>Gerenciamento de Incidentes</t>
        </is>
      </c>
      <c r="C35" s="3" t="inlineStr">
        <is>
          <t>Gerenciamento de Problemas</t>
        </is>
      </c>
      <c r="D35" s="1" t="inlineStr">
        <is>
          <t>Crítico: Problemas com o Sistema de Bilhetagem</t>
        </is>
      </c>
      <c r="E35" s="1" t="inlineStr">
        <is>
          <t>Technical Support</t>
        </is>
      </c>
      <c r="F35" s="1" t="inlineStr">
        <is>
          <t>Caro time de Suporte de TI,
Estou entrando em contato para alertá-los sobre um problema urgente que estamos enfrentando atualmente com nosso sistema de bilhetagem vinculado aos nossos Serviços de Consultoria de TI. Nossa organização, operando sob o número da conta &lt;acc_num&gt;, tem suportado erros contínuos que obstruem nossas funções diárias. Esta falha prejudica significativamente nossa capacidade de lidar prontamente com consultas e resoluções de clientes, o que está impactando negativamente nossos prazos de entrega de serviços.
Os problemas parecem ter começado há aproximadamente uma semana e, apesar de diversas tentativas de solução interna de nossa equipe, não conseguimos corrigir esses erros sozinhos. Os problemas notáveis incluem quedas frequentes do sistema, envios duplicados de tickets e desalinhamento inadequado de dados, todos os quais levaram a um aumento na insatisfação entre nossos clientes. Portanto, precisamos urgentemente de assistência técnica para resolver essas questões sem demora.
Solicito respeitosamente que sua equipe dê prioridade a este assunto, pois cada dia que passa amplifica nossos desafios operacionais. Por favor, informe-me se precisar de informações imediatas ou de logs específicos; podemos rapidamente fornecer esses dados para apoiar o processo de diagnóstico. Estou disponível no &lt;tel_num&gt; durante o horário comercial.
Obrigado pelo seu compromisso e atenção oportuna.
Atenciosamente,
&lt;name&gt;</t>
        </is>
      </c>
      <c r="G35" s="1" t="inlineStr">
        <is>
          <t>Incident</t>
        </is>
      </c>
      <c r="H35" s="1" t="inlineStr">
        <is>
          <t>Caro &lt;name&gt;,
Agradecemos por trazer as preocupações em relação ao seu sistema de bilhetagem ao nosso conhecimento. Reconhecemos a urgência e as repercussões que isso tem em suas operações. Nossa equipe de suporte técnico dará prioridade à sua solicitação e trabalhará diligentemente para resolver os problemas de quedas, duplicatas de tickets e desalinhamento de dados sem demora.
Pedimos gentilmente que você envie quaisquer logs específicos ou detalhes pertinentes que possam ajudar a diagnosticar efetivamente o problema. Manteremos você informado sobre nosso progresso e nos esforçaremos para resolver esses erros rapidamente, a fim de reduzir qualquer interrupção em seus serviços.
Você pode esperar um acompanhamento de nossa parte em breve. Caso precise de assistência imediata ou tenha dúvidas adicionais, não hesite em entrar em contato.
Obrigado pela sua compreensão e colaboração.
Atenciosamente,
Equipe de Suporte ao Cliente dos Serviços de TI</t>
        </is>
      </c>
      <c r="I35" s="1" t="inlineStr">
        <is>
          <t>high</t>
        </is>
      </c>
      <c r="J35" s="1" t="inlineStr">
        <is>
          <t>['Urgent Issue', 'Technical Support', 'System Crash', 'Service Disruption', 'Problem Resolution', 'IT Support', 'Incident Report', 'Service Recovery']</t>
        </is>
      </c>
      <c r="K35" s="1" t="inlineStr">
        <is>
          <t>pt</t>
        </is>
      </c>
      <c r="L35" s="1" t="n">
        <v>1449</v>
      </c>
    </row>
    <row r="36" ht="16.5" customHeight="1">
      <c r="A36" s="1" t="n">
        <v>294</v>
      </c>
      <c r="B36" s="3" t="inlineStr">
        <is>
          <t>Gerenciamento de Incidentes</t>
        </is>
      </c>
      <c r="C36" s="3" t="inlineStr">
        <is>
          <t>Gerenciamento de Problemas</t>
        </is>
      </c>
      <c r="D36" s="1" t="inlineStr">
        <is>
          <t>Problemas técnicos com os recursos de vídeo e compartilhamento de tela do Zoom 5.11.0</t>
        </is>
      </c>
      <c r="E36" s="1" t="inlineStr">
        <is>
          <t>Technical Support</t>
        </is>
      </c>
      <c r="F36" s="1" t="inlineStr">
        <is>
          <t>Caro(a) Equipe de Suporte ao Cliente de Serviços de TI,
Espero que esta mensagem o(a) encontre bem. Estou escrevendo para trazer à sua atenção alguns problemas técnicos significativos que encontrei recentemente ao usar a aplicação Zoom versão 5.11.0. Este problema é de alta prioridade, pois impacta diretamente as funcionalidades essenciais de videoconferência e compartilhamento de tela, afetando assim minhas operações diárias.
Em várias ocasiões, durante reuniões agendadas no Zoom, experimentei severas interrupções. Inicialmente, a funcionalidade de vídeo falhou ao iniciar corretamente, apresentando uma tela em branco, apesar de uma conexão de internet estável. Além disso, ao tentar compartilhar minha tela, o recurso torna-se intermitentemente não responsivo, às vezes me desconectando da reunião completamente. Esses problemas persistiram mesmo após várias tentativas de resolvê-los através de etapas padrão de solução de problemas, incluindo reiniciar a aplicação, garantir que todas as atualizações estavam instaladas e verificar se todos os requisitos do sistema foram atendidos.
A natureza desses problemas técnicos prejudica severamente a eficácia das reuniões virtuais, levando a desafios significativos na manutenção de uma comunicação sem interrupções com colegas e clientes. Como o Zoom é fundamental para nosso fluxo de trabalho, esse problema contínuo está causando considerável inconveniência, sem mencionar uma possível queda na produtividade.
Peço a sua assistência para resolver este assunto na sua conveniência mais rápida. Se necessário, posso fornecer logs ou qualquer informação adicional que possa ajudar a diagnosticar e corrigir esses problemas. É crucial que garantamos que essas funcionalidades estejam operacionalmente confiáveis para facilitar a comunicação e colaboração ininterruptas.
Obrigado pela sua atenção imediata a esta questão de alta prioridade. Aguardo sua rápida resposta e uma solução viável. Sinta-se à vontade para me contatar pelos meus detalhes fornecidos.
Atenciosamente,
&lt;name&gt;</t>
        </is>
      </c>
      <c r="G36" s="1" t="inlineStr">
        <is>
          <t>Incident</t>
        </is>
      </c>
      <c r="H36" s="1" t="inlineStr">
        <is>
          <t>Caro(a) &lt;name&gt;,
Obrigado por entrar em contato e por trazer este problema à nossa atenção. Pedimos desculpas pela inconveniência que você está experimentando com a versão do Zoom 5.11.0, especialmente com as funções de vídeo e compartilhamento de tela.
Nossa equipe está comprometida em ajudá-lo a resolver esses problemas técnicos rapidamente. Com base na sua descrição, parece que uma investigação detalhada pode ser necessária. Por favor, forneça-nos quaisquer logs de erro ou informações adicionais que você puder compartilhar, pois isso nos ajudará a diagnosticar o problema com precisão.
Enquanto isso, certifique-se de que os drivers do seu dispositivo, especialmente os de gráficos e rede, estão atualizados. Se possível, considere reverter temporariamente para uma versão anterior do Zoom para ver se isso alivia o problema enquanto trabalhamos em uma solução permanente.
Caso precise de qualquer assistência imediata adicional, sinta-se à vontade para entrar em contato na sua conveniência mais rápida.
Agradecemos sua paciência e compreensão e estamos confiantes de que resolveremos isso rapidamente para restaurar a funcionalidade total de suas reuniões.
Atenciosamente,
Equipe de Suporte ao Cliente de Serviços de TI</t>
        </is>
      </c>
      <c r="I36" s="1" t="inlineStr">
        <is>
          <t>high</t>
        </is>
      </c>
      <c r="J36" s="1" t="inlineStr">
        <is>
          <t>['Technical Support', 'Software Bug', 'Problem Resolution', 'Urgent Issue', 'Video Conferencing', 'Performance Tuning', 'Service Disruption']</t>
        </is>
      </c>
      <c r="K36" s="1" t="inlineStr">
        <is>
          <t>pt</t>
        </is>
      </c>
      <c r="L36" s="1" t="n">
        <v>2041</v>
      </c>
    </row>
    <row r="37" ht="16.5" customHeight="1">
      <c r="A37" s="1" t="n">
        <v>299</v>
      </c>
      <c r="B37" s="3" t="inlineStr">
        <is>
          <t>Solicitação de Serviço</t>
        </is>
      </c>
      <c r="C37" s="3" t="inlineStr">
        <is>
          <t>Gerenciamento de Ativos de TI</t>
        </is>
      </c>
      <c r="D37" s="1" t="inlineStr">
        <is>
          <t>Pedido de Troca: MacBook Air M1 com Defeito Após Uso</t>
        </is>
      </c>
      <c r="E37" s="1" t="inlineStr">
        <is>
          <t>Returns and Exchanges</t>
        </is>
      </c>
      <c r="F37" s="1" t="inlineStr">
        <is>
          <t>Caro Suporte ao Cliente,
Recentemente comprei um MacBook Air M1 e encontrei o teclado com defeito em duas semanas. Posso solicitar uma troca? Meu número do pedido é &lt;order_num&gt;.
Obrigado,
&lt;name&gt;
&lt;tel_num&gt;</t>
        </is>
      </c>
      <c r="G37" s="1" t="inlineStr">
        <is>
          <t>Incident</t>
        </is>
      </c>
      <c r="H37" s="1" t="inlineStr">
        <is>
          <t>Caro &lt;name&gt;,
Obrigado por entrar em contato. Lamentamos saber sobre o problema com seu MacBook Air M1. Você é elegível para solicitar uma troca devido ao teclado defeituoso. Por favor, visite a loja mais próxima ou entre em contato com nossa equipe de suporte com seu número do pedido &lt;order_num&gt; para mais assistência. Deixe-nos saber se você precisa de suporte adicional.
Atenciosamente,
Equipe de Suporte ao Cliente</t>
        </is>
      </c>
      <c r="I37" s="1" t="inlineStr">
        <is>
          <t>medium</t>
        </is>
      </c>
      <c r="J37" s="1" t="inlineStr">
        <is>
          <t>['Returns and Exchanges', 'Product Replacement', 'Customer Service', 'Order Issue', 'Technical Support']</t>
        </is>
      </c>
      <c r="K37" s="1" t="inlineStr">
        <is>
          <t>pt</t>
        </is>
      </c>
      <c r="L37" s="1" t="n">
        <v>206</v>
      </c>
    </row>
    <row r="38" ht="16.5" customHeight="1">
      <c r="A38" s="1" t="n">
        <v>301</v>
      </c>
      <c r="B38" s="3" t="inlineStr">
        <is>
          <t>Gerenciamento de Incidentes</t>
        </is>
      </c>
      <c r="C38" s="3" t="inlineStr">
        <is>
          <t>Gerenciamento de Disponibilidade</t>
        </is>
      </c>
      <c r="D38" s="1" t="inlineStr">
        <is>
          <t>Urgente: Problema de Conectividade do Roteador</t>
        </is>
      </c>
      <c r="E38" s="1" t="inlineStr">
        <is>
          <t>IT Support</t>
        </is>
      </c>
      <c r="F38" s="1" t="inlineStr">
        <is>
          <t>Caro Suporte de Serviços de TI,
Estamos enfrentando desconexões frequentes com nosso Roteador Cisco ISR4331, o que está interrompendo severamente nossos serviços de rede. Este problema requer uma resolução imediata para manter a conectividade estável da empresa.
Por favor, examine este assunto com urgência.
Atenciosamente,
&lt;name&gt;
Número da Conta: &lt;acc_num&gt;
Telefone: &lt;tel_num&gt;</t>
        </is>
      </c>
      <c r="G38" s="1" t="inlineStr">
        <is>
          <t>Problem</t>
        </is>
      </c>
      <c r="H38" s="1" t="inlineStr">
        <is>
          <t>Caro &lt;name&gt;,
Obrigado por entrar em contato. Entendemos a urgência do problema de conectividade com seu Roteador Cisco ISR4331. Nossa equipe de suporte técnico irá investigar isso imediatamente e entrar em contato com você em breve para resolver o problema.
Atenciosamente,
Equipe de Suporte de Serviços de TI</t>
        </is>
      </c>
      <c r="I38" s="1" t="inlineStr">
        <is>
          <t>high</t>
        </is>
      </c>
      <c r="J38" s="1" t="inlineStr">
        <is>
          <t>['Network Issue', 'Urgent Issue', 'Problem Resolution', 'Technical Support']</t>
        </is>
      </c>
      <c r="K38" s="1" t="inlineStr">
        <is>
          <t>pt</t>
        </is>
      </c>
      <c r="L38" s="1" t="n">
        <v>381</v>
      </c>
    </row>
    <row r="39" ht="16.5" customHeight="1">
      <c r="A39" s="1" t="n">
        <v>305</v>
      </c>
      <c r="B39" s="3" t="inlineStr">
        <is>
          <t>Gerenciamento de Incidentes</t>
        </is>
      </c>
      <c r="C39" s="3" t="inlineStr">
        <is>
          <t>Gerenciamento de Problemas</t>
        </is>
      </c>
      <c r="D39" s="1" t="inlineStr">
        <is>
          <t>Assistência Necessária: Problema de Configuração de Wi-Fi para Impressora Canon PIXMA MG3620</t>
        </is>
      </c>
      <c r="E39" s="1" t="inlineStr">
        <is>
          <t>Customer Service</t>
        </is>
      </c>
      <c r="F39" s="1" t="inlineStr">
        <is>
          <t>Caro Time de Suporte ao Cliente,
Espero que esta mensagem os encontre bem. Estou escrevendo para buscar assistência em relação a um problema de configuração sem fio que estou enfrentando com minha impressora, a Canon PIXMA MG3620. Atualmente, não consigo conectar a impressora à minha rede Wi-Fi, o que está afetando minha capacidade de concluir tarefas de impressão de forma eficiente.
Tentei vários métodos de solução de problemas, incluindo redefinir a impressora e verificar minha conexão Wi-Fi para outros dispositivos, mas infelizmente, o problema persiste. Dada a importância de ter uma conexão sem fio funcional para minhas necessidades de impressão, eu gostaria muito de receber qualquer orientação ou instruções detalhadas que você possa fornecer para resolver esse problema de configuração.
Você poderia me aconselhar sobre os próximos passos a serem tomados, ou se há alguma documentação disponível que possa me ajudar a resolver esse problema? Seu apoio seria imensamente útil para garantir que minha impressora funcione como deveria.
Agradeço antecipadamente pela sua assistência. Aguardo sua resposta rápida.
Atenciosamente,
&lt;name&gt;</t>
        </is>
      </c>
      <c r="G39" s="1" t="inlineStr">
        <is>
          <t>Request</t>
        </is>
      </c>
      <c r="H39" s="1" t="inlineStr">
        <is>
          <t>Caro &lt;name&gt;,
Obrigado por entrar em contato sobre o problema de configuração de Wi-Fi com sua impressora Canon PIXMA MG3620. Por favor, tente os seguintes passos:
1. Certifique-se de que sua impressora esteja próxima ao roteador Wi-Fi.
2. Pressione o botão Wi-Fi na sua impressora até que a lâmpada ON pisque.
3. Pressione o botão Color, depois o botão Wi-Fi.
4. Verifique se a lâmpada Wi-Fi está acesa e online.
5. Faça o download do aplicativo Canon PRINT no seu telefone ou PC e siga a configuração guiada.
6. Certifique-se de que seu roteador use uma banda de 2.4 GHz. A impressora não conectará em 5 GHz.
Mais assistência pode ser encontrada no manual da impressora ou no site de suporte da Canon. Se o problema persistir, entre em contato diretamente com a Canon para suporte.
Atenciosamente,
Equipe de Service Desk</t>
        </is>
      </c>
      <c r="I39" s="1" t="inlineStr">
        <is>
          <t>low</t>
        </is>
      </c>
      <c r="J39" s="1" t="inlineStr">
        <is>
          <t>['Technical Support', 'Product Support', 'Printer Issue', 'Wi-Fi Configuration', 'Problem Resolution', 'Technical Guidance']</t>
        </is>
      </c>
      <c r="K39" s="1" t="inlineStr">
        <is>
          <t>pt</t>
        </is>
      </c>
      <c r="L39" s="1" t="n">
        <v>1152</v>
      </c>
    </row>
    <row r="40" ht="16.5" customHeight="1">
      <c r="A40" s="1" t="n">
        <v>331</v>
      </c>
      <c r="B40" s="3" t="inlineStr">
        <is>
          <t>Gerenciamento Financeiro</t>
        </is>
      </c>
      <c r="C40" s="3" t="inlineStr">
        <is>
          <t>Gerenciamento de Incidentes</t>
        </is>
      </c>
      <c r="D40" s="1" t="inlineStr">
        <is>
          <t>Discrepância de Cobrança com o Serviço AWS</t>
        </is>
      </c>
      <c r="E40" s="1" t="inlineStr">
        <is>
          <t>Billing and Payments</t>
        </is>
      </c>
      <c r="F40" s="1" t="inlineStr">
        <is>
          <t>Caro Suporte ao Cliente,
Estou escrevendo para expressar minhas preocupações em relação às discrepâncias na minha fatura recente pelo Serviço de Gerenciamento da AWS. Parece que estou sendo cobrado por um uso incomumente alto e há cobranças inesperadas listadas que não correspondem aos meus registros. Você poderia, por favor, revisar minha conta, &lt;acc_num&gt;, e fornecer esclarecimentos sobre essas cobranças? Além disso, por favor, informe como elas podem ser corrigidas. Agradeço sua pronta atenção a este assunto.
Obrigado,
&lt;name&gt;
&lt;tel_num&gt;</t>
        </is>
      </c>
      <c r="G40" s="1" t="inlineStr">
        <is>
          <t>Problem</t>
        </is>
      </c>
      <c r="H40" s="1" t="inlineStr">
        <is>
          <t>Assunto: Discrepância de Cobrança - Serviço AWS
Caro &lt;name&gt;,
Obrigado por entrar em contato sobre a discrepância na sua fatura do Serviço de Gerenciamento da AWS. Entendemos suas preocupações em relação às cobranças inesperadas e ao uso incomumente alto.
Faremos uma revisão completa da sua conta, &lt;acc_num&gt;, para identificar quaisquer erros ou cobranças não antecipadas. Assim que a revisão for concluída, forneceremos esclarecimentos detalhados e descreveremos quaisquer etapas necessárias para corrigir o problema.
Suas preocupações são importantes para nós, e nos esforçaremos para resolver isso o mais rápido possível. Agradecemos sua paciência e voltaremos em breve com nossas descobertas.
Atenciosamente,
Equipe de Suporte ao Cliente</t>
        </is>
      </c>
      <c r="I40" s="1" t="inlineStr">
        <is>
          <t>high</t>
        </is>
      </c>
      <c r="J40" s="1" t="inlineStr">
        <is>
          <t>['Billing Issue', 'Customer Service', 'Account Assistance', 'Problem Resolution']</t>
        </is>
      </c>
      <c r="K40" s="1" t="inlineStr">
        <is>
          <t>pt</t>
        </is>
      </c>
      <c r="L40" s="1" t="n">
        <v>545</v>
      </c>
    </row>
    <row r="41" ht="16.5" customHeight="1">
      <c r="A41" s="1" t="n">
        <v>350</v>
      </c>
      <c r="B41" s="3" t="inlineStr">
        <is>
          <t>Gerenciamento de Incidentes</t>
        </is>
      </c>
      <c r="C41" s="3" t="inlineStr">
        <is>
          <t>Gerenciamento de Problemas</t>
        </is>
      </c>
      <c r="D41" s="1" t="inlineStr">
        <is>
          <t>Problemas de Conectividade com Impressora Canon</t>
        </is>
      </c>
      <c r="E41" s="1" t="inlineStr">
        <is>
          <t>Product Support</t>
        </is>
      </c>
      <c r="F41" s="1" t="inlineStr">
        <is>
          <t>Prezada Equipe de Suporte da Tech Online Store, estou escrevendo para relatar problemas de conectividade com minha impressora Canon PIXMA MG3620 durante impressões móveis. Ela frequentemente perde a conexão sem fio, interrompendo as minhas tarefas de impressão. Por favor, ajudem a resolver esse problema persistente para que eu possa usar minha impressora de forma eficiente. A sua resposta rápida será muito apreciada. Obrigado pela sua ajuda. Atenciosamente, &lt;name&gt;</t>
        </is>
      </c>
      <c r="G41" s="1" t="inlineStr">
        <is>
          <t>Problem</t>
        </is>
      </c>
      <c r="H41" s="1" t="inlineStr">
        <is>
          <t>Caro &lt;name&gt;,
Obrigado por entrar em contato sobre o problema de conectividade com sua impressora Canon PIXMA MG3620. Por favor, tente as seguintes etapas para melhorar a estabilidade sem fio:
1. Certifique-se de que o firmware da sua impressora esteja atualizado.
2. Posicione sua impressora mais próxima do roteador sem fio para reduzir a interrupção do sinal.
3. Verifique se há alguma interferência de outros dispositivos eletrônicos.
4. Redefina as configurações de rede na impressora e reconecte-a à sua rede Wi-Fi.
Se o problema persistir, por favor, nos informe para que possamos explorar mais opções. Agradecemos sua paciência e estamos aqui para ajudar.
Atenciosamente,
Equipe de Suporte da Tech Online Store</t>
        </is>
      </c>
      <c r="I41" s="1" t="inlineStr">
        <is>
          <t>medium</t>
        </is>
      </c>
      <c r="J41" s="1" t="inlineStr">
        <is>
          <t>['Technical Support', 'Product Support', 'Hardware Failure', 'Network Issue', 'Problem Resolution']</t>
        </is>
      </c>
      <c r="K41" s="1" t="inlineStr">
        <is>
          <t>pt</t>
        </is>
      </c>
      <c r="L41" s="1" t="n">
        <v>468</v>
      </c>
    </row>
    <row r="42" ht="16.5" customHeight="1">
      <c r="A42" s="1" t="n">
        <v>356</v>
      </c>
      <c r="B42" s="3" t="inlineStr">
        <is>
          <t>Solicitação de Serviço</t>
        </is>
      </c>
      <c r="C42" s="3" t="inlineStr">
        <is>
          <t>Gerenciamento de Capacidade</t>
        </is>
      </c>
      <c r="D42" s="1" t="inlineStr">
        <is>
          <t>Solicitação de Assistência para Dicas de Otimização do Excel</t>
        </is>
      </c>
      <c r="E42" s="1" t="inlineStr">
        <is>
          <t>IT Support</t>
        </is>
      </c>
      <c r="F42" s="1" t="inlineStr">
        <is>
          <t>Estou enfrentando um desempenho lento com o Excel. Preciso de dicas e solução de problemas para o Office 365.</t>
        </is>
      </c>
      <c r="G42" s="1" t="inlineStr">
        <is>
          <t>Incident</t>
        </is>
      </c>
      <c r="H42" s="1" t="inlineStr">
        <is>
          <t>Tente estas dicas: Feche aplicativos não utilizados, limite cálculos em segundo plano, atualize o Office 365 e limpe arquivos grandes. Considere usar o Power Query para eficiência.</t>
        </is>
      </c>
      <c r="I42" s="1" t="inlineStr">
        <is>
          <t>low</t>
        </is>
      </c>
      <c r="J42" s="1" t="inlineStr">
        <is>
          <t>['Technical Support', 'Performance Tuning', 'Problem Resolution', 'Software Bug', 'Technical Guidance']</t>
        </is>
      </c>
      <c r="K42" s="1" t="inlineStr">
        <is>
          <t>pt</t>
        </is>
      </c>
      <c r="L42" s="1" t="n">
        <v>109</v>
      </c>
    </row>
    <row r="43" ht="16.5" customHeight="1">
      <c r="A43" s="1" t="n">
        <v>364</v>
      </c>
      <c r="B43" s="3" t="inlineStr">
        <is>
          <t>Gerenciamento de Incidentes</t>
        </is>
      </c>
      <c r="C43" s="3" t="inlineStr">
        <is>
          <t>Gerenciamento de Problemas</t>
        </is>
      </c>
      <c r="D43" s="1" t="inlineStr">
        <is>
          <t>Problemas de Conectividade e Desempenho do Wi-Fi com o Roteador Cisco</t>
        </is>
      </c>
      <c r="E43" s="1" t="inlineStr">
        <is>
          <t>Technical Support</t>
        </is>
      </c>
      <c r="F43" s="1" t="inlineStr">
        <is>
          <t>Prezado Suporte ao Cliente,
Estou escrevendo para expressar preocupações sobre problemas contínuos de conectividade do Wi-Fi atribuídos ao nosso Roteador Cisco ISR4331. Nas últimas semanas, temos enfrentado quedas regulares de desempenho, que suspeitamos serem devido a uma má configuração do roteador. Essas interrupções estão impactando significativamente a confiabilidade de nossa rede empresarial e, portanto, nossas operações comerciais.
Apesar das tentativas de resolver o problema por meio de várias medidas de solução de problemas, o problema persiste, levando a interrupções que afetam nossa eficiência de trabalho. Solicitamos gentilmente sua ajuda para resolver essa questão como prioridade. Você poderia, por favor, aconselhar sobre soluções potenciais ou agendar uma visita técnica na primeira conveniência?
Obrigado pela sua atenção imediata a esta questão urgente.
Atenciosamente,
&lt;name&gt;
&lt;email_address&gt;
&lt;tel_num&gt;</t>
        </is>
      </c>
      <c r="G43" s="1" t="inlineStr">
        <is>
          <t>Incident</t>
        </is>
      </c>
      <c r="H43" s="1" t="inlineStr">
        <is>
          <t>Prezado &lt;name&gt;,
Obrigado por entrar em contato sobre os problemas de conectividade do Wi-Fi com seu Roteador Cisco ISR4331. Entendo a urgência e o impacto que isso tem em suas operações.
Para alívio imediato, você poderia, por favor, garantir que o firmware do roteador esteja atualizado para a versão mais recente? Além disso, verifique se nenhuma configuração foi alterada que possa afetar o desempenho.
Se o problema persistir, ficarei feliz em agendar uma visita técnica na sua primeira conveniência ou fornecer mais assistência por meio de uma sessão remota. Por favor, nos avise qual é sua preferência.
Obrigado pela sua paciência e compreensão.
Atenciosamente,
Equipe de Suporte ao Cliente</t>
        </is>
      </c>
      <c r="I43" s="1" t="inlineStr">
        <is>
          <t>medium</t>
        </is>
      </c>
      <c r="J43" s="1" t="inlineStr">
        <is>
          <t>['Network Issue', 'Technical Support', 'Service Disruption', 'Urgent Issue', 'Performance Tuning', 'Problem Resolution']</t>
        </is>
      </c>
      <c r="K43" s="1" t="inlineStr">
        <is>
          <t>pt</t>
        </is>
      </c>
      <c r="L43" s="1" t="n">
        <v>935</v>
      </c>
    </row>
    <row r="44" ht="16.5" customHeight="1">
      <c r="A44" s="1" t="n">
        <v>366</v>
      </c>
      <c r="B44" s="3" t="inlineStr">
        <is>
          <t>Gerenciamento de Problemas</t>
        </is>
      </c>
      <c r="C44" s="3" t="inlineStr">
        <is>
          <t>Gerenciamento de Mudanças</t>
        </is>
      </c>
      <c r="D44" s="1" t="inlineStr">
        <is>
          <t>Solicitação de Recurso de Bug Adicional no VSCode</t>
        </is>
      </c>
      <c r="E44" s="1" t="inlineStr">
        <is>
          <t>Product Support</t>
        </is>
      </c>
      <c r="F44" s="1" t="inlineStr">
        <is>
          <t>Caro Suporte ao Cliente,
Estou escrevendo para tratar do problema relacionado à funcionalidade adicional de bug da família não disponível no Visual Studio Code 1.70. Atualmente, existem problemas com temas claros e falta de exibição de paletas, tornando as tarefas de codificação desafiadoras. Por favor, ajudem a resolver esses problemas.
Obrigado pelo seu apoio.
Atenciosamente,
&lt;name&gt;</t>
        </is>
      </c>
      <c r="G44" s="1" t="inlineStr">
        <is>
          <t>Change</t>
        </is>
      </c>
      <c r="H44" s="1" t="inlineStr">
        <is>
          <t>Assunto: Re: Solicitação de Recurso de Bug Adicional no VSCode
Caro &lt;name&gt;,
Obrigado por entrar em contato. Entendemos a dificuldade que você está enfrentando com a ausência da funcionalidade adicional de bug da família no Visual Studio Code 1.70, especialmente em relação a problemas de temas claros e exibição de paletas. Recomendamos verificar se há atualizações, pois novas versões podem resolver esses problemas. Como alternativa, considere explorar extensões que possam oferecer soluções para a funcionalidade de tema e paleta.
Se precisar de mais assistência, fique à vontade para nos contatar.
Atenciosamente,
Equipe de Suporte ao Cliente</t>
        </is>
      </c>
      <c r="I44" s="1" t="inlineStr">
        <is>
          <t>medium</t>
        </is>
      </c>
      <c r="J44" s="1" t="inlineStr">
        <is>
          <t>['Software Bug', 'Technical Support', 'Product Support', 'Feature Request', 'Problem Resolution']</t>
        </is>
      </c>
      <c r="K44" s="1" t="inlineStr">
        <is>
          <t>pt</t>
        </is>
      </c>
      <c r="L44" s="1" t="n">
        <v>390</v>
      </c>
    </row>
    <row r="45" ht="16.5" customHeight="1">
      <c r="A45" s="1" t="n">
        <v>372</v>
      </c>
      <c r="B45" s="3" t="inlineStr">
        <is>
          <t>Gerenciamento de Incidentes</t>
        </is>
      </c>
      <c r="C45" s="3" t="inlineStr">
        <is>
          <t>Gerenciamento de Problemas</t>
        </is>
      </c>
      <c r="D45" s="1" t="inlineStr">
        <is>
          <t>Assistência Imediata Necessária: Problemas de Conexão ao Zoom</t>
        </is>
      </c>
      <c r="E45" s="1" t="inlineStr">
        <is>
          <t>Technical Support</t>
        </is>
      </c>
      <c r="F45" s="1" t="inlineStr">
        <is>
          <t>Saudações, estou enfrentando problemas de conectividade com a versão 5.11.0 do Zoom durante chamadas de vídeo. Isso está impactando significativamente nossa eficácia de comunicação e reuniões importantes. Agradeceria seu suporte rápido sobre este assunto. Obrigado. Atenciosamente, &lt;name&gt; Conta: &lt;acc_num&gt;.</t>
        </is>
      </c>
      <c r="G45" s="1" t="inlineStr">
        <is>
          <t>Problem</t>
        </is>
      </c>
      <c r="H45" s="1" t="inlineStr">
        <is>
          <t>Oi &lt;name&gt;, pedimos desculpas pelo transtorno com o Zoom. Por favor, verifique se seu software está atualizado, cheque sua conexão com a internet e tente reiniciar seu dispositivo. Se os problemas persistirem, entre em contato com nossa equipe de suporte para assistência adicional. Obrigado pela sua compreensão. Atenciosamente, Agente do Service Desk.</t>
        </is>
      </c>
      <c r="I45" s="1" t="inlineStr">
        <is>
          <t>high</t>
        </is>
      </c>
      <c r="J45" s="1" t="inlineStr">
        <is>
          <t>['Technical Support', 'Networking Issue', 'Service Disruption', 'Urgent Issue', 'Problem Resolution']</t>
        </is>
      </c>
      <c r="K45" s="1" t="inlineStr">
        <is>
          <t>pt</t>
        </is>
      </c>
      <c r="L45" s="1" t="n">
        <v>306</v>
      </c>
    </row>
    <row r="46" ht="16.5" customHeight="1">
      <c r="A46" s="1" t="n">
        <v>376</v>
      </c>
      <c r="B46" s="3" t="inlineStr">
        <is>
          <t>Solicitação de Serviço</t>
        </is>
      </c>
      <c r="C46" s="3" t="inlineStr">
        <is>
          <t>Gerenciamento Financeiro</t>
        </is>
      </c>
      <c r="D46" s="1" t="inlineStr">
        <is>
          <t>Pedido de Assistência para Mudança de Configuração da AWS</t>
        </is>
      </c>
      <c r="E46" s="1" t="inlineStr">
        <is>
          <t>IT Support</t>
        </is>
      </c>
      <c r="F46" s="1" t="inlineStr">
        <is>
          <t>Prezada Equipe de Suporte ao Cliente,
Estou escrevendo para solicitar assistência com uma mudança de configuração para otimizar os custos da infraestrutura da AWS e melhorar a eficiência da implantação na nuvem. Atualmente, estamos usando seu Serviço de Gerenciamento da AWS e identificamos melhorias potenciais que podem beneficiar muito nossas operações. Você poderia nos aconselhar sobre os melhores passos para iniciar esse processo? Sua resposta rápida seria muito apreciada.
Obrigado pelo seu contínuo apoio.
Atenciosamente,
&lt;name&gt;</t>
        </is>
      </c>
      <c r="G46" s="1" t="inlineStr">
        <is>
          <t>Change</t>
        </is>
      </c>
      <c r="H46" s="1" t="inlineStr">
        <is>
          <t>Prezado &lt;name&gt;,
Obrigado por entrar em contato sobre a mudança de configuração da AWS. Para otimizar seus custos e eficiência da AWS, recomendamos começar revisando a infraestrutura existente usando o AWS Cost Explorer e o Trusted Advisor. Assim que as áreas de melhoria forem identificadas, considere implementar Instâncias Reservadas ou Planos de Economia para economia de custos. Para melhorar a eficiência da implantação, o AWS Elastic Beanstalk ou o EC2 Auto Scaling podem ser ferramentas valiosas.
Por favor, forneça detalhes sobre recursos específicos ou áreas que você deseja focar, e poderemos oferecer recomendações mais personalizadas. Nos avise se precisar de assistência para acessar alguma dessas ferramentas.
Atenciosamente,
Equipe de Suporte ao Cliente</t>
        </is>
      </c>
      <c r="I46" s="1" t="inlineStr">
        <is>
          <t>high</t>
        </is>
      </c>
      <c r="J46" s="1" t="inlineStr">
        <is>
          <t>['Technical Support', 'Product Support', 'General Inquiry', 'Service Notification', 'Technical Guidance']</t>
        </is>
      </c>
      <c r="K46" s="1" t="inlineStr">
        <is>
          <t>pt</t>
        </is>
      </c>
      <c r="L46" s="1" t="n">
        <v>540</v>
      </c>
    </row>
    <row r="47" ht="16.5" customHeight="1">
      <c r="A47" s="1" t="n">
        <v>398</v>
      </c>
      <c r="B47" s="3" t="inlineStr">
        <is>
          <t>Gerenciamento de Incidentes</t>
        </is>
      </c>
      <c r="C47" s="3" t="inlineStr">
        <is>
          <t>Gerenciamento de Ativos de TI</t>
        </is>
      </c>
      <c r="D47" s="1" t="inlineStr">
        <is>
          <t>Suporte Urgente para Problema de Laptop</t>
        </is>
      </c>
      <c r="E47" s="1" t="inlineStr">
        <is>
          <t>Product Support</t>
        </is>
      </c>
      <c r="F47" s="1" t="inlineStr">
        <is>
          <t>Caro Suporte da Tech Online Store,
Estou escrevendo para solicitar urgentemente assistência referente a uma séria falha de hardware com meu laptop Dell XPS 13 9310. Este dispositivo de alto desempenho é crítico para meu trabalho diário e, atualmente, está inutilizável devido a esse problema.
Preciso de ajuda imediata para que o problema seja diagnosticado e resolvido. Por favor, informe os próximos passos para um reparo ou substituição. Meu número de conta é &lt;acc_num&gt;. Estou disponível em &lt;tel_num&gt;, caso você precise de mais detalhes. Agradeço sua rápida atenção a este assunto urgente.
Obrigado.
Atenciosamente,
&lt;name&gt;</t>
        </is>
      </c>
      <c r="G47" s="1" t="inlineStr">
        <is>
          <t>Request</t>
        </is>
      </c>
      <c r="H47" s="1" t="inlineStr">
        <is>
          <t>Caro &lt;name&gt;,
Obrigado por entrar em contato com o Suporte da Tech Online Store. Entendo a urgência da sua situação com o Dell XPS 13 9310 e peço desculpas por qualquer inconveniente que esta falha possa estar causando.
Para prosseguir, por favor, reinicie o dispositivo e verifique se há mensagens de erro visíveis ou sons incomuns. Se o problema persistir, gentilmente leve seu laptop ao nosso centro de serviço mais próximo ou aproveite nosso serviço de diagnóstico remoto. Nossa equipe avaliará a falha de hardware e irá aconselhar sobre o reparo ou substituição com base na avaliação deles.
Registrei seus dados de conta e contato para garantir que minimizemos atrasos e comuniquemos de forma eficiente. Caso você encontre qualquer problema ou precise de mais instruções, fique à vontade para entrar em contato por telefone quando for conveniente.
Fique tranquilo, estamos comprometidos em resolver isso rapidamente para que você possa retornar às suas atividades de trabalho regulares.
Obrigado pela sua paciência e compreensão.
Atenciosamente,
Equipe de Suporte da Tech Online Store</t>
        </is>
      </c>
      <c r="I47" s="1" t="inlineStr">
        <is>
          <t>high</t>
        </is>
      </c>
      <c r="J47" s="1" t="inlineStr">
        <is>
          <t>['Urgent Issue', 'Hardware Failure', 'Technical Support', 'Product Support', 'Problem Resolution', 'Service Recovery', 'Account Assistance']</t>
        </is>
      </c>
      <c r="K47" s="1" t="inlineStr">
        <is>
          <t>pt</t>
        </is>
      </c>
      <c r="L47" s="1" t="n">
        <v>629</v>
      </c>
    </row>
    <row r="48" ht="16.5" customHeight="1">
      <c r="A48" s="1" t="n">
        <v>403</v>
      </c>
      <c r="B48" s="3" t="inlineStr">
        <is>
          <t>Gerenciamento de Incidentes</t>
        </is>
      </c>
      <c r="C48" s="3" t="inlineStr">
        <is>
          <t>Gerenciamento de Problemas</t>
        </is>
      </c>
      <c r="D48" s="1" t="inlineStr">
        <is>
          <t>Relatório de Problema: Dell XPS 13 Superaquecendo Durante o Uso</t>
        </is>
      </c>
      <c r="E48" s="1" t="inlineStr">
        <is>
          <t>Customer Service</t>
        </is>
      </c>
      <c r="F48" s="1" t="inlineStr">
        <is>
          <t>Prezado Suporte ao Cliente,
Estou escrevendo para relatar um problema persistente que venho enfrentando com meu Dell XPS 13 9310 recém-adquirido. Durante o uso regular, o laptop tende a superaquecer significativamente, causando não apenas desconforto durante a utilização, mas também levando a quedas notáveis no desempenho. Esse superaquecimento ocorre mesmo em tarefas que deveriam ser relativamente de baixa intensidade.
Quando optei pelo Dell XPS 13 9310, esperava encontrar um dispositivo confiável e eficiente que pudesse lidar com minhas necessidades computacionais com suavidade. No entanto, esse problema persistente de superaquecimento se tornou bastante frustrante e impacta minha rotina de trabalho diária.
Agradeceria sua orientação sobre o assunto. Você poderia fornecer instruções sobre como resolver ou solucionar esse problema de superaquecimento? Alternativamente, se necessário, gostaria de discutir opções possíveis para reparo ou substituição. Sua assistência rápida nesta situação seria muito apreciada.
Obrigado pela sua compreensão e apoio.
Melhores cumprimentos,
&lt;name&gt;
&lt;acc_num&gt;
&lt;tel_num&gt;</t>
        </is>
      </c>
      <c r="G48" s="1" t="inlineStr">
        <is>
          <t>Incident</t>
        </is>
      </c>
      <c r="H48" s="1" t="inlineStr">
        <is>
          <t>Prezado &lt;name&gt;,
Obrigado por nos contatar sobre o problema de superaquecimento com seu Dell XPS 13 9310. Eu entendo como isso pode ser frustrante e estou aqui para ajudar.
Para começar a solução de problemas, você pode considerar os seguintes passos:
1. Certifique-se de que as aberturas do laptop não estejam bloqueadas e estejam limpas, permitindo a circulação de ar.
2. Use o aplicativo Dell Power Manager para ajustar as configurações de gerenciamento térmico para "Frio" para reduzir o desempenho e melhorar o resfriamento.
3. Verifique se o BIOS e os drivers do seu laptop estão atualizados, pois as atualizações podem melhorar a estabilidade e a eficiência do sistema.
Se esses passos não resolverem o problema, podemos analisar opções de reparo ou substituição. Por favor, entre em contato conosco com as informações da sua compra mencionadas juntamente com seu &lt;acc_num&gt; preparado, e posso ajudá-lo mais para resolver esse problema rapidamente.
Sua assistência rápida nesta situação é nossa prioridade.
Obrigado pela sua paciência e compreensão.
Melhores cumprimentos,
[Seu Nome]
Suporte ao Cliente</t>
        </is>
      </c>
      <c r="I48" s="1" t="inlineStr">
        <is>
          <t>medium</t>
        </is>
      </c>
      <c r="J48" s="1" t="inlineStr">
        <is>
          <t>['Technical Support', 'Product Support', 'Hardware Failure', 'Performance Tuning', 'Problem Resolution', 'Warranty Claim']</t>
        </is>
      </c>
      <c r="K48" s="1" t="inlineStr">
        <is>
          <t>pt</t>
        </is>
      </c>
      <c r="L48" s="1" t="n">
        <v>1122</v>
      </c>
    </row>
    <row r="49" ht="16.5" customHeight="1">
      <c r="A49" s="1" t="n">
        <v>405</v>
      </c>
      <c r="B49" s="3" t="inlineStr">
        <is>
          <t>Solicitação de Serviço</t>
        </is>
      </c>
      <c r="C49" s="3" t="inlineStr">
        <is>
          <t>Gerenciamento de Configuração</t>
        </is>
      </c>
      <c r="D49" s="1" t="inlineStr">
        <is>
          <t>Assistência Necessária para Configuração Inicial</t>
        </is>
      </c>
      <c r="E49" s="1" t="inlineStr">
        <is>
          <t>Product Support</t>
        </is>
      </c>
      <c r="F49" s="1" t="inlineStr">
        <is>
          <t>Caro Equipe de Suporte da Tech Online Store,
Espero que esta mensagem os encontre bem. Recentemente, comprei um Dell XPS 13 9310 em sua loja e estou buscando assistência com a configuração inicial do laptop. Como alguém que aprecia produtos fáceis de usar, fui atraído pelo Dell XPS 13 por sua reputação de recursos de facilidade de uso. No entanto, apesar das avaliações positivas, sinto que preciso de algumas orientações adicionais para garantir que estou otimizando todos os recursos disponíveis desde o início.
Uma área particular com a qual eu gostaria de ajuda é o processo de instalação de software. Quero garantir que todo o software necessário seja instalado corretamente para evitar quaisquer problemas futuros. Além disso, se houver dicas ou recursos que você acha que melhorariam minha experiência como usuário, eu apreciaria suas opiniões.
Já tentei seguir as instruções fornecidas, mas estou encontrando algumas dificuldades e apreciaria muito seu apoio para resolvê-las. Se houver um manual de suporte ou recurso online que você recomenda, por favor, me avise.
Obrigado pelo seu tempo e assistência.
Atenciosamente,
&lt;name&gt;
&lt;email&gt;</t>
        </is>
      </c>
      <c r="G49" s="1" t="inlineStr">
        <is>
          <t>Request</t>
        </is>
      </c>
      <c r="H49" s="1" t="inlineStr">
        <is>
          <t>Caro &lt;name&gt;,
Obrigado por entrar em contato conosco sobre seu Dell XPS 13 9310. Estamos felizes em ajudá-lo com a configuração inicial do seu laptop.
Para garantir uma instalação bem-sucedida do software, recomendamos seguir estas etapas:
1. Comece com o Windows Update: Certifique-se de que seu sistema operacional esteja atualizado verificando as últimas atualizações.
2. Instale o Dell SupportAssist: Este software irá guiá-lo pelo processo de instalação de drivers e qualquer outro software crítico.
3. Software Essencial: Considere instalar software de produtividade, como suítes de Office ou quaisquer soluções de antivírus que você possa usar.
Para otimizar a experiência do usuário, aqui estão algumas dicas:
- Dell Mobile Connect: Utilize este recurso para vincular seu telefone ao laptop para um melhor acesso.
- Uso da Bateria: Ajuste as configurações de energia para prolongar a vida útil da bateria com base em suas necessidades.
- Utilize o Dell Cinema: Se você assiste a vídeos, este recurso otimiza sua experiência visual e de áudio.
Também recomendamos a página de suporte oficial da Dell para manuais de usuário e guias passo a passo, disponíveis em dell.com/support.
Se necessário, nossa equipe de suporte técnico pode fornecer assistência direta. Por favor, responda com os detalhes de contato preferidos se você quiser mais ajuda.
Estamos aqui para garantir que você tenha uma experiência tranquila.
Atenciosamente,
Equipe de Suporte da Tech Online Store</t>
        </is>
      </c>
      <c r="I49" s="1" t="inlineStr">
        <is>
          <t>low</t>
        </is>
      </c>
      <c r="J49" s="1" t="inlineStr">
        <is>
          <t>['Technical Support', 'Product Support', 'Software Bug', 'Feature Request', 'Technical Guidance']</t>
        </is>
      </c>
      <c r="K49" s="1" t="inlineStr">
        <is>
          <t>pt</t>
        </is>
      </c>
      <c r="L49" s="1" t="n">
        <v>1152</v>
      </c>
    </row>
    <row r="50" ht="16.5" customHeight="1">
      <c r="A50" s="1" t="n">
        <v>424</v>
      </c>
      <c r="B50" s="3" t="inlineStr">
        <is>
          <t>Solicitação de Serviço</t>
        </is>
      </c>
      <c r="C50" s="3" t="inlineStr">
        <is>
          <t>Gerenciamento Financeiro</t>
        </is>
      </c>
      <c r="D50" s="1" t="inlineStr">
        <is>
          <t>Solicitando Alterações para Melhoria da Estratégia AWS</t>
        </is>
      </c>
      <c r="E50" s="1" t="inlineStr">
        <is>
          <t>IT Support</t>
        </is>
      </c>
      <c r="F50" s="1" t="inlineStr">
        <is>
          <t>Caro Suporte de Serviços de TI,
Espero que este e-mail o encontre bem. Estou escrevendo para solicitar mudanças em nossa estratégia atual de Gestão da AWS para melhorar nossa otimização de custos e eficiência de implantação para nossas necessidades de infraestrutura. Nossa configuração atual é funcional, mas acreditamos que há potencial para um desempenho melhorado e maiores economias. Agradeceríamos uma revisão detalhada de nossos planos de serviço e recomendações específicas sobre como implementar essas mudanças. Por favor, nos informe os próximos passos para iniciar um processo de avaliação. Sua atenção rápida a este assunto é muito apreciada.
Obrigado,
&lt;name&gt;</t>
        </is>
      </c>
      <c r="G50" s="1" t="inlineStr">
        <is>
          <t>Change</t>
        </is>
      </c>
      <c r="H50" s="1" t="inlineStr">
        <is>
          <t>Assunto: Re: Solicitando Alterações para Melhoria da Estratégia AWS
Caro &lt;name&gt;,
Obrigado por entrar em contato a respeito de sua estratégia de Gestão da AWS. Entendemos a importância da otimização de custos e da eficiência de implantação. Iniciaremos uma revisão detalhada de seus planos de serviço atuais para fornecer recomendações específicas para melhorias. Nossa equipe entrará em contato em breve para discutir os passos do processo de avaliação e coletar qualquer informação adicional necessária.
Sinta-se à vontade para nos contatar se tiver mais perguntas.
Atenciosamente,
Suporte de Serviços de TI</t>
        </is>
      </c>
      <c r="I50" s="1" t="inlineStr">
        <is>
          <t>high</t>
        </is>
      </c>
      <c r="J50" s="1" t="inlineStr">
        <is>
          <t>['Technical Support', 'Product Support', 'IT Support', 'Performance Tuning', 'Feature Request', 'Service Notification']</t>
        </is>
      </c>
      <c r="K50" s="1" t="inlineStr">
        <is>
          <t>pt</t>
        </is>
      </c>
      <c r="L50" s="1" t="n">
        <v>674</v>
      </c>
    </row>
    <row r="51" ht="16.5" customHeight="1">
      <c r="A51" s="1" t="n">
        <v>451</v>
      </c>
      <c r="B51" s="3" t="inlineStr">
        <is>
          <t>Solicitação de Serviço</t>
        </is>
      </c>
      <c r="C51" s="3" t="inlineStr">
        <is>
          <t>Gerenciamento de Ativos de TI</t>
        </is>
      </c>
      <c r="D51" s="1" t="inlineStr">
        <is>
          <t>Solicitação de Troca de Impressora</t>
        </is>
      </c>
      <c r="E51" s="1" t="inlineStr">
        <is>
          <t>Returns and Exchanges</t>
        </is>
      </c>
      <c r="F51" s="1" t="inlineStr">
        <is>
          <t>Caro Suporte da Loja Online Tech,
Estou enfrentando travamentos de papel frequentes com minha impressora Canon PIXMA MG3620, o que torna quase impossível usá-la de forma eficaz. Podemos arranjar uma troca para esta unidade? Meus detalhes de compra: Número do Pedido &lt;acc_num&gt;, sob &lt;name&gt;. Por favor, me avise sobre os próximos passos. Obrigado pela sua ajuda.
Atenciosamente,
&lt;name&gt;
&lt;tel_num&gt;</t>
        </is>
      </c>
      <c r="G51" s="1" t="inlineStr">
        <is>
          <t>Request</t>
        </is>
      </c>
      <c r="H51" s="1" t="inlineStr">
        <is>
          <t>Caro &lt;name&gt;,
Obrigado por entrar em contato sobre sua impressora Canon PIXMA MG3620. Pedimos desculpas pelo inconveniente com os travamentos de papel frequentes. Para ajudá-lo com a troca, por favor, assegure-se de que a impressora está dentro do período de garantia e que você possui a embalagem original disponível. Envie uma cópia do seu recibo de compra para o nosso departamento de devoluções, mencionando o Número do Pedido &lt;acc_num&gt;. Nossa equipe coordenará o processo de troca e entrará em contato com você via &lt;tel_num&gt; para instruções adicionais.
Atenciosamente,
Suporte da Loja Online Tech</t>
        </is>
      </c>
      <c r="I51" s="1" t="inlineStr">
        <is>
          <t>medium</t>
        </is>
      </c>
      <c r="J51" s="1" t="inlineStr">
        <is>
          <t>['Returns and Exchanges', 'Product Support', 'Warranty Claim', 'Order Issue', 'Service Recovery']</t>
        </is>
      </c>
      <c r="K51" s="1" t="inlineStr">
        <is>
          <t>pt</t>
        </is>
      </c>
      <c r="L51" s="1" t="n">
        <v>395</v>
      </c>
    </row>
    <row r="52" ht="16.5" customHeight="1">
      <c r="A52" s="1" t="n">
        <v>452</v>
      </c>
      <c r="B52" s="3" t="inlineStr">
        <is>
          <t>Gerenciamento Financeiro</t>
        </is>
      </c>
      <c r="C52" s="3" t="inlineStr">
        <is>
          <t>Gerenciamento de Incidentes</t>
        </is>
      </c>
      <c r="D52" s="1" t="inlineStr">
        <is>
          <t>Assistência imediata necessária para problemas de cobrança</t>
        </is>
      </c>
      <c r="E52" s="1" t="inlineStr">
        <is>
          <t>Billing and Payments</t>
        </is>
      </c>
      <c r="F52" s="1" t="inlineStr">
        <is>
          <t>Caro Suporte ao Cliente,
Estou escrevendo para relatar um problema de cobrança que estou enfrentando com várias compras feitas através da Loja Online Tech usando a extensão do Google Chrome para a versão 102.0. Parece que estão aparecendo cobranças inesperadas na minha conta &lt;acc_num&gt;. As compras listadas não estão alinhadas com minhas atividades recentes, e acredito que possa haver um erro.
Preciso urgentemente da sua assistência para resolver esse assunto. Por favor, revise as cobranças assim que possível e informe sobre os passos para corrigir os erros. Minhas informações de contato são &lt;tel_num&gt;, e você pode entrar em contato comigo diretamente se mais detalhes forem necessários.
Obrigado pela sua rápida atenção a este problema.
Atenciosamente,
&lt;name&gt;</t>
        </is>
      </c>
      <c r="G52" s="1" t="inlineStr">
        <is>
          <t>Request</t>
        </is>
      </c>
      <c r="H52" s="1" t="inlineStr">
        <is>
          <t>Caro &lt;name&gt;,
Obrigado por trazer esse problema à nossa atenção. Entendemos sua preocupação em relação às cobranças inesperadas na sua conta &lt;acc_num&gt;. Nossa equipe investigará o assunto prontamente para identificar quaisquer erros relacionados às compras realizadas através da Loja Online Tech usando a extensão do Google Chrome.
Para agilizar o processo de resolução, revisaremos as atividades da sua conta e as cobranças em questão. Garantimos que quaisquer discrepâncias serão tratadas prontamente.
Se precisarmos de mais informações, entraremos em contato diretamente com você pelo &lt;tel_num&gt;. Enquanto isso, recomendamos que verifique suas compras anteriores por quaisquer transações desconhecidas ou transações que possam corresponder às cobranças.
Obrigado pela sua paciência e compreensão. Entraremos em contato com uma atualização assim que possível.
Atenciosamente,
Equipe de Suporte ao Cliente</t>
        </is>
      </c>
      <c r="I52" s="1" t="inlineStr">
        <is>
          <t>high</t>
        </is>
      </c>
      <c r="J52" s="1" t="inlineStr">
        <is>
          <t>['Billing Issue', 'Customer Service', 'Urgent Issue', 'Problem Resolution', 'Payment Processing', 'Refund Request']</t>
        </is>
      </c>
      <c r="K52" s="1" t="inlineStr">
        <is>
          <t>pt</t>
        </is>
      </c>
      <c r="L52" s="1" t="n">
        <v>769</v>
      </c>
    </row>
    <row r="53" ht="16.5" customHeight="1">
      <c r="A53" s="1" t="n">
        <v>459</v>
      </c>
      <c r="B53" s="3" t="inlineStr">
        <is>
          <t>Solicitação de Serviço</t>
        </is>
      </c>
      <c r="C53" s="3" t="inlineStr">
        <is>
          <t>Gerenciamento Financeiro</t>
        </is>
      </c>
      <c r="D53" s="1" t="inlineStr">
        <is>
          <t>Pedido de Alteração para o Plano de Assinatura do Office 365</t>
        </is>
      </c>
      <c r="E53" s="1" t="inlineStr">
        <is>
          <t>Product Support</t>
        </is>
      </c>
      <c r="F53" s="1" t="inlineStr">
        <is>
          <t>Olá Atendimento ao Cliente,
Estou escrevendo para solicitar uma alteração no meu atual plano de assinatura do Microsoft Office 365. Estou interessado em fazer um upgrade para incluir armazenamento em nuvem adicional e as últimas atualizações para o cliente de e-mail. Além disso, gostaria de entender como essa mudança pode impactar o custo total.
Meu número de conta é &lt;acc_num&gt;, e meu número de telefone é &lt;tel_num&gt;. Por favor, me avise quais informações você precisa de mim para processar essa mudança.
Obrigado pela sua assistência.
Atenciosamente,
&lt;name&gt;</t>
        </is>
      </c>
      <c r="G53" s="1" t="inlineStr">
        <is>
          <t>Change</t>
        </is>
      </c>
      <c r="H53" s="1" t="inlineStr">
        <is>
          <t>Olá &lt;name&gt;,
Obrigado por entrar em contato sobre a atualização da sua assinatura do Office 365. Podemos ajudá-lo a fazer o upgrade do seu plano para incluir armazenamento em nuvem adicional e as últimas atualizações do cliente de e-mail. Essa mudança pode afetar o custo total da sua assinatura.
Para prosseguir, verifique sua conta através do nosso portal seguro ou forneça qualquer referência de faturamento recente. Assim que recebermos isso, prosseguiremos com seu pedido e informaremos você sobre qualquer implicação de custo.
Se mais detalhes forem necessários para finalizar a mudança, entraremos em contato com você. Sinta-se à vontade para nos procurar se tiver alguma dúvida.
Atenciosamente,
Equipe de Atendimento ao Cliente</t>
        </is>
      </c>
      <c r="I53" s="1" t="inlineStr">
        <is>
          <t>medium</t>
        </is>
      </c>
      <c r="J53" s="1" t="inlineStr">
        <is>
          <t>['Customer Service', 'Billing Issue', 'Product Support', 'Account Assistance', 'Payment Processing', 'Sales Inquiry']</t>
        </is>
      </c>
      <c r="K53" s="1" t="inlineStr">
        <is>
          <t>pt</t>
        </is>
      </c>
      <c r="L53" s="1" t="n">
        <v>564</v>
      </c>
    </row>
    <row r="54" ht="16.5" customHeight="1">
      <c r="A54" s="1" t="n">
        <v>461</v>
      </c>
      <c r="B54" s="3" t="inlineStr">
        <is>
          <t>Gerenciamento de Incidentes</t>
        </is>
      </c>
      <c r="C54" s="3" t="inlineStr">
        <is>
          <t>Gerenciamento Financeiro</t>
        </is>
      </c>
      <c r="D54" s="1" t="inlineStr">
        <is>
          <t>Solicitação de Otimização de Recursos e Estabilidade da Nuvem AWS</t>
        </is>
      </c>
      <c r="E54" s="1" t="inlineStr">
        <is>
          <t>Customer Service</t>
        </is>
      </c>
      <c r="F54" s="1" t="inlineStr">
        <is>
          <t>Caro Suporte ao Cliente de Serviços de TI,
Estou escrevendo para informar sobre um aumento notável nas despesas de implantação e instabilidade da infraestrutura em relação ao nosso Serviço de Gerenciamento AWS. No último mês, observamos esses desafios e valorizaríamos orientações sobre como otimizar nossos recursos na nuvem para melhorar a eficiência e a estabilidade. Por favor, examine nossa conta &lt;acc_num&gt; e forneça sugestões para resolver esses problemas. Se precisar de mais detalhes, sinta-se à vontade para me contatar em &lt;name&gt; por e-mail ou me ligue para &lt;tel_num&gt;.
Obrigado,
&lt;name&gt;</t>
        </is>
      </c>
      <c r="G54" s="1" t="inlineStr">
        <is>
          <t>Request</t>
        </is>
      </c>
      <c r="H54" s="1" t="inlineStr">
        <is>
          <t>Assunto: Re: Solicitação de Otimização de Recursos e Estabilidade da Nuvem AWS
Caro &lt;name&gt;,
Agradecemos seu contato a respeito dos desafios que você está enfrentando com seu Serviço de Gerenciamento AWS. Reconhecemos quão crucial é manter recursos de nuvem eficientes e confiáveis. Nossa equipe avaliará prontamente sua conta &lt;acc_num&gt; para identificar áreas de otimização e possíveis economias de custos. Enquanto isso, você pode querer verificar configurações como configurações de auto-escalonamento, instâncias reservadas e quaisquer ativos inativos para garantir que atendam aos seus requisitos.
Entraremos em contato com você em breve com nossas recomendações. Se você precisar de assistência urgente ou mais informações, não hesite em responder a este e-mail ou entrar em contato conosco pelo &lt;tel_num&gt;.
Atenciosamente,
Equipe de Suporte ao Cliente de Serviços de TI</t>
        </is>
      </c>
      <c r="I54" s="1" t="inlineStr">
        <is>
          <t>medium</t>
        </is>
      </c>
      <c r="J54" s="1" t="inlineStr">
        <is>
          <t>['Technical Support', 'IT Support', 'Performance Tuning', 'Technical Guidance', 'System Maintenance', 'General Inquiry', 'Problem Resolution', 'Service Notification']</t>
        </is>
      </c>
      <c r="K54" s="1" t="inlineStr">
        <is>
          <t>pt</t>
        </is>
      </c>
      <c r="L54" s="1" t="n">
        <v>597</v>
      </c>
    </row>
    <row r="55" ht="16.5" customHeight="1">
      <c r="A55" s="1" t="n">
        <v>466</v>
      </c>
      <c r="B55" s="3" t="inlineStr">
        <is>
          <t>Solicitação de Serviço</t>
        </is>
      </c>
      <c r="C55" s="3" t="inlineStr">
        <is>
          <t>Gerenciamento de Ativos de TI</t>
        </is>
      </c>
      <c r="D55" s="1" t="inlineStr">
        <is>
          <t>Solicitação de Devolução para HP DeskJet 3755</t>
        </is>
      </c>
      <c r="E55" s="1" t="inlineStr">
        <is>
          <t>Returns and Exchanges</t>
        </is>
      </c>
      <c r="F55" s="1" t="inlineStr">
        <is>
          <t>Caro Suporte ao Cliente da Tech Online Store,
Espero que esta mensagem o encontre bem. Estou escrevendo para buscar assistência em relação a uma compra recente que fiz através de sua loja, a impressora HP DeskJet 3755. Infelizmente, após a instalação, encontrei problemas persistentes de conectividade sem fio que tornaram a impressora inutilizável para suas funções pretendidas, particularmente aquelas que exigem acesso à internet sem fio.
A impressora foi adquirida em minha conta com o número da conta &lt;acc_num&gt; e foi entregue no meu endereço em [delivery date]. Ao configurar o dispositivo seguindo as instruções fornecidas no manual do usuário e após inúmeras tentativas e esforços de solução de problemas, descobri que a função sem fio, um recurso crucial para o meu uso, não funciona conforme o esperado. Isso é crucial, pois minha configuração depende fortemente de conectividade sem fio, e a falta dela prejudica a capacidade operacional que eu necessito do dispositivo.
Tentei entrar em contato através das diretrizes de solução de problemas fornecidas, bem como seus recursos online, sem sucesso. Consequentemente, gostaria de solicitar uma autorização de devolução para este dispositivo. Por favor, me avise sobre o processo que preciso seguir para iniciar uma devolução, incluindo quaisquer instruções de envio ou se há um serviço de correio preferido que eu deva usar.
Além disso, como também estou interessado em adquirir um modelo semelhante que suporte conectividade sem fio sem problemas, apreciaria qualquer conselho ou recomendações alternativas que se adequassem melhor a esses requisitos. Além disso, se for possível agilizar este processo, ficaria grato, pois dependo muito de ter uma impressora funcional para tarefas diárias. É importante para trabalho e uso pessoal que isso seja resolvido prontamente. Espero que a excelente reputação de atendimento ao cliente que sua loja possui ajude a resolver essa questão de maneira eficiente.
Obrigado pela sua atenção a este assunto. Por favor, me avise sobre os próximos passos e qualquer informação que você precisar da minha parte para facilitar esse processo de forma tranquila. Espero resolver essa questão rapidamente com sua assistência.
Atenciosamente,
&lt;name&gt;
&lt;name@example.com&gt;
&lt;tel_num&gt;</t>
        </is>
      </c>
      <c r="G55" s="1" t="inlineStr">
        <is>
          <t>Problem</t>
        </is>
      </c>
      <c r="H55" s="1" t="inlineStr">
        <is>
          <t>Caro &lt;name&gt;,
Obrigado por nos contatar e trazer este problema com sua HP DeskJet 3755 à nossa atenção. Peço desculpas pelo inconveniente que você enfrentou com a conectividade sem fio da impressora.
Para processar seu pedido de devolução, siga estes passos:
1. Embale a impressora com segurança em sua embalagem original, se possível.
2. Inclua todos os acessórios e documentação que vieram com a impressora.
3. Use a etiqueta de devolução fornecida no e-mail que enviaremos a você em breve. Também conterá instruções para agendar a coleta ou entrega com um serviço de correio.
4. Assim que a impressora for recebida e inspecionada, processaremos seu reembolso ou troca, conforme sua preferência.
Quanto a um modelo alternativo, recomendamos considerar uma impressora como a HP OfficeJet 3830, que oferece robustas capacidades sem fio que podem atender melhor às suas necessidades.
Se você precisar de mais assistência ou desejar agilizar o processo, ligue para nós na nossa linha de atendimento ao cliente. Nosso objetivo é resolver isso rapidamente, pois valorizamos sua satisfação.
Obrigado pela sua paciência e compreensão. Esperamos resolver esta questão de forma ágil.
Atenciosamente,
[Your Name]  
Suporte ao Cliente da Tech Online Store</t>
        </is>
      </c>
      <c r="I55" s="1" t="inlineStr">
        <is>
          <t>low</t>
        </is>
      </c>
      <c r="J55" s="1" t="inlineStr">
        <is>
          <t>['Returns and Exchanges', 'Customer Service', 'Product Support', 'Order Issue', 'Technical Support']</t>
        </is>
      </c>
      <c r="K55" s="1" t="inlineStr">
        <is>
          <t>pt</t>
        </is>
      </c>
      <c r="L55" s="1" t="n">
        <v>2272</v>
      </c>
    </row>
    <row r="56" ht="16.5" customHeight="1">
      <c r="A56" s="1" t="n">
        <v>468</v>
      </c>
      <c r="B56" s="3" t="inlineStr">
        <is>
          <t>Solicitação de Serviço</t>
        </is>
      </c>
      <c r="C56" s="3" t="inlineStr">
        <is>
          <t>Gerenciamento de Ativos de TI</t>
        </is>
      </c>
      <c r="D56" s="1" t="inlineStr">
        <is>
          <t>Solicitação para Iniciar Devolução da Impressora Epson EcoTank ET-4760</t>
        </is>
      </c>
      <c r="E56" s="1" t="inlineStr">
        <is>
          <t>Returns and Exchanges</t>
        </is>
      </c>
      <c r="F56" s="1" t="inlineStr">
        <is>
          <t>Prezado Atendimento ao Cliente,
Espero que este e-mail o encontre bem. Estou escrevendo para informar sobre um pedido de devolução enviado por &lt;name&gt;, referente à impressora Epson EcoTank ET-4760, que foi comprada sob o número da conta &lt;acc_num&gt;. O cliente teve problemas de qualidade de impressão que não foram resolvidos através dos esforços de solução de problemas fornecidos em seu site. Eles estão buscando devolver o produto para obter um reembolso ou uma substituição.
Por favor, informe sobre os passos necessários para processar essa devolução, incluindo qualquer documentação necessária de &lt;name&gt;.
O contato principal é em &lt;tel_num&gt;, e eles apreciariam assistência rápida com esta questão. Obrigado pela sua atenção a este assunto.
Atenciosamente,
&lt;name&gt;</t>
        </is>
      </c>
      <c r="G56" s="1" t="inlineStr">
        <is>
          <t>Incident</t>
        </is>
      </c>
      <c r="H56" s="1" t="inlineStr">
        <is>
          <t>Prezado &lt;name&gt;,
Obrigado por entrar em contato conosco sobre a devolução da impressora Epson EcoTank ET-4760. Pedimos desculpas pelo inconveniente causado. Para processar a devolução para um reembolso ou substituição, por favor, certifique-se de que a impressora esteja embalada com segurança com todos os acessórios originais. Inclua uma cópia do recibo de compra e mencione o número da conta &lt;acc_num&gt;.
Entre em contato conosco pelo &lt;tel_num&gt; para receber um rótulo de devolução pré-pago e agendar uma coleta, se necessário. Assim que recebermos e inspecionarmos o produto, processaremos sua solicitação rapidamente. Se precisar de mais assistência, sinta-se à vontade para entrar em contato.
Atenciosamente,
Atendimento ao Cliente</t>
        </is>
      </c>
      <c r="I56" s="1" t="inlineStr">
        <is>
          <t>low</t>
        </is>
      </c>
      <c r="J56" s="1" t="inlineStr">
        <is>
          <t>['Returns and Exchanges', 'Refund Request', 'Product Replacement', 'Customer Service']</t>
        </is>
      </c>
      <c r="K56" s="1" t="inlineStr">
        <is>
          <t>pt</t>
        </is>
      </c>
      <c r="L56" s="1" t="n">
        <v>768</v>
      </c>
    </row>
    <row r="57" ht="16.5" customHeight="1">
      <c r="A57" s="1" t="n">
        <v>470</v>
      </c>
      <c r="B57" s="3" t="inlineStr">
        <is>
          <t>Gerenciamento de Incidentes</t>
        </is>
      </c>
      <c r="C57" s="3" t="inlineStr">
        <is>
          <t>Gerenciamento de Acesso</t>
        </is>
      </c>
      <c r="D57" s="1" t="inlineStr">
        <is>
          <t>Problema com erro de assinatura</t>
        </is>
      </c>
      <c r="E57" s="1" t="inlineStr">
        <is>
          <t>Technical Support</t>
        </is>
      </c>
      <c r="F57" s="1" t="inlineStr">
        <is>
          <t>Não conseguimos acessar o e-mail e o Excel na última semana.</t>
        </is>
      </c>
      <c r="G57" s="1" t="inlineStr">
        <is>
          <t>Problem</t>
        </is>
      </c>
      <c r="H57" s="1" t="inlineStr">
        <is>
          <t>Caro &lt;name&gt;, estamos investigando seus problemas com o e-mail e o Excel. Vamos mantê-lo atualizado o mais rápido possível. Obrigado! &lt;service desk&gt;</t>
        </is>
      </c>
      <c r="I57" s="1" t="inlineStr">
        <is>
          <t>high</t>
        </is>
      </c>
      <c r="J57" s="1" t="inlineStr">
        <is>
          <t>['Technical Support', 'Software Bug', 'Problem Resolution', 'Account Assistance', 'Urgent Issue']</t>
        </is>
      </c>
      <c r="K57" s="1" t="inlineStr">
        <is>
          <t>pt</t>
        </is>
      </c>
      <c r="L57" s="1" t="n">
        <v>60</v>
      </c>
    </row>
    <row r="58" ht="16.5" customHeight="1">
      <c r="A58" s="1" t="n">
        <v>479</v>
      </c>
      <c r="B58" s="3" t="inlineStr">
        <is>
          <t>Gerenciamento Financeiro</t>
        </is>
      </c>
      <c r="C58" s="3" t="inlineStr">
        <is>
          <t>Gerenciamento de Incidentes</t>
        </is>
      </c>
      <c r="D58" s="1" t="inlineStr">
        <is>
          <t>Otimização Urgente da AWS</t>
        </is>
      </c>
      <c r="E58" s="1" t="inlineStr">
        <is>
          <t>Customer Service</t>
        </is>
      </c>
      <c r="F58" s="1" t="inlineStr">
        <is>
          <t>Caro Suporte ao Cliente,
Precisamos urgentemente de ajuda com a otimização de custos da AWS devido a cobranças inesperadas decorrentes do aumento do uso de dados e poder computacional com seu Serviço de Gerenciamento da AWS.
Obrigado,
&lt;name&gt;</t>
        </is>
      </c>
      <c r="G58" s="1" t="inlineStr">
        <is>
          <t>Request</t>
        </is>
      </c>
      <c r="H58" s="1" t="inlineStr">
        <is>
          <t>Caro &lt;name&gt;,
Obrigado por entrar em contato. Entendemos a urgência em resolver suas preocupações com os custos da AWS. Por favor, forneça-nos os detalhes da sua conta (excluindo informações pessoais como &lt;acc_num&gt;) e um resumo das mudanças recentes para facilitar uma revisão completa. Nossa equipe irá acelerar a análise e orientá-lo sobre como otimizar seus custos da AWS.
Atenciosamente,
Equipe de Suporte ao Cliente</t>
        </is>
      </c>
      <c r="I58" s="1" t="inlineStr">
        <is>
          <t>high</t>
        </is>
      </c>
      <c r="J58" s="1" t="inlineStr">
        <is>
          <t>['Urgent Issue', 'Billing Issue', 'Technical Support', 'Account Assistance', 'Service Notification']</t>
        </is>
      </c>
      <c r="K58" s="1" t="inlineStr">
        <is>
          <t>pt</t>
        </is>
      </c>
      <c r="L58" s="1" t="n">
        <v>244</v>
      </c>
    </row>
    <row r="59" ht="16.5" customHeight="1">
      <c r="A59" s="1" t="n">
        <v>485</v>
      </c>
      <c r="B59" s="3" t="inlineStr">
        <is>
          <t>Gerenciamento de Incidentes</t>
        </is>
      </c>
      <c r="C59" s="3" t="inlineStr">
        <is>
          <t>Gerenciamento de Disponibilidade</t>
        </is>
      </c>
      <c r="D59" s="1" t="inlineStr">
        <is>
          <t>Urgente: Problema de Interrupção do Serviço AWS</t>
        </is>
      </c>
      <c r="E59" s="1" t="inlineStr">
        <is>
          <t>Service Outages and Maintenance</t>
        </is>
      </c>
      <c r="F59" s="1" t="inlineStr">
        <is>
          <t>Caro Time de Suporte ao Cliente de Serviços de TI,
Espero que esta mensagem o encontre bem. Estou escrevendo para trazer à sua atenção imediata um problema de alta prioridade que estamos enfrentando com nosso Serviço de Gerenciamento AWS, que parece estar afetando a acessibilidade dos clientes e a implantação de recursos em nuvem. Nossas operações dependem muito da sua infraestrutura AWS, e essa atual interrupção do serviço causou retrocessos significativos, impactando não apenas nossos processos internos, mas também nossos compromissos com nossos clientes.
Desde esta manhã, notamos interrupções irregulares de acessibilidade que nos impedem de acessar nossos recursos em nuvem de maneira confiável. Isso também resultou em paradas inesperadas para nossos aplicativos hospedados nessas plataformas, causando interrupções na acessibilidade dos clientes. Tentamos resolver esses problemas usando nossos procedimentos internos de solução de problemas, mas constatamos que a causa raiz parece estar ligada aos controles do Serviço de Gerenciamento AWS.
À luz desses acontecimentos, instamos você a tratar dessa situação com a máxima prioridade. Nossa equipe interrompeu temporariamente todas as implantações em nuvem da AWS até nova ordem, uma vez que estas se tornaram não confiáveis devido à atual interrupção. Este problema também levanta preocupações sobre o potencial impacto na integridade dos dados, e apreciaríamos qualquer diagnóstico disponível sobre a questão do seu lado.
Solicitamos gentilmente uma revisão urgente e resolução deste problema o mais rápido possível. Além disso, por favor, mantenha-nos atualizados com qualquer progresso ou descobertas que possam ajudar a acelerar uma solução. Sua atenção rápida e ação ágil nesta questão serão muito apreciadas e contribuirão muito para manter nossa confiança em seus serviços.
Obrigado pela sua atenção imediata a esta questão de alta prioridade. Aguardamos sua pronta resposta.
Atenciosamente,
&lt;name&gt; 
&lt;acc_num&gt; 
&lt;tel_num&gt;</t>
        </is>
      </c>
      <c r="G59" s="1" t="inlineStr">
        <is>
          <t>Problem</t>
        </is>
      </c>
      <c r="H59" s="1" t="inlineStr">
        <is>
          <t>Caro &lt;name&gt;,
Obrigado por entrar em contato sobre o problema urgente com o Serviço de Gerenciamento AWS. Entendemos o impacto que isso tem em suas operações e estamos comprometidos em resolver rapidamente.
Atualmente, estamos investigando a causa raiz da interrupção e estamos trabalhando com a AWS para acelerar uma solução. Enquanto isso, você poderia fornecer quaisquer mensagens de erro ou logs que possam ajudar nossa equipe técnica a identificar o problema? Fique tranquilo, estamos priorizando este incidente e manteremos você atualizado regularmente com quaisquer desenvolvimentos.
Não hesite em entrar em contato com mais perguntas ou preocupações.
Atenciosamente,
Equipe de Suporte ao Cliente</t>
        </is>
      </c>
      <c r="I59" s="1" t="inlineStr">
        <is>
          <t>high</t>
        </is>
      </c>
      <c r="J59" s="1" t="inlineStr">
        <is>
          <t>['Service Outage', 'Urgent Issue', 'IT Support', 'Incident Report', 'Technical Support', 'System Maintenance', 'Problem Resolution']</t>
        </is>
      </c>
      <c r="K59" s="1" t="inlineStr">
        <is>
          <t>pt</t>
        </is>
      </c>
      <c r="L59" s="1" t="n">
        <v>1998</v>
      </c>
    </row>
    <row r="60" ht="16.5" customHeight="1">
      <c r="A60" s="1" t="n">
        <v>492</v>
      </c>
      <c r="B60" s="3" t="inlineStr">
        <is>
          <t>Gerenciamento de Incidentes</t>
        </is>
      </c>
      <c r="C60" s="3" t="inlineStr">
        <is>
          <t>Gerenciamento de Problemas</t>
        </is>
      </c>
      <c r="D60" s="1" t="inlineStr">
        <is>
          <t>Investigação Imediata Necessária: Problemas de Conectividade</t>
        </is>
      </c>
      <c r="E60" s="1" t="inlineStr">
        <is>
          <t>IT Support</t>
        </is>
      </c>
      <c r="F60" s="1" t="inlineStr">
        <is>
          <t>Olá equipe de Suporte ao Cliente,
Espero que esta mensagem os encontre bem. Estou entrando em contato para chamar sua atenção para um problema sério que estamos enfrentando com nosso Router Cisco ISR4331. Especificamente, estamos lidando com problemas esporádicos de conectividade de rede que estão interrompendo severamente nossas operações. Esses problemas estão ocorrendo há algum tempo e exigem urgentemente seu foco imediato para evitar mais complicações.
Dada a função essencial que este roteador desempenha em nossa infraestrutura de TI, solicito gentilmente que sua equipe inicie uma investigação urgente, seguida por uma solução rápida. Seu conhecimento nesta área seria muito valorizado, e estou esperançoso em sua capacidade de resolver efetivamente este problema. Você poderia nos aconselhar sobre a melhor maneira de prosseguir com a solução deste problema ou nos informar se algum diagnóstico particular é necessário?
Obrigado pela sua atenção atempada a este assunto urgente. Aguardo sua resposta rápida e eficaz.
Atenciosamente,
&lt;name&gt;
&lt;acc_num&gt;
Número de Contato: &lt;tel_num&gt;</t>
        </is>
      </c>
      <c r="G60" s="1" t="inlineStr">
        <is>
          <t>Problem</t>
        </is>
      </c>
      <c r="H60" s="1" t="inlineStr">
        <is>
          <t>Olá &lt;name&gt;,
Agradecemos por entrar em contato conosco sobre os problemas de conectividade com seu Router Cisco ISR4331. Reconhecemos a importância deste assunto e estamos dedicados a resolvê-lo o mais rápido possível.
Para iniciar o processo de solução de problemas, siga estas etapas:
1. Reinicie o roteador.
2. Verifique se há algum dano visível ao hardware ou conexões soltas.
3. Confirme se o firmware do roteador está atualizado.
Após concluir essas etapas, se o problema persistir, por favor, reúna os seguintes detalhes de diagnóstico:
- Logs do console do roteador durante o incidente.
- Arquivos de configuração.
- Detalhes sobre a topologia da rede.
Você pode enviar essas informações para nossa equipe técnica através deste e-mail. Designaremos um engenheiro para investigar a causa raiz e buscamos uma resolução rápida.
Obrigado pela sua compreensão e cooperação.
Atenciosamente,
Equipe de Suporte ao Cliente</t>
        </is>
      </c>
      <c r="I60" s="1" t="inlineStr">
        <is>
          <t>medium</t>
        </is>
      </c>
      <c r="J60" s="1" t="inlineStr">
        <is>
          <t>['Technical Support', 'Network Issue', 'Urgent Issue', 'Problem Resolution', 'Service Disruption', 'IT Support']</t>
        </is>
      </c>
      <c r="K60" s="1" t="inlineStr">
        <is>
          <t>pt</t>
        </is>
      </c>
      <c r="L60" s="1" t="n">
        <v>1095</v>
      </c>
    </row>
    <row r="61" ht="16.5" customHeight="1">
      <c r="A61" s="1" t="n">
        <v>496</v>
      </c>
      <c r="B61" s="3" t="inlineStr">
        <is>
          <t>Gerenciamento de Incidentes</t>
        </is>
      </c>
      <c r="C61" s="3" t="inlineStr">
        <is>
          <t>Gerenciamento de Problemas</t>
        </is>
      </c>
      <c r="D61" s="1" t="inlineStr">
        <is>
          <t>Assistência Necessária para Problemas Persistentes de Atolamento de Papel com Impressora Canon</t>
        </is>
      </c>
      <c r="E61" s="1" t="inlineStr">
        <is>
          <t>Customer Service</t>
        </is>
      </c>
      <c r="F61" s="1" t="inlineStr">
        <is>
          <t>Prezado Suporte ao Cliente,
Estou escrevendo para relatar problemas persistentes de atolamento de papel com minha impressora Canon PIXMA MG3620. O problema ocorre durante a impressão de documentação leve de checkout. Eu garanti que o papel não está sobrecarregado e também verifiquei se há obstruções visíveis. Apesar desses esforços, o problema persiste. Você poderia, por favor, me fornecer mais assistência ou sugerir alguns passos adicionais de solução de problemas? O número de série da minha impressora é &lt;acc_num&gt;.
Obrigado pela sua pronta atenção a este assunto.
Atenciosamente,
&lt;name&gt;
&lt;tel_num&gt;</t>
        </is>
      </c>
      <c r="G61" s="1" t="inlineStr">
        <is>
          <t>Problem</t>
        </is>
      </c>
      <c r="H61" s="1" t="inlineStr">
        <is>
          <t>Prezado &lt;name&gt;,
Obrigado por entrar em contato a respeito da sua Canon PIXMA MG3620. Entendo como os atolamentos de papel persistentes podem ser frustrantes. Aqui estão alguns passos adicionais de solução de problemas que talvez você não tenha tentado:
1. Verifique se há detritos pequenos e ocultos dentro da impressora.
2. Verifique se as configurações do tipo e tamanho do papel estão alinhadas com o papel que você está usando.
3. Tente usar um lote/marca de papel diferente.
Se o problema persistir, você pode precisar entrar em contato com o Suporte da Canon diretamente para mais assistência ou serviços.
Atenciosamente,
Suporte ao Cliente</t>
        </is>
      </c>
      <c r="I61" s="1" t="inlineStr">
        <is>
          <t>low</t>
        </is>
      </c>
      <c r="J61" s="1" t="inlineStr">
        <is>
          <t>['Technical Support', 'Product Support', 'Problem Resolution', 'Customer Service', 'Hardware Failure', 'Technical Guidance']</t>
        </is>
      </c>
      <c r="K61" s="1" t="inlineStr">
        <is>
          <t>pt</t>
        </is>
      </c>
      <c r="L61" s="1" t="n">
        <v>606</v>
      </c>
    </row>
    <row r="62" ht="16.5" customHeight="1">
      <c r="A62" s="1" t="n">
        <v>504</v>
      </c>
      <c r="B62" s="3" t="inlineStr">
        <is>
          <t>Gerenciamento de Incidentes</t>
        </is>
      </c>
      <c r="C62" s="3" t="inlineStr">
        <is>
          <t>Gerenciamento de Acesso</t>
        </is>
      </c>
      <c r="D62" s="1" t="inlineStr">
        <is>
          <t>Problema de Acesso ao Outlook</t>
        </is>
      </c>
      <c r="E62" s="1" t="inlineStr">
        <is>
          <t>Technical Support</t>
        </is>
      </c>
      <c r="F62" s="1" t="inlineStr">
        <is>
          <t>Caro Equipe de Suporte ao Cliente,
Estou escrevendo para buscar a sua assistência em relação a um problema recorrente que venho enfrentando com o acesso ao meu email do Outlook. Sempre que tento fazer login, sou continuamente solicitado a inserir minha senha, apesar de garantir que está correta e atualizada. Este problema diz respeito ao meu Microsoft Office 365: Cliente de Email, que, como você apreciará, é crucial para minhas operações diárias.
Este aviso persistente para a senha não está apenas interrompendo meu fluxo de trabalho, mas também levanta preocupações se pode haver um problema subjacente com minha conta. Tentei várias etapas de solução de problemas, incluindo redefinir minha senha e verificar minha conexão com a internet, mas o problema continua sem solução. Além disso, garanti que meu aplicativo está atualizado para a versão mais recente.
Você poderia investigar este problema e fornecer orientações sobre quaisquer possíveis soluções? Estou ansioso para resolver isso o mais rápido possível para restaurar meus níveis habituais de eficiência. Meu número de conta é &lt;acc_num&gt;, e anexei quaisquer capturas de tela de erros que possam ser pertinentes.
Sinta-se à vontade para entrar em contato comigo em &lt;tel_num&gt;, caso precise de mais informações ou esclarecimentos.
Obrigado pela sua atenção a esta questão.
Atenciosamente,
&lt;name&gt;</t>
        </is>
      </c>
      <c r="G62" s="1" t="inlineStr">
        <is>
          <t>Problem</t>
        </is>
      </c>
      <c r="H62" s="1" t="inlineStr">
        <is>
          <t>Caro &lt;name&gt;,
Obrigado por entrar em contato com seu problema de acesso ao Outlook via Microsoft Office 365. Entendo quão crucial este serviço é para suas operações diárias e estou aqui para ajudá-lo a resolver isso o mais rápido possível.
A partir das etapas que você já tomou, parece que o problema pode ser mais do que um erro básico. Recomendo tentar as seguintes etapas adicionais:
1. **Limpar Credenciais**: Vá para o Gerenciador de Credenciais do Windows e limpe quaisquer credenciais armazenadas para o Office e Outlook.
2. **Executar o Assistente de Suporte e Recuperação da Microsoft**: É uma ferramenta que pode diagnosticar e corrigir muitos problemas relacionados ao Office. Por favor, baixe e execute-a a partir do site da Microsoft.
3. **Tente Outro Método de Login**: Certifique-se de que as configurações da sua conta não têm problemas de configuração fazendo login pelo portal web do Office 365.
Se o problema persistir, pode ser útil verificar se há complementos de terceiros que poderiam interferir no aplicativo ou desativar quaisquer atualizações recentes, se possível, para descartar problemas relacionados a atualizações.
Se nenhuma dessas etapas resolver seu problema, poderemos precisar escalar para a equipe técnica. No entanto, antes de fazer isso, verifique se você recebeu algum alerta ou mensagem sobre sua conta da Microsoft, pois esses podem ocasionalmente causar interrupções no serviço.
Obrigado por anexar capturas de tela de erros, pois elas podem ser muito úteis para diagnosticar o problema mais a fundo. Eu recomendo fortemente que você também tente entrar em contato com nossa linha de suporte técnico usando &lt;tel_num&gt; para obter assistência guiada em tempo real.
Esperamos colocá-lo de volta à plena produtividade em breve.
Atenciosamente,
Equipe de Suporte ao Cliente</t>
        </is>
      </c>
      <c r="I62" s="1" t="inlineStr">
        <is>
          <t>high</t>
        </is>
      </c>
      <c r="J62" s="1" t="inlineStr">
        <is>
          <t>['Login Issue', 'Account Assistance', 'Technical Support', 'Software Bug', 'Virus Removal', 'Outage Alert']</t>
        </is>
      </c>
      <c r="K62" s="1" t="inlineStr">
        <is>
          <t>pt</t>
        </is>
      </c>
      <c r="L62" s="1" t="n">
        <v>1364</v>
      </c>
    </row>
    <row r="63" ht="16.5" customHeight="1">
      <c r="A63" s="1" t="n">
        <v>516</v>
      </c>
      <c r="B63" s="3" t="inlineStr">
        <is>
          <t>Solicitação de Serviço</t>
        </is>
      </c>
      <c r="C63" s="3" t="inlineStr">
        <is>
          <t>Gerenciamento Financeiro</t>
        </is>
      </c>
      <c r="D63" s="1" t="inlineStr">
        <is>
          <t>Solicitação de Otimização das Configurações da AWS</t>
        </is>
      </c>
      <c r="E63" s="1" t="inlineStr">
        <is>
          <t>Technical Support</t>
        </is>
      </c>
      <c r="F63" s="1" t="inlineStr">
        <is>
          <t>Prezado Time de Suporte ao Cliente,
Espero que esta mensagem o encontre bem. Estou entrando em contato para solicitar modificações em nossas configurações atuais da AWS para uma melhor otimização de custos. Esta assistência técnica é classificada como prioridade média. Estamos utilizando seu Serviço de Gerenciamento da AWS e precisamos de orientações sobre configurações eficientes para reduzir despesas desnecessárias.
Por favor, nos informe os passos apropriados para prosseguir ou se você precisar de detalhes adicionais sobre nossa configuração atual. Seu apoio rápido na resolução deste assunto de forma eficiente será muito apreciado.
Obrigado pela sua atenção.
Atenciosamente,
&lt;name&gt;
&lt;acc_num&gt;
&lt;tel_num&gt;</t>
        </is>
      </c>
      <c r="G63" s="1" t="inlineStr">
        <is>
          <t>Change</t>
        </is>
      </c>
      <c r="H63" s="1" t="inlineStr">
        <is>
          <t>Prezado &lt;name&gt;,
Obrigado por entrar em contato conosco em relação à otimização das configurações da AWS. Ficamos felizes em ajudar você a melhorar sua eficiência de custos. Para prosseguir, por favor, forneça um resumo da sua configuração atual da AWS e quaisquer áreas específicas onde você suspeite de ineficiência de custos. Alternativamente, se você tiver faturas ou relatórios de uso recentes da AWS, isso pode ser muito útil.
Assim que tivermos essas informações, nossa equipe revisará suas configurações atuais e fornecerá recomendações personalizadas sobre como otimizar seus custos da AWS. Isso pode incluir sugestões sobre como redimensionar recursos, utilizar planos de economia ou instâncias reservadas, e identificar recursos não utilizados.
Nosso objetivo é responder prontamente e com conselhos práticos. Sua cooperação é muito apreciada para agilizar esse processo.
Obrigado por escolher nosso Serviço de Gerenciamento da AWS.
Atenciosamente,
Time de Suporte ao Cliente
&lt;company&gt;</t>
        </is>
      </c>
      <c r="I63" s="1" t="inlineStr">
        <is>
          <t>medium</t>
        </is>
      </c>
      <c r="J63" s="1" t="inlineStr">
        <is>
          <t>['Technical Support', 'Customer Service', 'Performance Tuning', 'Technical Guidance', 'Cloud Services', 'General Inquiry']</t>
        </is>
      </c>
      <c r="K63" s="1" t="inlineStr">
        <is>
          <t>pt</t>
        </is>
      </c>
      <c r="L63" s="1" t="n">
        <v>717</v>
      </c>
    </row>
    <row r="64" ht="16.5" customHeight="1">
      <c r="A64" s="1" t="n">
        <v>537</v>
      </c>
      <c r="B64" s="3" t="inlineStr">
        <is>
          <t>Solicitação de Serviço</t>
        </is>
      </c>
      <c r="C64" s="3" t="inlineStr">
        <is>
          <t>Gerenciamento de Capacidade</t>
        </is>
      </c>
      <c r="D64" s="1" t="inlineStr">
        <is>
          <t>Assistência de Desempenho do Servidor</t>
        </is>
      </c>
      <c r="E64" s="1" t="inlineStr">
        <is>
          <t>IT Support</t>
        </is>
      </c>
      <c r="F64" s="1" t="inlineStr">
        <is>
          <t>Prezado Cliente de Suporte ao Cliente de Serviços de TI,&lt;br&gt;&lt;br&gt;Estamos entrando em contato para solicitar sua assistência na otimização do desempenho do nosso servidor. Como parte de seus Serviços de Consultoria de TI, precisamos de uma análise especializada de nossa configuração atual para identificar possíveis gargalos ou ineficiências. Com nossas operações em expansão, é imperativo que nossos servidores estejam funcionando em sua capacidade máxima para atender eficientemente às necessidades do nosso negócio.&lt;br&gt;&lt;br&gt;Nossa avaliação preliminar indica que pode haver alguns problemas que afetam o desempenho do servidor, levando a paradas ocasionais e redução nas velocidades de processamento, o que impacta nossa entrega de serviços. Acreditamos que a experiência da sua equipe em diagnosticar e otimizar configurações de sistema será inestimável nesta situação.&lt;br&gt;&lt;br&gt;Agradeceríamos se um consultor especializado pudesse avaliar nossa configuração de hardware e software, oferecer insights sobre as melhores práticas e recomendar quaisquer alterações necessárias para aprimorar o desempenho. Além disso, gostaríamos de orientações sobre a implementação de técnicas e ferramentas avançadas de otimização adequadas aos nossos requisitos operacionais.&lt;br&gt;&lt;br&gt;Por favor, informe-nos sua disponibilidade para uma consulta inicial. Estamos ansiosos para colaborar e resolver os problemas em andamento o mais rápido possível.&lt;br&gt;&lt;br&gt;Obrigado pela sua atenção a este assunto.&lt;br&gt;&lt;br&gt;Atenciosamente,&lt;br&gt;&lt;name&gt;&lt;br&gt;Número da Conta: &lt;acc_num&gt;&lt;br&gt;E-mail: &lt;name&gt;@business.com&lt;br&gt;Número de Contato: &lt;tel_num&gt;</t>
        </is>
      </c>
      <c r="G64" s="1" t="inlineStr">
        <is>
          <t>Request</t>
        </is>
      </c>
      <c r="H64" s="1" t="inlineStr">
        <is>
          <t>Prezado &lt;name&gt;,&lt;br&gt;&lt;br&gt;Obrigado por entrar em contato conosco sobre suas preocupações com o desempenho do servidor. Entendemos a importância de garantir que seus sistemas operem em sua capacidade ideal, especialmente com suas operações em crescimento. Ficaremos felizes em ajudá-lo com uma análise especializada para identificar e resolver quaisquer gargalos ou ineficiências que estejam afetando sua configuração.&lt;br&gt;&lt;br&gt;Para prosseguir, por favor, nos forneça alguns horários adequados para uma consulta inicial. Durante essa sessão, poderemos discutir sua configuração atual em mais detalhes e planejar os próximos passos para os processos de análise e otimização.&lt;br&gt;&lt;br&gt;Aguardamos ansiosamente a colaboração com você para aprimorar o desempenho do seu servidor.&lt;br&gt;&lt;br&gt;Atenciosamente,&lt;br&gt;&lt;br&gt;Equipe de Suporte ao Cliente de Serviços de TI</t>
        </is>
      </c>
      <c r="I64" s="1" t="inlineStr">
        <is>
          <t>low</t>
        </is>
      </c>
      <c r="J64" s="1" t="inlineStr">
        <is>
          <t>['Performance Tuning', 'Technical Support', 'IT Support', 'Problem Resolution', 'System Maintenance', 'Service Recovery', 'Hardware Failure', 'Technical Guidance']</t>
        </is>
      </c>
      <c r="K64" s="1" t="inlineStr">
        <is>
          <t>pt</t>
        </is>
      </c>
      <c r="L64" s="1" t="n">
        <v>1603</v>
      </c>
    </row>
    <row r="65" ht="16.5" customHeight="1">
      <c r="A65" s="1" t="n">
        <v>546</v>
      </c>
      <c r="B65" s="3" t="inlineStr">
        <is>
          <t>Gerenciamento de Incidentes</t>
        </is>
      </c>
      <c r="C65" s="3" t="inlineStr">
        <is>
          <t>Gerenciamento de Disponibilidade</t>
        </is>
      </c>
      <c r="D65" s="1" t="inlineStr">
        <is>
          <t>Problemas com Instâncias de Implantação da AWS</t>
        </is>
      </c>
      <c r="E65" s="1" t="inlineStr">
        <is>
          <t>Customer Service</t>
        </is>
      </c>
      <c r="F65" s="1" t="inlineStr">
        <is>
          <t>Prezado suporte ao cliente, estamos enfrentando problemas com o serviço de gerenciamento da AWS em que as instâncias do servidor não estão sendo iniciadas corretamente. Isso está impactando severamente a disponibilidade do nosso serviço. Por favor, forneça assistência para resolver este problema prontamente. Obrigado.</t>
        </is>
      </c>
      <c r="G65" s="1" t="inlineStr">
        <is>
          <t>Problem</t>
        </is>
      </c>
      <c r="H65" s="1" t="inlineStr">
        <is>
          <t>Prezado &lt;name&gt;,
Obrigado por entrar em contato sobre os problemas de implantação da AWS. Entendemos o impacto que isso tem na sua disponibilidade de serviço e estamos aqui para ajudar. Por favor, certifique-se de que você verificou as configurações das instâncias e grupos de segurança em busca de discrepâncias. Caso o erro persista, gentilmente forneça quaisquer mensagens de erro que você esteja encontrando ou IDs das instâncias, e nós escalaremos isso para nossa equipe técnica imediatamente para garantir uma resolução rápida.
Atenciosamente,
Suporte ao Cliente</t>
        </is>
      </c>
      <c r="I65" s="1" t="inlineStr">
        <is>
          <t>high</t>
        </is>
      </c>
      <c r="J65" s="1" t="inlineStr">
        <is>
          <t>['Technical Support', 'IT Support', 'Service Disruption', 'Urgent Issue', 'Problem Resolution', 'Cloud Services', 'Performance Tuning']</t>
        </is>
      </c>
      <c r="K65" s="1" t="inlineStr">
        <is>
          <t>pt</t>
        </is>
      </c>
      <c r="L65" s="1" t="n">
        <v>319</v>
      </c>
    </row>
    <row r="66" ht="16.5" customHeight="1">
      <c r="A66" s="1" t="n">
        <v>547</v>
      </c>
      <c r="B66" s="3" t="inlineStr">
        <is>
          <t>Gerenciamento de Incidentes</t>
        </is>
      </c>
      <c r="C66" s="3" t="inlineStr">
        <is>
          <t>Gerenciamento de Capacidade</t>
        </is>
      </c>
      <c r="D66" s="1" t="inlineStr">
        <is>
          <t>Problema de Rede Empresarial</t>
        </is>
      </c>
      <c r="E66" s="1" t="inlineStr">
        <is>
          <t>Technical Support</t>
        </is>
      </c>
      <c r="F66" s="1" t="inlineStr">
        <is>
          <t>Caro Time de Suporte de Serviços de TI,
Estou entrando em contato para relatar um problema que estamos enfrentando com nosso Roteador Cisco ISR4331 na gestão das necessidades de rede empresarial. Nossa organização tem encontrado dificuldades significativas, pois o roteador parece incapaz de lidar com as demandas de alto desempenho necessárias para conexões seguras, que são uma função essencial para nossas operações.
Recentemente, nossas necessidades de capacidade de rede aumentaram devido ao aumento do trabalho remoto, exigindo acesso seguro 24/7 para múltiplos usuários. Infelizmente, o roteador parece estar lutando nessas condições, levando a interrupções frequentes e uma incapacidade de manter conexões confiáveis e seguras. Essa degradação de desempenho está causando preocupação considerável, pois impacta severamente nossos processos e produtividade de negócios.
Inicialmente, selecionamos o Roteador Cisco ISR4331 por suas especificações robustas, que, no papel, pareciam mais do que adequadas para nossas necessidades. No entanto, na prática, está provando ser inadequado para nossas demandas crescentes. Apesar de várias tentativas de ajustes de configuração e uma atualização para o firmware mais recente, o problema persiste. Especulamos que as limitações atuais de hardware podem não ser suficientes para nossas necessidades, mas apreciaríamos uma avaliação especializada de sua equipe para confirmar isso e aconselhar sobre possíveis soluções.
Nosso objetivo é garantir conectividade robusta e de alta velocidade para nossas operações internas e voltadas para o cliente, com as medidas de segurança necessárias não comprometidas. Por favor, reconheça este pedido o mais rápido possível e aconselhe sobre etapas ou oportunidades para suporte aprimorado, avaliação ou até mesmo uma atualização para um modelo de roteador mais adequado, se considerado necessário.
Obrigado pela sua atenção a este assunto urgente. Aguardo sua rápida resposta.
Atenciosamente,
&lt;name&gt;
&lt;tel_num&gt;
&lt;acc_num&gt;</t>
        </is>
      </c>
      <c r="G66" s="1" t="inlineStr">
        <is>
          <t>Incident</t>
        </is>
      </c>
      <c r="H66" s="1" t="inlineStr">
        <is>
          <t>Caro &lt;name&gt;,
Obrigado por entrar em contato sobre os problemas com seu Roteador Cisco ISR4331. Entendemos a urgência de manter conexões seguras e confiáveis para suas necessidades empresariais, especialmente com o aumento das demandas de trabalho remoto.
Teremos um especialista de nossa equipe avaliando a situação e determinando se o hardware atual está atendendo suas necessidades ou se um suporte aprimorado é necessário. Enquanto isso, por favor, certifique-se de que todas as atualizações recentes de firmware tenham sido aplicadas corretamente e considere nos fornecer registros de configuração detalhados para uma análise mais aprofundada.
Um membro de nossa equipe entrará em contato com você em breve para iniciar este processo e explorar soluções potenciais, incluindo a possibilidade de atualizar para um roteador que atenda melhor suas crescentes necessidades de desempenho.
Agradecemos sua paciência e cooperação. A conectividade e segurança de seus negócios são nossas prioridades, e trabalharemos rapidamente para resolver isso.
Atenciosamente,
Time de Suporte de Serviços de TI</t>
        </is>
      </c>
      <c r="I66" s="1" t="inlineStr">
        <is>
          <t>high</t>
        </is>
      </c>
      <c r="J66" s="1" t="inlineStr">
        <is>
          <t>['Network Issue', 'IT Support', 'Technical Support', 'Service Disruption', 'Urgent Issue', 'Performance Tuning', 'Hardware Failure']</t>
        </is>
      </c>
      <c r="K66" s="1" t="inlineStr">
        <is>
          <t>pt</t>
        </is>
      </c>
      <c r="L66" s="1" t="n">
        <v>2010</v>
      </c>
    </row>
    <row r="67" ht="16.5" customHeight="1">
      <c r="A67" s="1" t="n">
        <v>579</v>
      </c>
      <c r="B67" s="3" t="inlineStr">
        <is>
          <t>Solicitação de Serviço</t>
        </is>
      </c>
      <c r="C67" s="3" t="inlineStr">
        <is>
          <t>Gerenciamento de Ativos de TI</t>
        </is>
      </c>
      <c r="D67" s="1" t="inlineStr">
        <is>
          <t>Solicitação de Serviço de Garantia</t>
        </is>
      </c>
      <c r="E67" s="1" t="inlineStr">
        <is>
          <t>Product Support</t>
        </is>
      </c>
      <c r="F67" s="1" t="inlineStr">
        <is>
          <t>Prezado Suporte ao Cliente da Tech Online Store,
Espero que esta mensagem o encontre bem. Estou escrevendo para chamar sua atenção para um problema preocupante que venho enfrentando com meu laptop Dell XPS 13 9310, que comprei em sua loja. Recentemente, a tela do dispositivo começou a piscar inesperadamente, e esse problema se tornou mais frequente nas últimas semanas, afetando significativamente minha produtividade e experiência do usuário.
Dado que o piscar da tela parece sugerir uma possível falha de hardware, espero poder utilizar o serviço de garantia para obter assistência. Tentei etapas básicas de solução de problemas, como atualizar os drivers da tela e garantir que todo o software do meu dispositivo esteja atualizado, mas infelizmente, essas etapas não resolveram o problema.
Além disso, este laptop ainda está dentro do período de garantia oferecido pela Dell e sua loja, uma vez que foi comprado há menos de seis meses. Portanto, solicito gentilmente orientação sobre como processar esta reclamação através do serviço de garantia. Estou particularmente interessado em saber quais etapas devo realizar a seguir e se precisarei enviar o laptop para o seu centro de serviço ou se pode haver uma resolução alternativa.
Além disso, por favor, me avise se for necessário algum documento adicional da minha parte para agilizar a reclamação ou qualquer informação sobre os detalhes da minha compra. Meu número do pedido é &lt;order_num&gt;, e comprei este laptop em &lt;purchase_date&gt;. O número de série do laptop é &lt;serial_num&gt;. Por favor, entre em contato comigo assim que possível através do meu e-mail ou pelo &lt;tel_num&gt;, caso necessite de mais informações.
Agradeço antecipadamente pela sua ajuda rápida neste assunto. Espero resolver este problema rapidamente com a sua ajuda.
Atenciosamente,
&lt;name&gt;</t>
        </is>
      </c>
      <c r="G67" s="1" t="inlineStr">
        <is>
          <t>Incident</t>
        </is>
      </c>
      <c r="H67" s="1" t="inlineStr">
        <is>
          <t>Prezado &lt;name&gt;,
Obrigado por entrar em contato conosco sobre o problema com seu laptop Dell XPS 13 9310. Entendemos a importância de ter um dispositivo totalmente funcional e apreciamos sua paciência neste assunto.
Para prosseguir com o serviço de garantia, por favor, siga estas etapas:
1. Verifique se você tem seu comprovante de compra em mãos, pois podemos precisar dele para a reclamação.
2. Por favor, faça backup de seus dados como medida de precaução.
3. Nossa equipe de serviços organizará um courier para coletar seu laptop para inspeção. Você receberá um e-mail em breve com instruções detalhadas e uma etiqueta de envio.
4. Inclua uma cópia impressa do seu recibo de compra original com o pacote.
Quanto às possíveis soluções, após o diagnóstico, poderemos oferecer um reparo, substituição ou resolução alternativa, com base na avaliação.
Caso tenha mais perguntas ou precise fornecer informações adicionais, entre em contato conosco neste e-mail ou nos ligue pelo &lt;tel_num&gt;.
Nosso objetivo é resolver isso rapidamente e garantir sua satisfação.
Atenciosamente,
Equipe de Suporte ao Cliente da Tech Online Store</t>
        </is>
      </c>
      <c r="I67" s="1" t="inlineStr">
        <is>
          <t>medium</t>
        </is>
      </c>
      <c r="J67" s="1" t="inlineStr">
        <is>
          <t>['Warranty Claim', 'Hardware Failure', 'Product Support', 'Technical Support', 'Problem Resolution', 'Customer Service', 'Order Issue']</t>
        </is>
      </c>
      <c r="K67" s="1" t="inlineStr">
        <is>
          <t>pt</t>
        </is>
      </c>
      <c r="L67" s="1" t="n">
        <v>1815</v>
      </c>
    </row>
    <row r="68" ht="16.5" customHeight="1">
      <c r="A68" s="1" t="n">
        <v>580</v>
      </c>
      <c r="B68" s="3" t="inlineStr">
        <is>
          <t>Gerenciamento de Incidentes</t>
        </is>
      </c>
      <c r="C68" s="3" t="inlineStr">
        <is>
          <t>Gerenciamento de Problemas</t>
        </is>
      </c>
      <c r="D68" s="1" t="inlineStr">
        <is>
          <t>Problema na Rede da Empresa</t>
        </is>
      </c>
      <c r="E68" s="1" t="inlineStr">
        <is>
          <t>IT Support</t>
        </is>
      </c>
      <c r="F68" s="1" t="inlineStr">
        <is>
          <t>Caro Suporte ao Cliente,
Estou escrevendo para relatar um problema com nosso Router Cisco ISR4331 em nossa sede. Estamos experimentando quedas de conexão intermitentes que estão frequentemente interrompendo as atividades de rede da nossa empresa. Este problema se tornou cada vez mais problemático, afetando nossas operações diárias e causando considerável inconveniência. Nosso departamento de TI verificou que o problema não é originado do nosso lado. Agradeceríamos se sua equipe pudesse nos fornecer uma solução ou sugerir os próximos passos para a solução de problemas. Sua atenção rápida a este assunto seria muito apreciada.
Obrigado,
&lt;name&gt;
Departamento de TI
&lt;name&gt; Ltd.</t>
        </is>
      </c>
      <c r="G68" s="1" t="inlineStr">
        <is>
          <t>Incident</t>
        </is>
      </c>
      <c r="H68" s="1" t="inlineStr">
        <is>
          <t>Assunto: Re: Problema na Rede da Empresa
Caro &lt;name&gt;,
Obrigado por entrar em contato sobre o problema com seu Router Cisco ISR4331. Pedimos desculpas por qualquer interrupção que isso tenha causado. Nossa equipe técnica está revisando os registros de conectividade para identificar a causa raiz das quedas de conexão intermitentes que você está experimentando. Recomendamos garantir que o firmware do roteador esteja atualizado e verificar se há configurações que possam contribuir para a instabilidade.
Se o problema persistir, por favor nos avise, e podemos agendar um especialista para diagnosticar ainda mais o problema remotamente ou visitar sua localização se necessário. Agradecemos sua paciência e estamos comprometidos em resolver isso rapidamente.
Atenciosamente,
&lt;name&gt;
Equipe de Suporte ao Cliente
&lt;name&gt; Services</t>
        </is>
      </c>
      <c r="I68" s="1" t="inlineStr">
        <is>
          <t>high</t>
        </is>
      </c>
      <c r="J68" s="1" t="inlineStr">
        <is>
          <t>['Network Issue', 'Technical Support', 'IT Support', 'Service Disruption', 'Problem Resolution']</t>
        </is>
      </c>
      <c r="K68" s="1" t="inlineStr">
        <is>
          <t>pt</t>
        </is>
      </c>
      <c r="L68" s="1" t="n">
        <v>681</v>
      </c>
    </row>
    <row r="69" ht="16.5" customHeight="1">
      <c r="A69" s="1" t="n">
        <v>585</v>
      </c>
      <c r="B69" s="3" t="inlineStr">
        <is>
          <t>Gerenciamento de Incidentes</t>
        </is>
      </c>
      <c r="C69" s="3" t="inlineStr">
        <is>
          <t>Gerenciamento de Problemas</t>
        </is>
      </c>
      <c r="D69" s="1" t="inlineStr">
        <is>
          <t>Experienciando problemas de qualidade de vídeo em reuniões com o cliente Zoom</t>
        </is>
      </c>
      <c r="E69" s="1" t="inlineStr">
        <is>
          <t>Technical Support</t>
        </is>
      </c>
      <c r="F69" s="1" t="inlineStr">
        <is>
          <t>Ajuda urgente necessária para problemas de vídeo no Zoom 5.11.0.</t>
        </is>
      </c>
      <c r="G69" s="1" t="inlineStr">
        <is>
          <t>Problem</t>
        </is>
      </c>
      <c r="H69" s="1" t="inlineStr">
        <is>
          <t>Por favor, atualize o Zoom e ajuste as configurações de vídeo para melhorar a qualidade. Informe-nos se os problemas persistirem.</t>
        </is>
      </c>
      <c r="I69" s="1" t="inlineStr">
        <is>
          <t>high</t>
        </is>
      </c>
      <c r="J69" s="1" t="inlineStr">
        <is>
          <t>['Technical Support', 'Urgent Issue', 'Software Bug', 'Problem Resolution']</t>
        </is>
      </c>
      <c r="K69" s="1" t="inlineStr">
        <is>
          <t>pt</t>
        </is>
      </c>
      <c r="L69" s="1" t="n">
        <v>64</v>
      </c>
    </row>
    <row r="70" ht="16.5" customHeight="1">
      <c r="A70" s="1" t="n">
        <v>620</v>
      </c>
      <c r="B70" s="3" t="inlineStr">
        <is>
          <t>Gerenciamento Financeiro</t>
        </is>
      </c>
      <c r="C70" s="3" t="inlineStr">
        <is>
          <t>Gerenciamento de Incidentes</t>
        </is>
      </c>
      <c r="D70" s="1" t="inlineStr">
        <is>
          <t>Solicitação para Abordar Discrepâncias na Fatura</t>
        </is>
      </c>
      <c r="E70" s="1" t="inlineStr">
        <is>
          <t>Billing and Payments</t>
        </is>
      </c>
      <c r="F70" s="1" t="inlineStr">
        <is>
          <t>Olá Atendimento ao Cliente,
Espero que esta mensagem o encontre bem. Estou escrevendo para solicitar uma revisão da minha fatura em relação à minha assinatura do Microsoft Office 365. Notei algumas discrepâncias na última cobrança para o número da conta &lt;acc_num&gt;. Parece que há taxas adicionais que não foram divulgadas anteriormente. Por favor, ajude a esclarecer este problema e garanta que quaisquer cobranças não autorizadas sejam revertidas. Além disso, por favor confirme os termos atuais da assinatura e a discriminação dos custos. Você pode me contatar diretamente pelo &lt;tel_num&gt;.
Obrigado pela sua assistência rápida.
Atenciosamente,
&lt;name&gt;</t>
        </is>
      </c>
      <c r="G70" s="1" t="inlineStr">
        <is>
          <t>Request</t>
        </is>
      </c>
      <c r="H70" s="1" t="inlineStr">
        <is>
          <t>Assunto: Re: Solicitação para Abordar Discrepâncias na Fatura
Olá &lt;name&gt;,
Obrigado por entrar em contato e nos informar sobre isso. Vamos revisar prontamente sua fatura em relação à sua assinatura do Microsoft Office 365. Nossa equipe investigará as taxas adicionais na conta número &lt;acc_num&gt; e confirmará os termos atuais da sua assinatura e a discriminação dos custos. Quaisquer cobranças não autorizadas, se encontradas, serão revertidas. Entraremos em contato em breve com uma atualização.
Para mais assistência, fique à vontade para nos contatar.
Atenciosamente,
Atendimento ao Cliente</t>
        </is>
      </c>
      <c r="I70" s="1" t="inlineStr">
        <is>
          <t>medium</t>
        </is>
      </c>
      <c r="J70" s="1" t="inlineStr">
        <is>
          <t>['Billing Issue', 'Customer Service', 'Refund Request', 'Account Assistance', 'Payment Processing', 'General Inquiry']</t>
        </is>
      </c>
      <c r="K70" s="1" t="inlineStr">
        <is>
          <t>pt</t>
        </is>
      </c>
      <c r="L70" s="1" t="n">
        <v>654</v>
      </c>
    </row>
    <row r="71" ht="16.5" customHeight="1">
      <c r="A71" s="1" t="n">
        <v>634</v>
      </c>
      <c r="B71" s="3" t="inlineStr">
        <is>
          <t>Solicitação de Serviço</t>
        </is>
      </c>
      <c r="C71" s="3" t="inlineStr">
        <is>
          <t>Gerenciamento de Nível de Serviço</t>
        </is>
      </c>
      <c r="D71" s="1" t="inlineStr">
        <is>
          <t>Consulta de Serviço</t>
        </is>
      </c>
      <c r="E71" s="1" t="inlineStr">
        <is>
          <t>Sales and Pre-Sales</t>
        </is>
      </c>
      <c r="F71" s="1" t="inlineStr">
        <is>
          <t>Olá,
Espero que esta mensagem o encontre bem. Estou entrando em contato para solicitar mais informações sobre os seus Serviços de Consultoria em TI, especificamente em relação à administração de servidores e implementação de sistemas de tickets. Estamos considerando esses serviços para otimizar nossas operações de TI e melhorar nosso sistema de suporte. Você poderia, por favor, fornecer detalhes sobre seus serviços, preços e qualquer opção de personalização disponível?
Aguardamos sua resposta rápida.
Obrigado e melhores cumprimentos,
&lt;name&gt;
&lt;name&gt; Empresa
&lt;email&gt;
&lt;tel_num&gt;</t>
        </is>
      </c>
      <c r="G71" s="1" t="inlineStr">
        <is>
          <t>Request</t>
        </is>
      </c>
      <c r="H71" s="1" t="inlineStr">
        <is>
          <t>Olá &lt;name&gt;,
Obrigado por entrar em contato para perguntar sobre nossos Serviços de Consultoria em TI. Oferecemos serviços abrangentes de administração de servidores e implementação de sistemas de tickets projetados para otimizar operações de TI e aprimorar sistemas de suporte. Nossos serviços incluem monitoramento, manutenção e suporte. Também fornecemos opções de personalização para atender às suas necessidades específicas.
Podemos oferecer um plano de preços personalizado com base na escala e nos requisitos de sua organização. Para lhe darmos uma cotação precisa, recomendamos uma breve consulta para entender melhor suas necessidades.
Sinta-se à vontade para entrar em contato conosco a qualquer momento para agendar uma discussão.
Obrigado por considerar nossos serviços.
Atenciosamente,
&lt;name&gt;  
Equipe de Atendimento ao Cliente  
&lt;name&gt; Empresa</t>
        </is>
      </c>
      <c r="I71" s="1" t="inlineStr">
        <is>
          <t>low</t>
        </is>
      </c>
      <c r="J71" s="1" t="inlineStr">
        <is>
          <t>['Technical Support', 'IT Support', 'Customer Service', 'Sales Inquiry', 'Service Notification', 'Problem Resolution', 'Technical Guidance']</t>
        </is>
      </c>
      <c r="K71" s="1" t="inlineStr">
        <is>
          <t>pt</t>
        </is>
      </c>
      <c r="L71" s="1" t="n">
        <v>584</v>
      </c>
    </row>
    <row r="72" ht="16.5" customHeight="1">
      <c r="A72" s="1" t="n">
        <v>650</v>
      </c>
      <c r="B72" s="3" t="inlineStr">
        <is>
          <t>Solicitação de Serviço</t>
        </is>
      </c>
      <c r="C72" s="3" t="inlineStr">
        <is>
          <t>Gerenciamento de Ativos de TI</t>
        </is>
      </c>
      <c r="D72" s="1" t="inlineStr">
        <is>
          <t>Solicitação de Devolução de Produto - Canon PIXMA MG3620</t>
        </is>
      </c>
      <c r="E72" s="1" t="inlineStr">
        <is>
          <t>Returns and Exchanges</t>
        </is>
      </c>
      <c r="F72" s="1" t="inlineStr">
        <is>
          <t>Caro Suporte ao Cliente,
Espero que esta mensagem o encontre bem. Estou escrevendo para solicitar a devolução de um produto comprado na sua Loja Online Tech, que atualmente está enfrentando problemas de conectividade. O item em questão é a impressora Canon PIXMA MG3620, que comprei em &lt;purchase_date&gt; usando meu número de conta &lt;acc_num&gt;.
Desde a configuração da impressora, enfrentei interrupções repetidas durante a impressão sem fio, o que prejudicou minha capacidade de concluir efetivamente as tarefas de impressão. Apesar de seguir todos os passos de solução de problemas descritos no manual e no seu site de suporte, os problemas de conectividade persistem. Tentei várias soluções, incluindo reinicializações de rede e atualizações de firmware, mas o problema continua sem solução.
Diante disso, eu apreciaria se você pudesse autorizar uma devolução deste produto, uma vez que está dentro do período de garantia. Por favor, me avise sobre o procedimento que preciso seguir, incluindo quaisquer documentos ou informações que você precise da minha parte.
Obrigado pela sua atenção a este assunto. Aguardo sua resposta rápida para arranjar a devolução e reembolso da impressora. Se precisar entrar em contato comigo, por favor, fale pelo meu número de telefone registrado, &lt;tel_num&gt;.
Atenciosamente,
&lt;name&gt;</t>
        </is>
      </c>
      <c r="G72" s="1" t="inlineStr">
        <is>
          <t>Request</t>
        </is>
      </c>
      <c r="H72" s="1" t="inlineStr">
        <is>
          <t>Assunto: Re: Solicitação de Devolução de Produto - Canon PIXMA MG3620
Caro &lt;name&gt;,
Obrigado por entrar em contato conosco. Pedimos desculpas pelo inconveniente que você enfrentou com sua impressora Canon PIXMA MG3620. Para processarmos sua solicitação de devolução, por favor, siga estas etapas:
1. Certifique-se de que a impressora está embalada de forma segura em sua embalagem original.
2. Inclua uma cópia do seu recibo de compra ou confirmação de pedido.
3. Inclua qualquer correspondência relevante relacionada à solução de problemas.
4. Visite nosso portal de devoluções em nosso site para iniciar o processo de devolução. Você precisará do seu número de pedido e detalhes da conta.
5. Uma etiqueta de envio pré-paga será gerada para você anexar ao pacote.
Após o recebimento da impressora, iremos inspecioná-la, e se sua solicitação atender aos critérios de devolução, processaremos um reembolso para o seu método de pagamento original.
Caso precise de mais assistência, não hesite em nos contatar por e-mail ou na linha direta de suporte ao cliente listada em nosso site.
Agradecemos sua paciência e compreensão.
Atenciosamente,
Equipe de Suporte ao Cliente
Loja Online Tech</t>
        </is>
      </c>
      <c r="I72" s="1" t="inlineStr">
        <is>
          <t>low</t>
        </is>
      </c>
      <c r="J72" s="1" t="inlineStr">
        <is>
          <t>['Returns and Exchanges', 'Product Support', 'Account Assistance', 'Refund Request', 'Customer Service']</t>
        </is>
      </c>
      <c r="K72" s="1" t="inlineStr">
        <is>
          <t>pt</t>
        </is>
      </c>
      <c r="L72" s="1" t="n">
        <v>1317</v>
      </c>
    </row>
    <row r="73" ht="16.5" customHeight="1">
      <c r="A73" s="1" t="n">
        <v>656</v>
      </c>
      <c r="B73" s="3" t="inlineStr">
        <is>
          <t>Gerenciamento de Incidentes</t>
        </is>
      </c>
      <c r="C73" s="3" t="inlineStr">
        <is>
          <t>Gerenciamento de Problemas</t>
        </is>
      </c>
      <c r="D73" s="1" t="inlineStr">
        <is>
          <t>Ajuda solicitada para problemas de inicialização do Dell XPS 13</t>
        </is>
      </c>
      <c r="E73" s="1" t="inlineStr">
        <is>
          <t>Product Support</t>
        </is>
      </c>
      <c r="F73" s="1" t="inlineStr">
        <is>
          <t>Caro Suporte ao Cliente,
Espero que esta mensagem o encontre bem. Estou entrando em contato para buscar assistência com meu Dell XPS 13 9310, que tem enfrentado problemas de inicialização após uma recente atualização do sistema operacional. O laptop não inicia corretamente e fica travado durante o processo de inicialização. Tentei etapas básicas de solução de problemas, como reiniciar no modo de segurança e realizar a restauração do sistema, mas infelizmente, essas ações não resolveram o problema.
Por favor, aconselhe sobre quaisquer outras medidas que eu possa tomar para resolver essa situação ou se é necessário agendar um atendimento de serviço. Obrigado pela sua pronta atenção a este assunto. Meu número de referência do caso é &lt;ref_num&gt;.
Atenciosamente,
&lt;name&gt;</t>
        </is>
      </c>
      <c r="G73" s="1" t="inlineStr">
        <is>
          <t>Request</t>
        </is>
      </c>
      <c r="H73" s="1" t="inlineStr">
        <is>
          <t>Caro &lt;name&gt;,
Obrigado por entrar em contato. Lamentamos saber sobre os problemas de inicialização com seu Dell XPS 13 9310. Como você já tentou o modo de segurança e a restauração do sistema, recomendamos tentar um diagnóstico completo de hardware usando o Dell SupportAssist embutido. Se o problema persistir, pode ser necessário reinstalar o sistema operacional. Por favor, faça backup de seus dados primeiro. Se essas etapas não ajudarem, agendar um atendimento de serviço seria aconselhável. Por favor, nos avise se você precisar de mais assistência.
Atenciosamente,
Equipe de Suporte ao Cliente</t>
        </is>
      </c>
      <c r="I73" s="1" t="inlineStr">
        <is>
          <t>medium</t>
        </is>
      </c>
      <c r="J73" s="1" t="inlineStr">
        <is>
          <t>['Technical Support', 'IT Support', 'Hardware Failure', 'Software Bug', 'Problem Resolution']</t>
        </is>
      </c>
      <c r="K73" s="1" t="inlineStr">
        <is>
          <t>pt</t>
        </is>
      </c>
      <c r="L73" s="1" t="n">
        <v>776</v>
      </c>
    </row>
    <row r="74" ht="16.5" customHeight="1">
      <c r="A74" s="1" t="n">
        <v>658</v>
      </c>
      <c r="B74" s="3" t="inlineStr">
        <is>
          <t>Gerenciamento de Incidentes</t>
        </is>
      </c>
      <c r="C74" s="3" t="inlineStr">
        <is>
          <t>Gerenciamento de Disponibilidade</t>
        </is>
      </c>
      <c r="D74" s="1" t="inlineStr">
        <is>
          <t>Urgente: Assistência Imediata Necessária para Problema com AWS</t>
        </is>
      </c>
      <c r="E74" s="1" t="inlineStr">
        <is>
          <t>Technical Support</t>
        </is>
      </c>
      <c r="F74" s="1" t="inlineStr">
        <is>
          <t>Caro Suporte ao Cliente,
Espero que esta mensagem o encontre bem. Estou escrevendo para informar sobre um problema urgente que está afetando nosso Serviço de Gestão da AWS. Atualmente, estamos enfrentando interrupções significativas em nossa infraestrutura, o que pode levar a um tempo de inatividade. Dada a alta prioridade desse assunto, peço gentilmente a sua assistência imediata para restaurar nossos recursos em nuvem e garantir a disponibilidade ideal dos serviços. Este problema necessita de resolução rápida e eu agradeceria sua resposta ágil. Sinta-se à vontade para me contatar diretamente pelo &lt;tel_num&gt; ou pelo meu e-mail para mais detalhes.
Obrigado pela sua atenção urgente.
Atenciosamente,
&lt;name&gt;</t>
        </is>
      </c>
      <c r="G74" s="1" t="inlineStr">
        <is>
          <t>Incident</t>
        </is>
      </c>
      <c r="H74" s="1" t="inlineStr">
        <is>
          <t>Caro &lt;name&gt;,
Obrigado por entrar em contato sobre o problema com a AWS. Entendemos a urgência e estamos comprometidos em fornecer assistência imediata para resolver as interrupções no seu Serviço de Gestão da AWS. Nossa equipe técnica já está analisando o problema e entrará em contato com você em breve para restaurar seus recursos em nuvem e garantir a disponibilidade dos serviços. Se você precisar discutir isso mais a fundo, não hesite em entrar em contato à sua conveniência.
Atenciosamente,
Equipe de Suporte ao Cliente</t>
        </is>
      </c>
      <c r="I74" s="1" t="inlineStr">
        <is>
          <t>high</t>
        </is>
      </c>
      <c r="J74" s="1" t="inlineStr">
        <is>
          <t>['IT Support', 'Service Disruption', 'Urgent Issue', 'Technical Guidance', 'Problem Resolution']</t>
        </is>
      </c>
      <c r="K74" s="1" t="inlineStr">
        <is>
          <t>pt</t>
        </is>
      </c>
      <c r="L74" s="1" t="n">
        <v>716</v>
      </c>
    </row>
    <row r="75" ht="16.5" customHeight="1">
      <c r="A75" s="1" t="n">
        <v>663</v>
      </c>
      <c r="B75" s="3" t="inlineStr">
        <is>
          <t>Gerenciamento de Problemas</t>
        </is>
      </c>
      <c r="C75" s="3" t="inlineStr">
        <is>
          <t>Gerenciamento de Mudanças</t>
        </is>
      </c>
      <c r="D75" s="1" t="inlineStr">
        <is>
          <t>Solicitação de assistência urgente sobre falhas frequentes no sistema</t>
        </is>
      </c>
      <c r="E75" s="1" t="inlineStr">
        <is>
          <t>Technical Support</t>
        </is>
      </c>
      <c r="F75" s="1" t="inlineStr">
        <is>
          <t>Caro Time de Suporte ao Cliente,
Estou escrevendo para solicitar assistência urgente em relação a falhas frequentes no sistema após a atualização recente do nosso Serviço de Consultoria de TI. Desde a atualização, a estabilidade de nossos servidores foi comprometida, causando uma grande interrupção em nossas operações. Acreditamos que há problemas de otimização que precisam ser resolvidos para evitar essas falhas.
Você poderia, por favor, nos fornecer orientações ou arranjar um especialista técnico para avaliar nossa configuração atual? Uma resolução rápida seria muito apreciada para restaurar nossa eficiência operacional.
Nossa equipe pode ser contatada a qualquer momento pelo &lt;tel_num&gt;.
Obrigado pela sua atenção a este assunto crítico.
Atenciosamente,
&lt;name&gt;</t>
        </is>
      </c>
      <c r="G75" s="1" t="inlineStr">
        <is>
          <t>Incident</t>
        </is>
      </c>
      <c r="H75" s="1" t="inlineStr">
        <is>
          <t>Caro &lt;name&gt;,
Obrigado por entrar em contato conosco sobre as falhas no sistema após sua atualização recente. Entendemos a natureza crítica deste problema e seu impacto em suas operações. Recomendamos iniciar imediatamente uma revisão do sistema para identificar problemas de otimização.
Para agilizar o processo, um de nossos especialistas técnicos entrará em contato com sua equipe em breve pelo &lt;tel_num&gt; para agendar uma avaliação aprofundada de sua configuração atual. Enquanto isso, por favor, certifique-se de que todas as atualizações e logs recentes estejam prontos para revisão para auxiliar no diagnóstico.
Estamos comprometidos em resolver isso rapidamente.
Atenciosamente,
Equipe de Suporte ao Cliente</t>
        </is>
      </c>
      <c r="I75" s="1" t="inlineStr">
        <is>
          <t>medium</t>
        </is>
      </c>
      <c r="J75" s="1" t="inlineStr">
        <is>
          <t>['Urgent Issue', 'Technical Support', 'Service Disruption', 'System Crash', 'Performance Tuning', 'Technical Guidance', 'Incident Report']</t>
        </is>
      </c>
      <c r="K75" s="1" t="inlineStr">
        <is>
          <t>pt</t>
        </is>
      </c>
      <c r="L75" s="1" t="n">
        <v>775</v>
      </c>
    </row>
    <row r="76" ht="16.5" customHeight="1">
      <c r="A76" s="1" t="n">
        <v>664</v>
      </c>
      <c r="B76" s="3" t="inlineStr">
        <is>
          <t>Gerenciamento de Incidentes</t>
        </is>
      </c>
      <c r="C76" s="3" t="inlineStr">
        <is>
          <t>Gerenciamento de Disponibilidade</t>
        </is>
      </c>
      <c r="D76" s="1" t="inlineStr">
        <is>
          <t>Problema Urgente de Implantação da AWS</t>
        </is>
      </c>
      <c r="E76" s="1" t="inlineStr">
        <is>
          <t>Technical Support</t>
        </is>
      </c>
      <c r="F76" s="1" t="inlineStr">
        <is>
          <t>Caro Suporte ao Cliente,
Estamos enfrentando um problema de alta prioridade com nossa implantação da AWS, causando um tempo de inatividade significativo. Isso afeta o nosso Serviço de Gerenciamento da AWS. Precisamos da sua atenção imediata para restaurar os servidores. Por favor, trate este assunto com urgência.
Obrigado,
&lt;name&gt;
&lt;acc_num&gt;</t>
        </is>
      </c>
      <c r="G76" s="1" t="inlineStr">
        <is>
          <t>Problem</t>
        </is>
      </c>
      <c r="H76" s="1" t="inlineStr">
        <is>
          <t>Caro &lt;name&gt;,
Reconhecemos o problema urgente com sua implantação da AWS e seu impacto em seus serviços. Nossa equipe está priorizando seu caso para restaurar seus servidores o mais rápido possível. Manteremos você atualizado sobre o progresso.
Obrigado pela sua paciência,
Equipe de Suporte ao Cliente</t>
        </is>
      </c>
      <c r="I76" s="1" t="inlineStr">
        <is>
          <t>high</t>
        </is>
      </c>
      <c r="J76" s="1" t="inlineStr">
        <is>
          <t>['Urgent Issue', 'Service Disruption', 'Technical Support', 'System Crash', 'Service Recovery', 'IT Support', 'Incident Report']</t>
        </is>
      </c>
      <c r="K76" s="1" t="inlineStr">
        <is>
          <t>pt</t>
        </is>
      </c>
      <c r="L76" s="1" t="n">
        <v>343</v>
      </c>
    </row>
    <row r="77" ht="16.5" customHeight="1">
      <c r="A77" s="1" t="n">
        <v>670</v>
      </c>
      <c r="B77" s="3" t="inlineStr">
        <is>
          <t>Solicitação de Serviço</t>
        </is>
      </c>
      <c r="C77" s="3" t="inlineStr">
        <is>
          <t>Gerenciamento de Ativos de TI</t>
        </is>
      </c>
      <c r="D77" s="1" t="inlineStr">
        <is>
          <t>Solicitação de Processamento de Troca de Laptop Dell</t>
        </is>
      </c>
      <c r="E77" s="1" t="inlineStr">
        <is>
          <t>Returns and Exchanges</t>
        </is>
      </c>
      <c r="F77" s="1" t="inlineStr">
        <is>
          <t>Caro Suporte da Loja Online Tech,
Estou escrevendo para relatar que meu Dell XPS 13 9310 comprado sob o número da conta &lt;acc_num&gt; não está ligando. Por favor, inicie o processo de troca e investigue um possível problema na bateria. Para qualquer atualização, entre em contato comigo pelo &lt;tel_num&gt;.
Obrigado,
&lt;name&gt;</t>
        </is>
      </c>
      <c r="G77" s="1" t="inlineStr">
        <is>
          <t>Problem</t>
        </is>
      </c>
      <c r="H77" s="1" t="inlineStr">
        <is>
          <t>Caro &lt;name&gt;,
Obrigado por entrar em contato com o Suporte da Loja Online Tech. Pedimos desculpas pelo inconveniente com seu Dell XPS 13 9310. Iniciamos o processo de troca do seu laptop comprado sob o número da conta &lt;acc_num&gt;. Além disso, nossa equipe irá investigar o problema da bateria. Atualizações serão fornecidas assim que possível. Para mais assistência, não hesite em nos contatar pelo nosso número de atendimento ao cliente.
Atenciosamente,
Suporte da Loja Online Tech</t>
        </is>
      </c>
      <c r="I77" s="1" t="inlineStr">
        <is>
          <t>low</t>
        </is>
      </c>
      <c r="J77" s="1" t="inlineStr">
        <is>
          <t>['Returns and Exchanges', 'Product Support', 'Hardware Failure', 'Order Issue']</t>
        </is>
      </c>
      <c r="K77" s="1" t="inlineStr">
        <is>
          <t>pt</t>
        </is>
      </c>
      <c r="L77" s="1" t="n">
        <v>318</v>
      </c>
    </row>
    <row r="78" ht="16.5" customHeight="1">
      <c r="A78" s="1" t="n">
        <v>674</v>
      </c>
      <c r="B78" s="3" t="inlineStr">
        <is>
          <t>Gerenciamento de Incidentes</t>
        </is>
      </c>
      <c r="C78" s="3" t="inlineStr">
        <is>
          <t>Gerenciamento de Disponibilidade</t>
        </is>
      </c>
      <c r="D78" s="1" t="inlineStr">
        <is>
          <t>Problema urgente de conectividade com a AWS</t>
        </is>
      </c>
      <c r="E78" s="1" t="inlineStr">
        <is>
          <t>Technical Support</t>
        </is>
      </c>
      <c r="F78" s="1" t="inlineStr">
        <is>
          <t>Estamos enfrentando problemas de conectividade com o AWS Management Service, resultando em inatividade do site do cliente. Resolução imediata necessária. Por favor, priorize este incidente de alta prioridade. Número da conta: &lt;acc_num&gt;. Obrigado, &lt;name&gt;.</t>
        </is>
      </c>
      <c r="G78" s="1" t="inlineStr">
        <is>
          <t>Incident</t>
        </is>
      </c>
      <c r="H78" s="1" t="inlineStr">
        <is>
          <t>Assunto: Re: Problema urgente de conectividade com a AWS
Olá &lt;name&gt;,
Obrigado por entrar em contato. Entendemos a urgência em resolver o problema de conectividade do AWS Management Service que está impactando o site do seu cliente. Nossa equipe está priorizando este incidente e trabalhando diligentemente para restaurar o serviço. Manteremos você atualizado sobre o progresso. Se você tiver mais informações, por favor, nos avise.
Atenciosamente,
Equipe de Atendimento</t>
        </is>
      </c>
      <c r="I78" s="1" t="inlineStr">
        <is>
          <t>high</t>
        </is>
      </c>
      <c r="J78" s="1" t="inlineStr">
        <is>
          <t>['Service Outage', 'Urgent Issue', 'Network Issue', 'Incident Report', 'Problem Resolution']</t>
        </is>
      </c>
      <c r="K78" s="1" t="inlineStr">
        <is>
          <t>pt</t>
        </is>
      </c>
      <c r="L78" s="1" t="n">
        <v>254</v>
      </c>
    </row>
    <row r="79" ht="16.5" customHeight="1">
      <c r="A79" s="1" t="n">
        <v>683</v>
      </c>
      <c r="B79" s="3" t="inlineStr">
        <is>
          <t>Solicitação de Serviço</t>
        </is>
      </c>
      <c r="C79" s="3" t="inlineStr">
        <is>
          <t>Gerenciamento Financeiro</t>
        </is>
      </c>
      <c r="D79" s="1" t="inlineStr">
        <is>
          <t>Solicitação de Alterações no Painel de Gerenciamento da AWS</t>
        </is>
      </c>
      <c r="E79" s="1" t="inlineStr">
        <is>
          <t>Product Support</t>
        </is>
      </c>
      <c r="F79" s="1" t="inlineStr">
        <is>
          <t>Caro Suporte ao Cliente dos Serviços de TI,
Estou escrevendo para solicitar algumas alterações no Painel de Gerenciamento da AWS, especificamente relacionadas à atualização das configurações de autoescalonamento de implantação. A configuração atual não suporta completamente nossos objetivos de otimização de custos, e acredito que alguns ajustes poderiam aumentar nossa eficiência. Você poderia, por favor, fornecer assistência na reconfiguração dessas configurações? Sua experiência nessas modificações seria muito valorizada. Por favor, deixe-nos saber os passos que precisamos seguir ou se informações adicionais são necessárias. Obrigado pela sua ajuda na resolução deste assunto.
Atenciosamente,
&lt;name&gt;</t>
        </is>
      </c>
      <c r="G79" s="1" t="inlineStr">
        <is>
          <t>Change</t>
        </is>
      </c>
      <c r="H79" s="1" t="inlineStr">
        <is>
          <t>Caro &lt;name&gt;,
Obrigado por entrar em contato com o Suporte ao Cliente dos Serviços de TI em relação às alterações no Painel de Gerenciamento da AWS. Entendemos a importância de alinhar as configurações de autoescalonamento de implantação com seus objetivos de otimização de custos.
Para ajudá-lo com a reconfiguração, recomendamos os seguintes passos:
1. Acesse o Console de Gerenciamento da AWS e navegue até as configurações de Autoescalonamento do EC2.
2. Ajuste a capacidade desejada e as políticas de terminação para corresponder aos seus requisitos otimizados.
3. Revise as políticas de escalonamento existentes e crie ou modifique-as com limites e métricas apropriados.
Além disso, se você precisar de orientação personalizada, forneça-nos sua configuração atual ou quaisquer cenários específicos que você deseja otimizar. Nossa equipe está pronta para oferecer assistência direta, se necessário.
Sinta-se à vontade para entrar em contato se precisar de mais ajuda ou esclarecimentos. Estamos aqui para garantir que você alcance a melhor eficiência.
Atenciosamente,
Suporte ao Cliente dos Serviços de TI</t>
        </is>
      </c>
      <c r="I79" s="1" t="inlineStr">
        <is>
          <t>high</t>
        </is>
      </c>
      <c r="J79" s="1" t="inlineStr">
        <is>
          <t>['Technical Support', 'IT Support', 'Problem Resolution', 'Product Support', 'Performance Tuning', 'Service Notification']</t>
        </is>
      </c>
      <c r="K79" s="1" t="inlineStr">
        <is>
          <t>pt</t>
        </is>
      </c>
      <c r="L79" s="1" t="n">
        <v>711</v>
      </c>
    </row>
    <row r="80" ht="16.5" customHeight="1">
      <c r="A80" s="1" t="n">
        <v>698</v>
      </c>
      <c r="B80" s="3" t="inlineStr">
        <is>
          <t>Gerenciamento de Incidentes</t>
        </is>
      </c>
      <c r="C80" s="3" t="inlineStr">
        <is>
          <t>Gerenciamento de Disponibilidade</t>
        </is>
      </c>
      <c r="D80" s="1" t="inlineStr">
        <is>
          <t>Urgente: Interrupção de Rede - Roteador Cisco ISR4331</t>
        </is>
      </c>
      <c r="E80" s="1" t="inlineStr">
        <is>
          <t>IT Support</t>
        </is>
      </c>
      <c r="F80" s="1" t="inlineStr">
        <is>
          <t>Prezado Suporte ao Cliente,
Estou escrevendo para relatar uma interrupção de rede de alta prioridade que está afetando atualmente nossos serviços empresariais. Esse problema parece estar ligado ao nosso Roteador Cisco ISR4331, que requer solução de problemas e restauração imediatas. A interrupção está impactando significativamente nossas operações diárias, e assistência oportuna é necessária para resolvê-lo o mais rápido possível.
Por favor, priorize este pedido e nos informe quais etapas precisamos seguir para acelerar o processo de resolução.
Obrigado pela sua rápida atenção a este assunto.
Atenciosamente,
&lt;name&gt;
&lt;acc_num&gt;
&lt;tel_num&gt;</t>
        </is>
      </c>
      <c r="G80" s="1" t="inlineStr">
        <is>
          <t>Problem</t>
        </is>
      </c>
      <c r="H80" s="1" t="inlineStr">
        <is>
          <t>Prezado &lt;name&gt;,
Obrigado por entrar em contato sobre a interrupção de rede com seu Roteador Cisco ISR4331. Entendemos a urgência e o impacto em seus serviços empresariais. Nossa equipe de suporte está priorizando sua solicitação e começará a solução de problemas imediatamente.
Por favor, certifique-se de que o roteador esteja acessível remotamente e compartilhe quaisquer códigos de erro adicionais, se disponíveis. Um especialista técnico entrará em contato com você em breve pelo número de telefone fornecido &lt;tel_num&gt; para orientá-lo sobre as etapas preliminares e atualizações.
Sua paciência é muito apreciada enquanto trabalhamos rapidamente para restaurar seus serviços.
Atenciosamente,
Equipe de Suporte ao Cliente</t>
        </is>
      </c>
      <c r="I80" s="1" t="inlineStr">
        <is>
          <t>high</t>
        </is>
      </c>
      <c r="J80" s="1" t="inlineStr">
        <is>
          <t>['Network Issue', 'Service Disruption', 'Urgent Issue', 'Technical Support']</t>
        </is>
      </c>
      <c r="K80" s="1" t="inlineStr">
        <is>
          <t>pt</t>
        </is>
      </c>
      <c r="L80" s="1" t="n">
        <v>647</v>
      </c>
    </row>
    <row r="81" ht="16.5" customHeight="1">
      <c r="A81" s="1" t="n">
        <v>706</v>
      </c>
      <c r="B81" s="3" t="inlineStr">
        <is>
          <t>Gerenciamento de Incidentes</t>
        </is>
      </c>
      <c r="C81" s="3" t="inlineStr">
        <is>
          <t>Gerenciamento de Problemas</t>
        </is>
      </c>
      <c r="D81" s="1" t="inlineStr">
        <is>
          <t>Problemas de rede com o roteador Cisco</t>
        </is>
      </c>
      <c r="E81" s="1" t="inlineStr">
        <is>
          <t>Technical Support</t>
        </is>
      </c>
      <c r="F81" s="1" t="inlineStr">
        <is>
          <t>Prezado Suporte ao Cliente,
Estou entrando em contato para relatar desconexões frequentes da rede que temos experimentado em nosso sistema, potencialmente devido a configurações incorretas ou uma falha de hardware em nosso roteador Cisco ISR4331. Dependemos fortemente de uma conectividade estável e contínua para operar nossas atividades de maneira eficiente, e essas interrupções estão afetando consideravelmente nossa produtividade.
Esses problemas começaram aproximadamente duas semanas atrás e pioraram progressivamente, ocorrendo em intervalos imprevisíveis e causando considerável interrupção em nosso fluxo de trabalho. Suspeitamos que pode ser uma configuração dentro do roteador que precisa ser atualizada ou um possível defeito de hardware que requer reparo ou substituição.
O dispositivo em questão está localizado em nosso escritório principal e serve como o roteador principal em nossa infraestrutura de rede. Nosso departamento de TI já revisou e confirmou que todos os outros equipamentos e configurações de rede estão operacionais e consistentes com os padrões de desempenho ideais, indicando que o problema está isolado a este modelo específico da Cisco.
Qualquer orientação ou suporte que você puder fornecer para resolver este assunto seria muito apreciado. Se necessário, por favor, nos informe a oportunidade mais próxima disponível para agendar uma avaliação de serviço. Podemos acomodar investigações fora do horário comercial regular, se isso ajudar a acelerar a resolução.
Obrigado pela sua atenção rápida a este problema. Sinta-se à vontade para me contatar a qualquer momento pelo &lt;tel_num&gt;, ou responder a este e-mail para discussões adicionais. Aguardamos seu apoio para corrigir esse inconveniente.
Atenciosamente,
&lt;name&gt;
&lt;acc_num&gt;</t>
        </is>
      </c>
      <c r="G81" s="1" t="inlineStr">
        <is>
          <t>Incident</t>
        </is>
      </c>
      <c r="H81" s="1" t="inlineStr">
        <is>
          <t>Prezado &lt;name&gt;,
Obrigado por entrar em contato sobre os problemas com seu roteador Cisco ISR4331. Entendemos o quão importante é a conectividade estável para suas operações, e estamos aqui para ajudar a resolver isso o mais rapidamente possível.
Para começar a abordar as preocupações de configuração ou hardware, aqui estão alguns passos iniciais que você pode tomar:
1. **Atualização de Firmware**: Certifique-se de que o firmware do roteador esteja atualizado, já que as atualizações frequentemente incluem correções de bugs e recursos de estabilidade aprimorada.
2. **Verificação de Configuração**: Verifique novamente as configurações do roteador para quaisquer configurações incorretas. Assegure-se de que elas correspondam às diretrizes padrão fornecidas pela Cisco para o modelo ISR4331.
3. **Inspeção de Hardware**: Verifique se há quaisquer problemas de hardware visíveis, como superaquecimento ou dano físico ao roteador ou suas conexões.
Para uma análise mais aprofundada, recomendamos agendar uma avaliação de serviço com nossa equipe de suporte técnico. Por favor, nos informe sua disponibilidade e podemos organizar para realizar esta avaliação fora do horário regular para minimizar a interrupção.
Sinta-se à vontade para me contatar a qualquer momento pelo &lt;tel_num&gt; para mais coordenação, ou responder a este e-mail. Estamos comprometidos em resolver este problema prontamente e restaurar a estabilidade da sua rede.
Atenciosamente,
Equipe de Suporte ao Cliente</t>
        </is>
      </c>
      <c r="I81" s="1" t="inlineStr">
        <is>
          <t>high</t>
        </is>
      </c>
      <c r="J81" s="1" t="inlineStr">
        <is>
          <t>['Network Issue', 'Technical Support', 'Hardware Failure', 'IT Support', 'Service Disruption', 'Problem Resolution', 'Incident Report', 'Service Recovery']</t>
        </is>
      </c>
      <c r="K81" s="1" t="inlineStr">
        <is>
          <t>pt</t>
        </is>
      </c>
      <c r="L81" s="1" t="n">
        <v>1769</v>
      </c>
    </row>
    <row r="82" ht="16.5" customHeight="1">
      <c r="A82" s="1" t="n">
        <v>707</v>
      </c>
      <c r="B82" s="3" t="inlineStr">
        <is>
          <t>Solicitação de Serviço</t>
        </is>
      </c>
      <c r="C82" s="3" t="inlineStr">
        <is>
          <t>Gerenciamento de Mudanças</t>
        </is>
      </c>
      <c r="D82" s="1" t="inlineStr">
        <is>
          <t>Solicitação para Alterar o Processo de Administração do Servidor</t>
        </is>
      </c>
      <c r="E82" s="1" t="inlineStr">
        <is>
          <t>General Inquiry</t>
        </is>
      </c>
      <c r="F82" s="1" t="inlineStr">
        <is>
          <t>Caro time de Suporte de Consultoria de TI,
Espero que esta mensagem o encontre bem. Estou escrevendo para solicitar uma avaliação e alteração do nosso atual processo de administração do servidor. Acreditamos que melhorar esses protocolos resultará em operações mais eficientes e soluções de TI aprimoradas no geral. Tornar esses processos mais simples é vital para manter serviços de consultoria de alta qualidade e responder mais rapidamente às necessidades dos clientes. Por favor, nos informe sobre os próximos passos para iniciar essa mudança e aumentar nossa produtividade de forma eficaz.
Aguardando sua resposta rápida.
Obrigado.
Atenciosamente,
&lt;name&gt;</t>
        </is>
      </c>
      <c r="G82" s="1" t="inlineStr">
        <is>
          <t>Change</t>
        </is>
      </c>
      <c r="H82" s="1" t="inlineStr">
        <is>
          <t>Caro &lt;name&gt;,
Obrigado por entrar em contato conosco. Agradecemos sua abordagem proativa na busca por melhorias. Para prosseguir com a avaliação e possíveis mudanças em seu processo de administração do servidor, recomendamos agendar uma reunião de consulta com nossa equipe para discutir suas necessidades e objetivos específicos. Isso nos permitirá adaptar nossas recomendações e criar uma estratégia eficaz. Por favor, nos informe sua disponibilidade para uma reunião.
Aguardando a oportunidade de trabalharmos juntos nisso.
Atenciosamente,
Equipe de Suporte de Consultoria de TI</t>
        </is>
      </c>
      <c r="I82" s="1" t="inlineStr">
        <is>
          <t>low</t>
        </is>
      </c>
      <c r="J82" s="1" t="inlineStr">
        <is>
          <t>['IT Support', 'Technical Guidance', 'Service Notification', 'General Inquiry', 'Performance Tuning', 'Problem Resolution']</t>
        </is>
      </c>
      <c r="K82" s="1" t="inlineStr">
        <is>
          <t>pt</t>
        </is>
      </c>
      <c r="L82" s="1" t="n">
        <v>663</v>
      </c>
    </row>
    <row r="83" ht="16.5" customHeight="1">
      <c r="A83" s="1" t="n">
        <v>709</v>
      </c>
      <c r="B83" s="3" t="inlineStr">
        <is>
          <t>Solicitação de Serviço</t>
        </is>
      </c>
      <c r="C83" s="3" t="inlineStr">
        <is>
          <t>Gerenciamento de Problemas</t>
        </is>
      </c>
      <c r="D83" s="1" t="inlineStr">
        <is>
          <t>Consulta sobre Integrações Adicionais</t>
        </is>
      </c>
      <c r="E83" s="1" t="inlineStr">
        <is>
          <t>Product Support</t>
        </is>
      </c>
      <c r="F83" s="1" t="inlineStr">
        <is>
          <t>Caro Suporte ao Cliente,
Estou entrando em contato para perguntar sobre integrações adicionais com o Jira Software para melhorar o rastreamento de projetos e a colaboração da equipe. Essas capacidades extras melhorariam significativamente nosso fluxo de trabalho, proporcionando melhor supervisão e controle. Estamos atualmente utilizando o Jira Software 8.20 e buscamos melhorias que possam oferecer opções de integração mais eficientes.
Acreditamos que funcionalidades de interação aprimoradas irão promover a produtividade entre nossa equipe. Você poderia compartilhar qualquer informação sobre integrações disponíveis ou atualizações futuras que possam atender a esses requisitos?
Agradeço pela sua atenção e assistência.
Atenciosamente,
&lt;name&gt;</t>
        </is>
      </c>
      <c r="G83" s="1" t="inlineStr">
        <is>
          <t>Change</t>
        </is>
      </c>
      <c r="H83" s="1" t="inlineStr">
        <is>
          <t>Caro &lt;name&gt;,
Agradecemos por entrar em contato conosco sobre mais integrações com o Jira Software 8.20. É ótimo saber que você está buscando aprimorar suas capacidades de rastreamento de projetos e colaboração em equipe.
Oferecemos uma variedade de integrações destinadas a otimizar seu fluxo de trabalho e aumentar a produtividade. Para as integrações mais recentes e apropriadas compatíveis com a sua versão, recomendo que você verifique nosso hub de integrações no marketplace do Jira e filtre de acordo com suas especificações.
Além disso, estamos constantemente trabalhando em atualizações para melhorar nossas possibilidades de integração. Para ficar atualizado sobre nossas melhorias e ofertas futuras, recomendo que você se inscreva na nossa newsletter ou fique de olho em nossos canais de comunicação oficiais.
Se você tiver necessidades específicas de integração em mente, sinta-se à vontade para nos informar e podemos oferecer conselhos mais personalizados.
Caso necessite de ajuda adicional, não hesite em entrar em contato.
Atenciosamente,
&lt;your name&gt;
Equipe de Suporte ao Cliente</t>
        </is>
      </c>
      <c r="I83" s="1" t="inlineStr">
        <is>
          <t>medium</t>
        </is>
      </c>
      <c r="J83" s="1" t="inlineStr">
        <is>
          <t>['Technical Support', 'Product Support', 'Software Bug', 'Feature Request', 'General Inquiry', 'Customer Service']</t>
        </is>
      </c>
      <c r="K83" s="1" t="inlineStr">
        <is>
          <t>pt</t>
        </is>
      </c>
      <c r="L83" s="1" t="n">
        <v>752</v>
      </c>
    </row>
    <row r="84" ht="16.5" customHeight="1">
      <c r="A84" s="1" t="n">
        <v>710</v>
      </c>
      <c r="B84" s="3" t="inlineStr">
        <is>
          <t>Solicitação de Serviço</t>
        </is>
      </c>
      <c r="C84" s="3" t="inlineStr">
        <is>
          <t>Gerenciamento de Ativos de TI</t>
        </is>
      </c>
      <c r="D84" s="1" t="inlineStr">
        <is>
          <t>Solicitação de Retorno: Recurso HDR Defeituoso do Samsung QN90A</t>
        </is>
      </c>
      <c r="E84" s="1" t="inlineStr">
        <is>
          <t>Returns and Exchanges</t>
        </is>
      </c>
      <c r="F84" s="1" t="inlineStr">
        <is>
          <t>Caro Suporte da Tech Online Store,
Estou escrevendo para solicitar um retorno para meu Samsung QLED QN90A devido a um recurso HDR defeituoso. O problema foi descoberto dentro do prazo de devolução. Por favor, informe os próximos passos para processar essa devolução.
Obrigado,
&lt;name&gt;
&lt;acc_num&gt;
&lt;tel_num&gt;</t>
        </is>
      </c>
      <c r="G84" s="1" t="inlineStr">
        <is>
          <t>Request</t>
        </is>
      </c>
      <c r="H84" s="1" t="inlineStr">
        <is>
          <t>Caro &lt;name&gt;,
Obrigado por entrar em contato conosco. Lamentamos saber sobre o problema com seu Samsung QN90A. Por favor, retorne o produto para o nosso departamento de devoluções. Certifique-se de incluir seu número de conta &lt;acc_num&gt; no pacote. Nosso endereço e mais instruções serão enviados por e-mail.
Atenciosamente,
Suporte da Tech Online Store</t>
        </is>
      </c>
      <c r="I84" s="1" t="inlineStr">
        <is>
          <t>medium</t>
        </is>
      </c>
      <c r="J84" s="1" t="inlineStr">
        <is>
          <t>['Returns and Exchanges', 'Product Support', 'Refund Request', 'Account Assistance']</t>
        </is>
      </c>
      <c r="K84" s="1" t="inlineStr">
        <is>
          <t>pt</t>
        </is>
      </c>
      <c r="L84" s="1" t="n">
        <v>305</v>
      </c>
    </row>
    <row r="85" ht="16.5" customHeight="1">
      <c r="A85" s="1" t="n">
        <v>720</v>
      </c>
      <c r="B85" s="3" t="inlineStr">
        <is>
          <t>Solicitação de Serviço</t>
        </is>
      </c>
      <c r="C85" s="3" t="inlineStr">
        <is>
          <t>Gerenciamento de Nível de Serviço</t>
        </is>
      </c>
      <c r="D85" s="1" t="inlineStr">
        <is>
          <t>Solicitação de detalhes sobre o plano de transição dos sistemas de TI e suporte</t>
        </is>
      </c>
      <c r="E85" s="1" t="inlineStr">
        <is>
          <t>Customer Service</t>
        </is>
      </c>
      <c r="F85" s="1" t="inlineStr">
        <is>
          <t>Prezado Suporte ao Cliente de Serviços de TI,
Estou escrevendo para perguntar sobre o plano de transição solicitado para as funcionalidades administrativas de nossos sistemas de TI, com foco principalmente no suporte e otimização de servidores. Como clientes, buscamos uma visão detalhada para entender como essas melhorias, especialmente sob seu Serviço de Consultoria de TI, serão implementadas. Nossa equipe está ansiosa para garantir uma transição suave, e a orientação detalhada de seus especialistas será crucial.
Por favor, inclua quaisquer prazos relevantes, expectativas ou ações preparatórias necessárias de nossa parte. Agradecemos sua pronta resposta e conselhos especializados que nos ajudarão a alcançar o desempenho ideal do sistema.
Obrigado,
&lt;name&gt;</t>
        </is>
      </c>
      <c r="G85" s="1" t="inlineStr">
        <is>
          <t>Change</t>
        </is>
      </c>
      <c r="H85" s="1" t="inlineStr">
        <is>
          <t>Prezado &lt;name&gt;,
Obrigado por entrar em contato com sua pergunta sobre o plano de transição dos sistemas de TI.
Estamos comprometidos em garantir uma transição tranquila para as funcionalidades administrativas de seus sistemas de TI. Nossa equipe fornecerá um plano abrangente, detalhando o suporte ao servidor e as melhorias de otimização. A transição será gerenciada sob a expertise de nosso Serviço de Consultoria de TI para garantir uma interrupção mínima.
Atualmente, estamos finalizando os prazos do projeto e os compartilharemos em breve. Quanto às ações preparatórias de sua parte, recomendamos revisar quaisquer configurações existentes e compilar uma lista de requisitos específicos que possam ajudar nossos especialistas a personalizar o suporte às suas necessidades. Essa etapa preparatória facilitará uma experiência de transição mais ajustada.
Valorizamos sua confiança e forneceremos uma visão detalhada para guiar sua equipe pelo processo de forma suave. Aguarde mais comunicações nossas dentro dos próximos dias úteis.
Atenciosamente,
Equipe de Suporte ao Cliente de Serviços de TI</t>
        </is>
      </c>
      <c r="I85" s="1" t="inlineStr">
        <is>
          <t>high</t>
        </is>
      </c>
      <c r="J85" s="1" t="inlineStr">
        <is>
          <t>['Technical Support', 'IT Support', 'Product Support', 'Service Notification', 'Problem Resolution', 'General Inquiry', 'Technical Guidance', 'Performance Tuning']</t>
        </is>
      </c>
      <c r="K85" s="1" t="inlineStr">
        <is>
          <t>pt</t>
        </is>
      </c>
      <c r="L85" s="1" t="n">
        <v>768</v>
      </c>
    </row>
    <row r="86" ht="16.5" customHeight="1">
      <c r="A86" s="1" t="n">
        <v>752</v>
      </c>
      <c r="B86" s="3" t="inlineStr">
        <is>
          <t>Solicitação de Serviço</t>
        </is>
      </c>
      <c r="C86" s="3" t="inlineStr">
        <is>
          <t>Gerenciamento de Acesso</t>
        </is>
      </c>
      <c r="D86" s="1" t="inlineStr">
        <is>
          <t>Solicitação de Alteração de Permissões de Acesso</t>
        </is>
      </c>
      <c r="E86" s="1" t="inlineStr">
        <is>
          <t>Technical Support</t>
        </is>
      </c>
      <c r="F86" s="1" t="inlineStr">
        <is>
          <t>Caro Time de Suporte ao Cliente, Espero que esta mensagem o encontre bem. Atualmente usamos o Jira Software 8.20 para gerenciar nossos projetos e melhorar a colaboração da equipe. No entanto, estamos enfrentando desafios devido às permissões de acesso atuais, que limitam nossa eficiência de forma significativa. Portanto, solicito gentilmente uma revisão e possível alteração das permissões de acesso para melhor alinhar com nossas necessidades de gerenciamento de projetos. Você poderia nos informar como podemos prosseguir com esta solicitação? Sua assistência com este assunto é muito apreciada. Obrigado pela sua pronta atenção a este pedido. Atenciosamente, &lt;name&gt;</t>
        </is>
      </c>
      <c r="G86" s="1" t="inlineStr">
        <is>
          <t>Change</t>
        </is>
      </c>
      <c r="H86" s="1" t="inlineStr">
        <is>
          <t>Caro &lt;name&gt;,
Obrigado por entrar em contato sobre permissões de acesso no Jira Software 8.20. Entendemos a importância de ter permissões apropriadas para um gerenciamento de projetos eficiente. Para prosseguir, por favor, forneça-nos detalhes específicos sobre as alterações de acesso que você deseja. Assim que tivermos essas informações, nossa equipe poderá revisar sua solicitação e orientá-lo pelas opções possíveis ou fazer os ajustes necessários. Estamos aqui para ajudá-lo com uma resolução rápida.
Atenciosamente,
Time de Suporte ao Cliente</t>
        </is>
      </c>
      <c r="I86" s="1" t="inlineStr">
        <is>
          <t>high</t>
        </is>
      </c>
      <c r="J86" s="1" t="inlineStr">
        <is>
          <t>['Technical Support', 'IT Support', 'Problem Resolution', 'Account Assistance', 'Customer Service', 'Technical Guidance']</t>
        </is>
      </c>
      <c r="K86" s="1" t="inlineStr">
        <is>
          <t>pt</t>
        </is>
      </c>
      <c r="L86" s="1" t="n">
        <v>670</v>
      </c>
    </row>
    <row r="87" ht="16.5" customHeight="1">
      <c r="A87" s="1" t="n">
        <v>756</v>
      </c>
      <c r="B87" s="3" t="inlineStr">
        <is>
          <t>Solicitação de Serviço</t>
        </is>
      </c>
      <c r="C87" s="3" t="inlineStr">
        <is>
          <t>Gerenciamento de Ativos de TI</t>
        </is>
      </c>
      <c r="D87" s="1" t="inlineStr">
        <is>
          <t>Solicitação de Devolução: Problema de Vazamento no Tanque de Tinta</t>
        </is>
      </c>
      <c r="E87" s="1" t="inlineStr">
        <is>
          <t>Returns and Exchanges</t>
        </is>
      </c>
      <c r="F87" s="1" t="inlineStr">
        <is>
          <t>Prezado Atendimento ao Cliente,
Estou escrevendo para solicitar a devolução da impressora Epson EcoTank ET-4760, que comprei recentemente em sua loja online. Infelizmente, durante a configuração inicial da impressora, experimentei um vazamento do tanque de tinta, causando considerável inconveniência.
Os detalhes do produto são os seguintes:
- Produto: Epson EcoTank ET-4760
- Número do Pedido: &lt;order_number&gt;
Segui todos os passos de solução de problemas descritos no manual, mas o problema persiste. Agradeceria uma assistência urgente para processar a devolução e receber uma substituição ou reembolso.
Por favor, entre em contato comigo assim que possível em &lt;tel_num&gt;. Obrigado pela sua rápida atenção a este assunto.
Atenciosamente,
&lt;name&gt;</t>
        </is>
      </c>
      <c r="G87" s="1" t="inlineStr">
        <is>
          <t>Problem</t>
        </is>
      </c>
      <c r="H87" s="1" t="inlineStr">
        <is>
          <t>Prezado &lt;name&gt;,
Lamentamos saber sobre o problema com sua impressora Epson EcoTank ET-4760. Para prosseguir com sua solicitação de devolução, por favor, assegure-se de ter o produto pronto para devolução e toda a documentação associada. Iniciaremos o processo de devolução e facilitaremos uma substituição ou reembolso de acordo com sua preferência. Por gentileza, aguarde uma atualização em breve sobre as instruções de devolução. Para assistência imediata, você pode nos contatar em [opções de contato do atendimento ao cliente].
Obrigado pela sua paciência e compreensão.
Atenciosamente,
Equipe de Suporte ao Cliente</t>
        </is>
      </c>
      <c r="I87" s="1" t="inlineStr">
        <is>
          <t>medium</t>
        </is>
      </c>
      <c r="J87" s="1" t="inlineStr">
        <is>
          <t>['Returns and Exchanges', 'Product Support', 'Urgent Issue', 'Refund Request', 'Order Issue', 'Service Recovery']</t>
        </is>
      </c>
      <c r="K87" s="1" t="inlineStr">
        <is>
          <t>pt</t>
        </is>
      </c>
      <c r="L87" s="1" t="n">
        <v>752</v>
      </c>
    </row>
    <row r="88" ht="16.5" customHeight="1">
      <c r="A88" s="1" t="n">
        <v>757</v>
      </c>
      <c r="B88" s="3" t="inlineStr">
        <is>
          <t>Gerenciamento de Incidentes</t>
        </is>
      </c>
      <c r="C88" s="3" t="inlineStr">
        <is>
          <t>Gerenciamento de Problemas</t>
        </is>
      </c>
      <c r="D88" s="1" t="inlineStr">
        <is>
          <t>Urgente: Problema com Dell XPS 13 9310</t>
        </is>
      </c>
      <c r="E88" s="1" t="inlineStr">
        <is>
          <t>Technical Support</t>
        </is>
      </c>
      <c r="F88" s="1" t="inlineStr">
        <is>
          <t>Caro Suporte da Loja Online Tech,
Estou enfrentando um problema com meu Dell XPS 13 9310, que às vezes congela e interrompe meu fluxo de trabalho. Você poderia me ajudar a diagnosticar e resolver esse problema?
Obrigado,
&lt;name&gt;
Número da Conta: &lt;acc_num&gt;
Telefone: &lt;tel_num&gt;</t>
        </is>
      </c>
      <c r="G88" s="1" t="inlineStr">
        <is>
          <t>Incident</t>
        </is>
      </c>
      <c r="H88" s="1" t="inlineStr">
        <is>
          <t>Caro &lt;name&gt;,
Lamentamos saber sobre o problema com seu Dell XPS 13 9310. Por favor, tente atualizar o BIOS do seu sistema e os drivers no site de suporte da Dell. Se o problema persistir, responda a este e-mail e iremos ajudar mais.
Atenciosamente,
Suporte da Loja Online Tech</t>
        </is>
      </c>
      <c r="I88" s="1" t="inlineStr">
        <is>
          <t>low</t>
        </is>
      </c>
      <c r="J88" s="1" t="inlineStr">
        <is>
          <t>['Technical Support', 'Hardware Failure', 'Urgent Issue', 'Problem Resolution', 'Product Support']</t>
        </is>
      </c>
      <c r="K88" s="1" t="inlineStr">
        <is>
          <t>pt</t>
        </is>
      </c>
      <c r="L88" s="1" t="n">
        <v>276</v>
      </c>
    </row>
    <row r="89" ht="16.5" customHeight="1">
      <c r="A89" s="1" t="n">
        <v>764</v>
      </c>
      <c r="B89" s="3" t="inlineStr">
        <is>
          <t>Solicitação de Serviço</t>
        </is>
      </c>
      <c r="C89" s="3" t="inlineStr">
        <is>
          <t>Gerenciamento de Ativos de TI</t>
        </is>
      </c>
      <c r="D89" s="1" t="inlineStr">
        <is>
          <t>Pedido de Devolução para Compra do MacBook Air M1</t>
        </is>
      </c>
      <c r="E89" s="1" t="inlineStr">
        <is>
          <t>Returns and Exchanges</t>
        </is>
      </c>
      <c r="F89" s="1" t="inlineStr">
        <is>
          <t>Caro Suporte ao Cliente,
Espero que esta mensagem o encontre bem. Recentemente, comprei um MacBook Air M1 na sua loja online e meu pedido chegou há alguns dias. O número do pedido associado a esta compra é &lt;acc_num&gt;. Embora a transação tenha sido tranquila e o produto tenha chegado no prazo, estou reconsiderando minha decisão e estou enfrentando arrependimento de comprador.
A embalagem do MacBook Air M1 permanece fechada, pois ainda não o usei desde a entrega. Decidi não mantê-lo e gostaria de explorar outras opções que possam se adequar melhor às minhas necessidades atuais. De acordo com a política de devolução da sua loja, entendo que as devoluções podem ser feitas dentro de 30 dias após a compra, desde que o produto esteja em sua condição original e não tenha sido aberto.
Agradeceria sua orientação sobre como proceder com esta devolução. Você poderia, por favor, fornecer instruções detalhadas sobre o processo de devolução, incluindo quaisquer etiquetas ou formulários necessários que eu possa precisar e prazos que devo cumprir para garantir que a devolução seja bem-sucedida?
Obrigado pela sua assistência.
Atenciosamente,
&lt;name&gt;
&lt;name&gt; &lt;tel_num&gt;</t>
        </is>
      </c>
      <c r="G89" s="1" t="inlineStr">
        <is>
          <t>Request</t>
        </is>
      </c>
      <c r="H89" s="1" t="inlineStr">
        <is>
          <t>Caro &lt;name&gt;,
Obrigado por entrar em contato. Entendemos sua decisão e estamos aqui para ajudar com seu pedido de devolução para o MacBook Air M1. De acordo com nossa política de devolução, as devoluções podem ser feitas dentro de 30 dias, desde que o produto permaneça fechado.
Por favor, siga estas etapas para sua devolução:
1. Certifique-se de que o MacBook esteja em sua embalagem original e não aberta.
2. Preencha o formulário de devolução disponível em nosso site na seção "Devoluções".
3. Imprima e inclua a etiqueta de devolução, que você receberá por e-mail após enviar o formulário.
4. Envie o pacote de volta para o endereço fornecido na etiqueta de devolução dentro do prazo especificado.
Para sua conveniência, iniciamos um processo de devolução em sua conta com o número do pedido &lt;acc_num&gt;, e você deverá receber mais instruções em breve.
Se você tiver alguma dúvida, fique à vontade para entrar em contato conosco a qualquer momento.
Atenciosamente,
Equipe de Suporte ao Cliente</t>
        </is>
      </c>
      <c r="I89" s="1" t="inlineStr">
        <is>
          <t>medium</t>
        </is>
      </c>
      <c r="J89" s="1" t="inlineStr">
        <is>
          <t>['Returns and Exchanges', 'Customer Service', 'Order Issue', 'Refund Request']</t>
        </is>
      </c>
      <c r="K89" s="1" t="inlineStr">
        <is>
          <t>pt</t>
        </is>
      </c>
      <c r="L89" s="1" t="n">
        <v>1169</v>
      </c>
    </row>
    <row r="90" ht="16.5" customHeight="1">
      <c r="A90" s="1" t="n">
        <v>768</v>
      </c>
      <c r="B90" s="3" t="inlineStr">
        <is>
          <t>Gerenciamento de Incidentes</t>
        </is>
      </c>
      <c r="C90" s="3" t="inlineStr">
        <is>
          <t>Gerenciamento de Problemas</t>
        </is>
      </c>
      <c r="D90" s="1" t="inlineStr">
        <is>
          <t>Urgente: Bug Grave no Sistema de Tickets</t>
        </is>
      </c>
      <c r="E90" s="1" t="inlineStr">
        <is>
          <t>Technical Support</t>
        </is>
      </c>
      <c r="F90" s="1" t="inlineStr">
        <is>
          <t>Caro Suporte ao Cliente,
Estamos enfrentando interrupções significativas no fluxo de trabalho em nosso gerenciamento de projetos devido a um bug grave no sistema de tickets Jira Software 8.20. Este problema requer sua atenção imediata para solução e resolução. Por favor, forneça uma atualização na primeira oportunidade, pois isso impacta severamente nossas operações diárias.
Por favor, priorize este pedido.
Obrigado.
Atenciosamente,
&lt;name&gt;</t>
        </is>
      </c>
      <c r="G90" s="1" t="inlineStr">
        <is>
          <t>Incident</t>
        </is>
      </c>
      <c r="H90" s="1" t="inlineStr">
        <is>
          <t>Caro &lt;name&gt;,
Obrigado por nos notificar sobre o problema significativo no Jira Software 8.20. Entendemos a urgência e estamos priorizando a resolução desse bug grave para minimizar interrupções em seu fluxo de trabalho. Nossa equipe técnica está atualmente investigando e o manterá atualizado com um relatório de status o mais breve possível. Agradecemos sua paciência e estamos comprometidos em resolver isso rapidamente.
Atenciosamente,
Suporte ao Cliente</t>
        </is>
      </c>
      <c r="I90" s="1" t="inlineStr">
        <is>
          <t>high</t>
        </is>
      </c>
      <c r="J90" s="1" t="inlineStr">
        <is>
          <t>['Software Bug', 'Urgent Issue', 'Technical Support', 'Problem Resolution', 'Service Disruption']</t>
        </is>
      </c>
      <c r="K90" s="1" t="inlineStr">
        <is>
          <t>pt</t>
        </is>
      </c>
      <c r="L90" s="1" t="n">
        <v>448</v>
      </c>
    </row>
    <row r="91" ht="16.5" customHeight="1">
      <c r="A91" s="1" t="n">
        <v>783</v>
      </c>
      <c r="B91" s="3" t="inlineStr">
        <is>
          <t>Solicitação de Serviço</t>
        </is>
      </c>
      <c r="C91" s="3" t="inlineStr">
        <is>
          <t>Gerenciamento de Incidentes</t>
        </is>
      </c>
      <c r="D91" s="1" t="inlineStr">
        <is>
          <t>Problemas de Conectividade</t>
        </is>
      </c>
      <c r="E91" s="1" t="inlineStr">
        <is>
          <t>Customer Service</t>
        </is>
      </c>
      <c r="F91" s="1" t="inlineStr">
        <is>
          <t>Caro Suporte da Loja Online de Tecnologia, estou tendo problemas para configurar minha HP DeskJet 3755. A conectividade sem fio está problemática. Você poderia me ajudar com a configuração? Obrigado, &lt;name&gt;, &lt;acc_num&gt;.</t>
        </is>
      </c>
      <c r="G91" s="1" t="inlineStr">
        <is>
          <t>Request</t>
        </is>
      </c>
      <c r="H91" s="1" t="inlineStr">
        <is>
          <t>Caro &lt;name&gt;,
Lamentamos saber sobre seus problemas de conectividade com a HP DeskJet 3755. Por favor, certifique-se de que sua impressora e roteador estejam dentro do alcance. Reinicie os dois dispositivos. Para ajuda detalhada, visite o site de suporte da HP ou entre em contato conosco.
Atenciosamente,
Suporte da Loja Online de Tecnologia</t>
        </is>
      </c>
      <c r="I91" s="1" t="inlineStr">
        <is>
          <t>medium</t>
        </is>
      </c>
      <c r="J91" s="1" t="inlineStr">
        <is>
          <t>['Technical Support', 'Product Support', 'Network Issue', 'Login Issue', 'Problem Resolution']</t>
        </is>
      </c>
      <c r="K91" s="1" t="inlineStr">
        <is>
          <t>pt</t>
        </is>
      </c>
      <c r="L91" s="1" t="n">
        <v>218</v>
      </c>
    </row>
    <row r="92" ht="16.5" customHeight="1">
      <c r="A92" s="1" t="n">
        <v>787</v>
      </c>
      <c r="B92" s="3" t="inlineStr">
        <is>
          <t>Gerenciamento de Incidentes</t>
        </is>
      </c>
      <c r="C92" s="3" t="inlineStr">
        <is>
          <t>Gerenciamento de Problemas</t>
        </is>
      </c>
      <c r="D92" s="1" t="inlineStr">
        <is>
          <t>Quedas frequentes de áudio durante videochamadas</t>
        </is>
      </c>
      <c r="E92" s="1" t="inlineStr">
        <is>
          <t>Customer Service</t>
        </is>
      </c>
      <c r="F92" s="1" t="inlineStr">
        <is>
          <t>Caro equipe de suporte de TI, estou enfrentando quedas frequentes de áudio durante minhas videochamadas, apesar de ter condições de rede estáveis. Este problema persiste especificamente com a versão 5.11.0 do Zoom. Meu número de conta é &lt;acc_num&gt;. Você poderia me ajudar a resolver esse problema contínuo? Sinta-se à vontade para me contatar a qualquer momento no &lt;tel_num&gt;. Sua atenção urgente a este assunto seria muito apreciada. Obrigado, &lt;name&gt;.</t>
        </is>
      </c>
      <c r="G92" s="1" t="inlineStr">
        <is>
          <t>Incident</t>
        </is>
      </c>
      <c r="H92" s="1" t="inlineStr">
        <is>
          <t>Caro &lt;name&gt;,
Obrigado por entrar em contato. Por favor, tente atualizar o Zoom para a versão mais recente, pois isso pode resolver os problemas de áudio. Além disso, certifique-se de que seus drivers de áudio estejam atualizados e verifique se há aplicativos em segundo plano que possam interferir no desempenho do áudio. Se o problema persistir, sinta-se à vontade para nos contatar pelo &lt;tel_num&gt; para mais assistência.
Atenciosamente,
Equipe de Suporte de TI</t>
        </is>
      </c>
      <c r="I92" s="1" t="inlineStr">
        <is>
          <t>medium</t>
        </is>
      </c>
      <c r="J92" s="1" t="inlineStr">
        <is>
          <t>['Technical Support', 'IT Support', 'Software Bug', 'Audio Issues', 'Problem Resolution', 'Urgent Issue', 'Service Notification']</t>
        </is>
      </c>
      <c r="K92" s="1" t="inlineStr">
        <is>
          <t>pt</t>
        </is>
      </c>
      <c r="L92" s="1" t="n">
        <v>450</v>
      </c>
    </row>
    <row r="93" ht="16.5" customHeight="1">
      <c r="A93" s="1" t="n">
        <v>788</v>
      </c>
      <c r="B93" s="3" t="inlineStr">
        <is>
          <t>Gerenciamento de Incidentes</t>
        </is>
      </c>
      <c r="C93" s="3" t="inlineStr">
        <is>
          <t>Gerenciamento de Problemas</t>
        </is>
      </c>
      <c r="D93" s="1" t="inlineStr">
        <is>
          <t>Problema com o Microsoft Surface Pro 7</t>
        </is>
      </c>
      <c r="E93" s="1" t="inlineStr">
        <is>
          <t>Technical Support</t>
        </is>
      </c>
      <c r="F93" s="1" t="inlineStr">
        <is>
          <t>Caro Suporte ao Cliente,
Estou enfrentando um problema com meu Microsoft Surface Pro 7, onde a tela sensível ao toque ocasionalmente fica sem resposta. Essa interrupção está afetando significativamente minha produtividade no trabalho. Agradeceria assistência para resolver esta questão. Obrigado pela sua atenção e apoio.
Atenciosamente,
&lt;name&gt;
&lt;acc_num&gt;</t>
        </is>
      </c>
      <c r="G93" s="1" t="inlineStr">
        <is>
          <t>Incident</t>
        </is>
      </c>
      <c r="H93" s="1" t="inlineStr">
        <is>
          <t>Caro &lt;name&gt;,
Obrigado por entrar em contato sobre o problema da tela sensível ao toque com seu Microsoft Surface Pro 7. Para resolver isso, por favor, tente os seguintes passos: 
1. Reinicie seu dispositivo para atualizar o sistema.
2. Verifique se há atualizações do Windows disponíveis e instale-as.
3. Calibre a tela sensível ao toque em Configurações &gt; Dispositivos &gt; Caneta e Windows Ink.
4. Execute a ferramenta de solução de problemas de hardware para problemas de tela sensível ao toque.
Se o problema persistir, por favor, nos avise para que possamos ajudá-lo ainda mais. Agradecemos sua paciência e compreensão.
Atenciosamente,
Suporte ao Cliente</t>
        </is>
      </c>
      <c r="I93" s="1" t="inlineStr">
        <is>
          <t>medium</t>
        </is>
      </c>
      <c r="J93" s="1" t="inlineStr">
        <is>
          <t>['Technical Support', 'Product Support', 'Software Bug', 'Performance Tuning', 'Problem Resolution']</t>
        </is>
      </c>
      <c r="K93" s="1" t="inlineStr">
        <is>
          <t>pt</t>
        </is>
      </c>
      <c r="L93" s="1" t="n">
        <v>357</v>
      </c>
    </row>
    <row r="94" ht="16.5" customHeight="1">
      <c r="A94" s="1" t="n">
        <v>794</v>
      </c>
      <c r="B94" s="3" t="inlineStr">
        <is>
          <t>Gerenciamento de Incidentes</t>
        </is>
      </c>
      <c r="C94" s="3" t="inlineStr">
        <is>
          <t>Gerenciamento de Problemas</t>
        </is>
      </c>
      <c r="D94" s="1" t="inlineStr">
        <is>
          <t>Problema de Desempenho do Navegador</t>
        </is>
      </c>
      <c r="E94" s="1" t="inlineStr">
        <is>
          <t>Technical Support</t>
        </is>
      </c>
      <c r="F94" s="1" t="inlineStr">
        <is>
          <t>Caro Suporte ao Cliente,
Espero que este e-mail o encontre bem. Estou escrevendo para expressar minha preocupação em relação a um problema com o Google Chrome versão 102.0. Parece que toda vez que tento abrir várias abas simultaneamente, o navegador trava de forma inesperada. Esse problema impacta significativamente meu fluxo de trabalho e, pelo que gather, muitos outros usuários estão enfrentando dificuldades semelhantes. Agradeceria muito qualquer orientação ou solução que você pudesse fornecer para resolver essa questão da maneira mais eficiente possível. Obrigado pela sua atenção a este problema urgente.
Atenciosamente,
&lt;name&gt;</t>
        </is>
      </c>
      <c r="G94" s="1" t="inlineStr">
        <is>
          <t>Incident</t>
        </is>
      </c>
      <c r="H94" s="1" t="inlineStr">
        <is>
          <t>Caro &lt;name&gt;,
Obrigado por entrar em contato sobre o problema com o Google Chrome versão 102.0. Entendemos que isso pode ser perturbador para o seu fluxo de trabalho. Aqui estão algumas etapas que você pode tentar para mitigar esse problema:
1. Verifique se há atualizações para ver se há uma versão mais recente do Chrome disponível, pois as atualizações geralmente contêm correções de bugs.
2. Limpe o cache e os cookies do seu navegador, o que pode ajudar a melhorar o desempenho.
3. Desative quaisquer extensões desnecessárias que possam estar causando conflito.
4. Tente executar o Chrome em modo Anônimo para ver se o problema persiste, o que pode indicar se as extensões estão envolvidas.
5. Considere criar um novo perfil de usuário no Chrome para descartar quaisquer problemas específicos de perfil.
Se o problema continuar, por favor, nos avise e iremos investigar mais a fundo. Pedimos desculpas por qualquer inconveniente e agradecemos sua paciência.
Atenciosamente,
Equipe de Suporte ao Cliente</t>
        </is>
      </c>
      <c r="I94" s="1" t="inlineStr">
        <is>
          <t>medium</t>
        </is>
      </c>
      <c r="J94" s="1" t="inlineStr">
        <is>
          <t>['Technical Support', 'Software Bug', 'Performance Tuning', 'Problem Resolution', 'Urgent Issue']</t>
        </is>
      </c>
      <c r="K94" s="1" t="inlineStr">
        <is>
          <t>pt</t>
        </is>
      </c>
      <c r="L94" s="1" t="n">
        <v>641</v>
      </c>
    </row>
    <row r="95" ht="16.5" customHeight="1">
      <c r="A95" s="1" t="n">
        <v>800</v>
      </c>
      <c r="B95" s="3" t="inlineStr">
        <is>
          <t>Solicitação de Serviço</t>
        </is>
      </c>
      <c r="C95" s="3" t="inlineStr">
        <is>
          <t>Gerenciamento de Incidentes</t>
        </is>
      </c>
      <c r="D95" s="1" t="inlineStr">
        <is>
          <t>Assistência Necessária para Configuração da Impressora Canon</t>
        </is>
      </c>
      <c r="E95" s="1" t="inlineStr">
        <is>
          <t>Customer Service</t>
        </is>
      </c>
      <c r="F95" s="1" t="inlineStr">
        <is>
          <t>Olá Suporte da Loja Online Tech,
Estou tendo dificuldade em configurar a conectividade sem fio para a minha impressora Canon PIXMA MG3620. Apesar de seguir as instruções fornecidas, ela não consegue se conectar à minha rede doméstica. Você poderia me oferecer orientações para resolver esse problema? Além disso, qualquer passo de solução de problemas ou recursos que você puder fornecer seriam muito apreciados.
Obrigado pela sua assistência.
Atenciosamente,
&lt;name&gt;</t>
        </is>
      </c>
      <c r="G95" s="1" t="inlineStr">
        <is>
          <t>Request</t>
        </is>
      </c>
      <c r="H95" s="1" t="inlineStr">
        <is>
          <t>Olá &lt;name&gt;,
Sinto muito por saber que você está tendo problemas ao configurar sua Canon PIXMA MG3620. Aqui estão algumas sugestões para ajudar a resolver o problema:
1. Certifique-se de que sua impressora e o roteador estão dentro do alcance e não há obstruções.
2. Verifique se o indicador de Wi-Fi na impressora está piscando em azul. Se não, pressione e segure o botão Wi-Fi até que ele pisque e depois pressione o botão WPS no seu roteador.
3. Confirme se o firmware da sua impressora está atualizado visitando o site oficial da Canon.
4. Reinicie sua impressora e o roteador Wi-Fi.
5. Se ainda assim não funcionar, tente configurá-la através do aplicativo Canon PRINT no seu smartphone ou tablet.
Se esses passos não funcionarem, sinta-se à vontade para entrar em contato para mais assistência.
Atenciosamente,
Suporte da Loja Online Tech</t>
        </is>
      </c>
      <c r="I95" s="1" t="inlineStr">
        <is>
          <t>low</t>
        </is>
      </c>
      <c r="J95" s="1" t="inlineStr">
        <is>
          <t>['Technical Support', 'Product Support', 'Software Bug', 'Problem Resolution', 'Networking Issue', 'Service Notification']</t>
        </is>
      </c>
      <c r="K95" s="1" t="inlineStr">
        <is>
          <t>pt</t>
        </is>
      </c>
      <c r="L95" s="1" t="n">
        <v>469</v>
      </c>
    </row>
    <row r="96" ht="16.5" customHeight="1">
      <c r="A96" s="1" t="n">
        <v>801</v>
      </c>
      <c r="B96" s="3" t="inlineStr">
        <is>
          <t>Gerenciamento de Incidentes</t>
        </is>
      </c>
      <c r="C96" s="3" t="inlineStr">
        <is>
          <t>Gerenciamento de Ativos de TI</t>
        </is>
      </c>
      <c r="D96" s="1" t="inlineStr">
        <is>
          <t>Problema de Tela Preta com LG OLED C1</t>
        </is>
      </c>
      <c r="E96" s="1" t="inlineStr">
        <is>
          <t>Returns and Exchanges</t>
        </is>
      </c>
      <c r="F96" s="1" t="inlineStr">
        <is>
          <t>Caro Suporte ao Cliente,  
Estou escrevendo para relatar um problema com minha LG OLED C1, que comprei recentemente. Após a configuração inicial, a TV exibiu uma tela preta, e as tentativas de solucioná-la foram malsucedidas. O modelo é uma Tela OLED, Smart TV, 4K, Dolby Vision. Por favor, informe como esse problema pode ser resolvido ou se uma substituição é necessária. Aguardo sua resposta rápida para resolver esta situação inconveniente.  
Atenciosamente,  
&lt;name&gt;  
&lt;tel_num&gt;  
&lt;acc_num&gt;</t>
        </is>
      </c>
      <c r="G96" s="1" t="inlineStr">
        <is>
          <t>Problem</t>
        </is>
      </c>
      <c r="H96" s="1" t="inlineStr">
        <is>
          <t>Caro &lt;name&gt;,
Obrigado por entrar em contato conosco sobre o problema com sua TV LG OLED C1. Pedimos desculpas pelo inconveniente. Para resolver o problema da tela preta, por favor, experimente os seguintes passos:
1. Certifique-se de que todos os cabos estejam conectados corretamente.
2. Realize um ciclo de energia desconectando a TV, esperando 60 segundos e, em seguida, conectando-a novamente.
3. Verifique se há atualizações de firmware e instale qualquer disponível.
4. Redefina a TV para as configurações de fábrica pelo menu.
Se esses passos não resolverem o problema, por favor, responda para agendar um serviço de reparo ou discutir opções de substituição. Agradecemos sua paciência e pretendemos resolver seu problema rapidamente.
Atenciosamente,
Equipe de Suporte ao Cliente</t>
        </is>
      </c>
      <c r="I96" s="1" t="inlineStr">
        <is>
          <t>high</t>
        </is>
      </c>
      <c r="J96" s="1" t="inlineStr">
        <is>
          <t>['Product Support', 'Technical Support', 'Hardware Failure', 'Service Recovery', 'Problem Resolution', 'Product Replacement']</t>
        </is>
      </c>
      <c r="K96" s="1" t="inlineStr">
        <is>
          <t>pt</t>
        </is>
      </c>
      <c r="L96" s="1" t="n">
        <v>497</v>
      </c>
    </row>
    <row r="97" ht="16.5" customHeight="1">
      <c r="A97" s="1" t="n">
        <v>807</v>
      </c>
      <c r="B97" s="3" t="inlineStr">
        <is>
          <t>Gerenciamento de Incidentes</t>
        </is>
      </c>
      <c r="C97" s="3" t="inlineStr">
        <is>
          <t>Gerenciamento de Ativos de TI</t>
        </is>
      </c>
      <c r="D97" s="1" t="inlineStr">
        <is>
          <t>Assistência Técnica Necessária para Surface Pro 7 Touchscreen</t>
        </is>
      </c>
      <c r="E97" s="1" t="inlineStr">
        <is>
          <t>Product Support</t>
        </is>
      </c>
      <c r="F97" s="1" t="inlineStr">
        <is>
          <t>Caro Suporte ao Cliente da Tech Online Store, Espero que esta mensagem o encontre bem. Estou escrevendo para buscar assistência em relação a um problema que estou enfrentando com meu Microsoft Surface Pro 7. Recentemente, a tela sensível ao toque tornou-se não responsiva, impactando severamente minha capacidade de usar o dispositivo de forma eficaz. Revisei os passos de solução de problemas em seu site, mas não consegui resolver o problema. Como o dispositivo é crucial para minhas tarefas diárias, estou ansioso para resolver isso o mais rápido possível. Comprei o dispositivo através de sua loja e ele tem funcionado bem até este problema recente surgir. Assim, suspeito que possa precisar de avaliação ou reparo profissional. Você poderia, por favor, nos orientar sobre os próximos passos para obter suporte técnico para este problema? Além disso, quaisquer detalhes sobre cobertura de garantia ou serviços de reparo disponíveis seriam muito apreciados. Se houver métodos ou verificações de solução de problemas que eu possa ter negligenciado, gentilmente compartilhe-os. Obrigado pela sua atenção a este assunto. Espero ouvir de você em breve com orientações sobre como proceder para garantir que meu Surface Pro 7 esteja operando como esperado. Atenciosamente, &lt;name&gt; &lt;tel_num&gt; &lt;acc_num&gt;</t>
        </is>
      </c>
      <c r="G97" s="1" t="inlineStr">
        <is>
          <t>Problem</t>
        </is>
      </c>
      <c r="H97" s="1" t="inlineStr">
        <is>
          <t>Caro &lt;name&gt;,
Obrigado por entrar em contato em relação ao problema com seu Microsoft Surface Pro 7. Entendemos o inconveniente que uma tela sensível ao toque não responsiva pode causar. Como você já tentou os passos de solução de problemas do nosso site sem sucesso, recomendamos que você traga seu dispositivo para uma avaliação profissional.
Por favor, visite nosso centro de serviço mais próximo para que nossos técnicos avaliem seu Surface Pro 7. Se o dispositivo ainda estiver na garantia, os reparos podem ser cobertos, sujeitos a termos e condições. Por favor, traga seu comprovante de compra e os detalhes da garantia ao visitar.
Antes de prosseguir, por favor, certifique-se de que seu dispositivo esteja atualizado com o software mais recente, pois softwares desatualizados podem, às vezes, causar problemas de toque. Se outras soluções se tornarem disponíveis, informaremos você imediatamente.
Para reparos específicos ou mais assistência, sinta-se à vontade para nos contatar pelo &lt;tel_num&gt;. Estamos aqui para ajudar a garantir que seu dispositivo volte para sua condição de trabalho ideal.
Atenciosamente,
Suporte ao Cliente da Tech Online Store</t>
        </is>
      </c>
      <c r="I97" s="1" t="inlineStr">
        <is>
          <t>medium</t>
        </is>
      </c>
      <c r="J97" s="1" t="inlineStr">
        <is>
          <t>['Technical Support', 'Product Support', 'Hardware Failure', 'Service Notification', 'Warranty Claim', 'Problem Resolution']</t>
        </is>
      </c>
      <c r="K97" s="1" t="inlineStr">
        <is>
          <t>pt</t>
        </is>
      </c>
      <c r="L97" s="1" t="n">
        <v>1296</v>
      </c>
    </row>
    <row r="98" ht="16.5" customHeight="1">
      <c r="A98" s="1" t="n">
        <v>824</v>
      </c>
      <c r="B98" s="3" t="inlineStr">
        <is>
          <t>Gerenciamento Financeiro</t>
        </is>
      </c>
      <c r="C98" s="3" t="inlineStr">
        <is>
          <t>Gerenciamento de Incidentes</t>
        </is>
      </c>
      <c r="D98" s="1" t="inlineStr">
        <is>
          <t>Resolução Urgente Necessária: Cobrança Incorreta para o Plano Google Workspace</t>
        </is>
      </c>
      <c r="E98" s="1" t="inlineStr">
        <is>
          <t>Billing and Payments</t>
        </is>
      </c>
      <c r="F98" s="1" t="inlineStr">
        <is>
          <t>Caro Suporte ao Cliente,
Espero que esta mensagem o encontre bem. Estou escrevendo para tratar de um problema de cobrança na minha conta, &lt;acc_num&gt;. Fui cobrando erroneamente pelo plano Google Workspace Business Standard. Por gentileza, revise minha fatura recente e restitua a diferença assim que possível. Por favor, entre em contato comigo se detalhes adicionais forem necessários.
Aguardando sua resposta rápida,
&lt;name&gt;
&lt;tel_num&gt;
Obrigado pela sua atenção imediata a este assunto.</t>
        </is>
      </c>
      <c r="G98" s="1" t="inlineStr">
        <is>
          <t>Incident</t>
        </is>
      </c>
      <c r="H98" s="1" t="inlineStr">
        <is>
          <t>Caro &lt;name&gt;,
Obrigado por entrar em contato sobre o problema de cobrança com sua conta Google Workspace &lt;acc_num&gt;. Pedimos desculpas por qualquer inconveniente causado. Nossa equipe está atualmente revisando os detalhes da sua fatura para resolver a cobrança excessiva pelo plano Business Standard. Um reembolso pela diferença será processado em breve. Caso precisemos de mais informações, entraremos em contato com você pelo &lt;tel_num&gt;.
Obrigado pela sua paciência e compreensão.
Atenciosamente,
Equipe de Suporte ao Cliente</t>
        </is>
      </c>
      <c r="I98" s="1" t="inlineStr">
        <is>
          <t>high</t>
        </is>
      </c>
      <c r="J98" s="1" t="inlineStr">
        <is>
          <t>['Billing Issue', 'Customer Service', 'Refund Request', 'Payment Processing', 'Urgent Issue']</t>
        </is>
      </c>
      <c r="K98" s="1" t="inlineStr">
        <is>
          <t>pt</t>
        </is>
      </c>
      <c r="L98" s="1" t="n">
        <v>487</v>
      </c>
    </row>
    <row r="99" ht="16.5" customHeight="1">
      <c r="A99" s="1" t="n">
        <v>825</v>
      </c>
      <c r="B99" s="3" t="inlineStr">
        <is>
          <t>Solicitação de Serviço</t>
        </is>
      </c>
      <c r="C99" s="3" t="inlineStr">
        <is>
          <t>Gerenciamento de Nível de Serviço</t>
        </is>
      </c>
      <c r="D99" s="1" t="inlineStr">
        <is>
          <t>Consulta Sobre Consultoria de TI</t>
        </is>
      </c>
      <c r="E99" s="1" t="inlineStr">
        <is>
          <t>General Inquiry</t>
        </is>
      </c>
      <c r="F99" s="1" t="inlineStr">
        <is>
          <t>Caro Suporte ao Cliente de Serviços de TI,
Estou escrevendo para perguntar sobre as ofertas de Serviços de Consultoria de TI e como elas podem beneficiar minhas necessidades gerais de negócios. Especificamente, gostaria de entender mais sobre a gama de serviços que vocês oferecem na área de Consultoria de TI e como esses podem ser ajustados para melhorar as operações da minha empresa. Seria útil obter informações detalhadas sobre sua abordagem para integrar soluções tecnológicas e qualquer caso de sucesso que demonstre melhorias tangíveis nos negócios.
Além disso, por favor, forneça insights sobre as estruturas de custo e como o valor do seu serviço justifica o investimento. Qualquer brochura ou recurso que você puder compartilhar seria muito apreciado.
Obrigado pela sua assistência.
Atenciosamente,
&lt;name&gt;
&lt;acc_num&gt;</t>
        </is>
      </c>
      <c r="G99" s="1" t="inlineStr">
        <is>
          <t>Incident</t>
        </is>
      </c>
      <c r="H99" s="1" t="inlineStr">
        <is>
          <t>Caro &lt;name&gt;,
Obrigado por entrar em contato conosco com sua consulta sobre nossos Serviços de Consultoria de TI. Oferecemos uma ampla gama de serviços adaptados para atender diversas necessidades de negócios, incluindo integração de tecnologia, otimização de processos e estratégias de transformação digital. Nossa abordagem foca em alinhar soluções tecnológicas com seus objetivos de negócios para impulsionar eficiência e crescimento.
Temos inúmeras histórias de sucesso que demonstram melhorias significativas na eficiência operacional e nos resultados empresariais. Ficaria feliz em compartilhar exemplos específicos durante uma discussão detalhada ou através de nossos recursos disponíveis.
Em relação às estruturas de custo, nossos serviços têm preços competitivos, com um claro retorno sobre o investimento por meio de operações aprimoradas e integrações tecnológicas. Por favor, nos avise se você gostaria de agendar uma reunião ou uma discussão adicional para uma proposta personalizada.
Para mais informações, posso enviar brochuras e recursos que oferecerão mais insights sobre nossa abordagem de consultoria e histórias de sucesso.
Obrigado por considerar nossos serviços. Aguardamos a oportunidade de ajudar e aprimorar as operações da sua empresa.
Atenciosamente,
Suporte ao Cliente de Serviços de TI</t>
        </is>
      </c>
      <c r="I99" s="1" t="inlineStr">
        <is>
          <t>medium</t>
        </is>
      </c>
      <c r="J99" s="1" t="inlineStr">
        <is>
          <t>['Customer Service', 'Technical Support', 'Sales Inquiry', 'Product Support', 'General Inquiry', 'Service Recovery', 'Technical Guidance']</t>
        </is>
      </c>
      <c r="K99" s="1" t="inlineStr">
        <is>
          <t>pt</t>
        </is>
      </c>
      <c r="L99" s="1" t="n">
        <v>831</v>
      </c>
    </row>
    <row r="100" ht="16.5" customHeight="1">
      <c r="A100" s="1" t="n">
        <v>830</v>
      </c>
      <c r="B100" s="3" t="inlineStr">
        <is>
          <t>Gerenciamento de Nível de Serviço</t>
        </is>
      </c>
      <c r="C100" s="3" t="inlineStr">
        <is>
          <t>Gerenciamento de Incidentes</t>
        </is>
      </c>
      <c r="D100" s="1" t="inlineStr">
        <is>
          <t>Urgente: Atrasos na Resposta no Serviço de Consultoria em TI</t>
        </is>
      </c>
      <c r="E100" s="1" t="inlineStr">
        <is>
          <t>Customer Service</t>
        </is>
      </c>
      <c r="F100" s="1" t="inlineStr">
        <is>
          <t>Caro Suporte ao Cliente,
Espero que esta mensagem o encontre bem. Estou escrevendo para chamar sua atenção para um problema que estamos enfrentando atualmente com o Serviço de Consultoria em TI fornecido por sua empresa. Tem havido atrasos perceptíveis nos tempos de resposta que estão afetando significativamente nossas operações. Nossa equipe tem confiado nesses serviços para uma implementação eficiente de projetos, e os longos tempos de espera estão afetando nossa produtividade e satisfação do cliente.
Você pode, por favor, iniciar uma investigação para entender a causa raiz desses atrasos e nos fornecer um cronograma estimado para quando podemos esperar resoluções ou melhorias? Valorizamos a experiência e o suporte de sua equipe e entendemos que atrasos ocasionais podem ocorrer, mas a comunicação e resolução em tempo hábil são cruciais para manter nossos cronogramas de projeto.
Obrigado pela sua rápida atenção a este assunto.
Atenciosamente,
&lt;name&gt;
&lt;acc_num&gt;
&lt;tel_num&gt;</t>
        </is>
      </c>
      <c r="G100" s="1" t="inlineStr">
        <is>
          <t>Problem</t>
        </is>
      </c>
      <c r="H100" s="1" t="inlineStr">
        <is>
          <t>Caro &lt;name&gt;,
Obrigado por nos informar sobre isso. Pedimos sinceras desculpas pelo inconveniente causado pelos atrasos em nosso Serviço de Consultoria em TI. Entendemos o quão cruciais as respostas em tempo hábil são para suas operações.
Iniciamos uma investigação sobre este assunto para determinar a causa raiz dos atrasos. Estamos comprometidos em resolver o problema prontamente e o atualizaremos com nossas descobertas e um cronograma estimado para melhorias o mais breve possível.
Sua paciência e compreensão são muito apreciadas. Por favor, sinta-se à vontade para entrar em contato se tiver mais preocupações ou precisar de assistência enquanto isso.
Atenciosamente,
Equipe de Suporte ao Cliente</t>
        </is>
      </c>
      <c r="I100" s="1" t="inlineStr">
        <is>
          <t>low</t>
        </is>
      </c>
      <c r="J100" s="1" t="inlineStr">
        <is>
          <t>['Technical Support', 'IT Support', 'Service Disruption', 'Problem Resolution', 'Urgent Issue', 'Customer Service', 'Performance Tuning']</t>
        </is>
      </c>
      <c r="K100" s="1" t="inlineStr">
        <is>
          <t>pt</t>
        </is>
      </c>
      <c r="L100" s="1" t="n">
        <v>989</v>
      </c>
    </row>
    <row r="101" ht="16.5" customHeight="1">
      <c r="A101" s="1" t="n">
        <v>837</v>
      </c>
      <c r="B101" s="3" t="inlineStr">
        <is>
          <t>Solicitação de Serviço</t>
        </is>
      </c>
      <c r="C101" s="3" t="inlineStr">
        <is>
          <t>Gerenciamento de Mudanças</t>
        </is>
      </c>
      <c r="D101" s="1" t="inlineStr">
        <is>
          <t>Assistência para Solicitação de Migração</t>
        </is>
      </c>
      <c r="E101" s="1" t="inlineStr">
        <is>
          <t>Product Support</t>
        </is>
      </c>
      <c r="F101" s="1" t="inlineStr">
        <is>
          <t>Caro Suporte ao Cliente,
Nosso cliente, &lt;name&gt;, busca assistência na migração de suas contas gratuitas do Gmail para o Google Workspace Business Standard. É essencial garantir a retenção de dados durante esse processo. Cuidar e oferecer suporte adequado durante essa transição será apreciado. Nós delineamos todos os passos necessários, mas precisamos de sua ajuda especializada para manter a integridade dos dados e proporcionar uma experiência do usuário suave. Por favor, aconselhe sobre as melhores práticas a serem seguidas e o cronograma esperado. Você pode me contatar diretamente pelo &lt;tel_num&gt; para mais detalhes. Agradecemos sua atenção a este assunto.
Atenciosamente,
&lt;name&gt;</t>
        </is>
      </c>
      <c r="G101" s="1" t="inlineStr">
        <is>
          <t>Change</t>
        </is>
      </c>
      <c r="H101" s="1" t="inlineStr">
        <is>
          <t>Assunto: Re: Assistência para Solicitação de Migração
Caro &lt;name&gt;,
Obrigado por entrar em contato sobre a migração para o Google Workspace Business Standard. Para garantir a integridade dos dados e uma transição sem interrupções, recomendamos que você faça backup de todos os dados antes de iniciar o processo de migração. Use o Serviço de Migração de Dados do Google para a transferência de e-mails, aproveite o Google Vault para retenção de dados e gerencie o acesso do usuário de forma eficiente. Normalmente, o processo de migração pode levar de 1 a 3 semanas, dependendo do volume de dados e do número de usuários. Para etapas detalhadas e melhores práticas, consulte os guias de migração do Google e considere usar ferramentas de terceiros para necessidades específicas. Nossa equipe está pronta para apoiá-lo durante todo o processo. Por favor, nos avise se você precisar de mais assistência, ou sinta-se à vontade para entrar em contato pelo &lt;tel_num&gt;.
Atenciosamente,
Equipe de Suporte ao Cliente</t>
        </is>
      </c>
      <c r="I101" s="1" t="inlineStr">
        <is>
          <t>medium</t>
        </is>
      </c>
      <c r="J101" s="1" t="inlineStr">
        <is>
          <t>['Customer Service', 'Product Support', 'Technical Guidance', 'Account Assistance', 'Service Recovery', 'General Inquiry', 'Data Breach', 'System Maintenance']</t>
        </is>
      </c>
      <c r="K101" s="1" t="inlineStr">
        <is>
          <t>pt</t>
        </is>
      </c>
      <c r="L101" s="1" t="n">
        <v>687</v>
      </c>
    </row>
    <row r="102" ht="16.5" customHeight="1">
      <c r="A102" s="1" t="n">
        <v>852</v>
      </c>
      <c r="B102" s="3" t="inlineStr">
        <is>
          <t>Solicitação de Serviço</t>
        </is>
      </c>
      <c r="C102" s="3" t="inlineStr">
        <is>
          <t>Gerenciamento de Incidentes</t>
        </is>
      </c>
      <c r="D102" s="1" t="inlineStr">
        <is>
          <t>Assistência Necessária para Problema de Atualização do macOS</t>
        </is>
      </c>
      <c r="E102" s="1" t="inlineStr">
        <is>
          <t>Product Support</t>
        </is>
      </c>
      <c r="F102" s="1" t="inlineStr">
        <is>
          <t>Prezado Suporte da Loja Online de Tecnologia,
Espero que esta mensagem o encontre bem. Estou entrando em contato para solicitar assistência com a atualização do macOS no meu MacBook Air M1 devido a problemas de desempenho lento. Tentei o processo de atualização várias vezes sem sucesso. O modelo do produto é MacBook Air M1, e acredito que uma atualização possa resolver os problemas de desempenho em andamento. Você poderia me guiar através dos passos necessários ou fornecer mais informações para ajudar a resolver este problema? Aguardo sua resposta pronta.
Muito obrigado.
Atenciosamente,
&lt;name&gt;</t>
        </is>
      </c>
      <c r="G102" s="1" t="inlineStr">
        <is>
          <t>Request</t>
        </is>
      </c>
      <c r="H102" s="1" t="inlineStr">
        <is>
          <t>Prezado &lt;name&gt;,
Obrigado por entrar em contato com o Suporte da Loja Online de Tecnologia. Lamento saber sobre os problemas que você está enfrentando com seu MacBook Air M1. Para ajudá-lo com a atualização do macOS, siga estas etapas:
1. Certifique-se de que seu MacBook esteja conectado a uma rede Wi-Fi confiável.
2. Conecte seu MacBook a uma fonte de energia para evitar o descarregamento da bateria durante a atualização.
3. Clique no logo da Apple no canto superior esquerdo e selecione "Configurações do Sistema."
4. Navegue até "Atualização de Software" para verificar atualizações disponíveis.
5. Se uma atualização estiver disponível, clique em "Atualizar Agora" e siga as instruções na tela.
6. Se você encontrar erros, tente reiniciar seu MacBook e tentar a atualização novamente.
Se o problema persistir, é aconselhável fazer backup dos seus dados e considerar entrar em contato com o Suporte da Apple ou visitar uma Loja Apple para obter mais assistência.
Espero que isso ajude. Por favor, nos avise se você precisar de mais assistência.
Atenciosamente,
Suporte da Loja Online de Tecnologia</t>
        </is>
      </c>
      <c r="I102" s="1" t="inlineStr">
        <is>
          <t>low</t>
        </is>
      </c>
      <c r="J102" s="1" t="inlineStr">
        <is>
          <t>['Technical Support', 'Product Support', 'Software Bug', 'Performance Tuning', 'System Maintenance']</t>
        </is>
      </c>
      <c r="K102" s="1" t="inlineStr">
        <is>
          <t>pt</t>
        </is>
      </c>
      <c r="L102" s="1" t="n">
        <v>604</v>
      </c>
    </row>
    <row r="103" ht="16.5" customHeight="1">
      <c r="A103" s="1" t="n">
        <v>863</v>
      </c>
      <c r="B103" s="3" t="inlineStr">
        <is>
          <t>Gerenciamento de Incidentes</t>
        </is>
      </c>
      <c r="C103" s="3" t="inlineStr">
        <is>
          <t>Gerenciamento de Disponibilidade</t>
        </is>
      </c>
      <c r="D103" s="1" t="inlineStr">
        <is>
          <t>Erro Código 502 Frequente no Acesso à Plataforma Jira</t>
        </is>
      </c>
      <c r="E103" s="1" t="inlineStr">
        <is>
          <t>Technical Support</t>
        </is>
      </c>
      <c r="F103" s="1" t="inlineStr">
        <is>
          <t>Caro Suporte de Serviços de TI,
Espero que esta mensagem o encontre bem. Estou escrevendo para informar sobre um problema em andamento onde não consigo acessar a plataforma Jira enquanto encontro regularmente um erro código 502. Isso está impactando significativamente nossas capacidades de gestão de projeto. Nossa equipe depende do Jira Software 8.20 para acompanhar o progresso e coordenar tarefas de forma eficiente. O erro persistente interrompe nosso fluxo de trabalho, levando a atrasos.
Você pode nos ajudar a resolver esta questão o mais rápido possível? Entendemos que falhas técnicas ocorrem, mas uma solução rápida será extremamente apreciada. Obrigado pela sua atenção e suporte.
Aguardando sua resposta rápida.
Atenciosamente,
&lt;name&gt;
&lt;acc_num&gt;
&lt;tel_num&gt;</t>
        </is>
      </c>
      <c r="G103" s="1" t="inlineStr">
        <is>
          <t>Incident</t>
        </is>
      </c>
      <c r="H103" s="1" t="inlineStr">
        <is>
          <t>Caro &lt;name&gt;,
Obrigado por entrar em contato em relação ao erro código 502 que você está encontrando na plataforma Jira. Entendemos o impacto que este problema tem na gestão de projetos e no fluxo de trabalho da sua equipe.
Nossa equipe técnica está atualmente investigando a causa do erro e trabalhando em uma resolução. Manteremos você informado sobre nosso progresso e pretendemos resolver isso o mais rápido possível.
Enquanto isso, tente limpar o cache do seu navegador ou acessar a plataforma usando um navegador diferente. Esses passos podem aliviar temporariamente o problema.
Agradecemos sua paciência e compreensão.
Atenciosamente,
Agente do Service Desk</t>
        </is>
      </c>
      <c r="I103" s="1" t="inlineStr">
        <is>
          <t>high</t>
        </is>
      </c>
      <c r="J103" s="1" t="inlineStr">
        <is>
          <t>['IT Support', 'Technical Support', 'Software Bug', 'Urgent Issue', 'Problem Resolution', 'Service Disruption', 'Performance Tuning']</t>
        </is>
      </c>
      <c r="K103" s="1" t="inlineStr">
        <is>
          <t>pt</t>
        </is>
      </c>
      <c r="L103" s="1" t="n">
        <v>772</v>
      </c>
    </row>
    <row r="104" ht="16.5" customHeight="1">
      <c r="A104" s="1" t="n">
        <v>866</v>
      </c>
      <c r="B104" s="3" t="inlineStr">
        <is>
          <t>Solicitação de Serviço</t>
        </is>
      </c>
      <c r="C104" s="3" t="inlineStr">
        <is>
          <t>Gerenciamento de Ativos de TI</t>
        </is>
      </c>
      <c r="D104" s="1" t="inlineStr">
        <is>
          <t>Consulta sobre a disponibilidade do MacBook Air M1</t>
        </is>
      </c>
      <c r="E104" s="1" t="inlineStr">
        <is>
          <t>Sales and Pre-Sales</t>
        </is>
      </c>
      <c r="F104" s="1" t="inlineStr">
        <is>
          <t>Caro Suporte ao Cliente,
Espero que esta mensagem o encontre bem. Gostaria de saber sobre a disponibilidade e o preço atual do MacBook Air M1 em sua loja online. Você poderia me informar se está em estoque e fornecer informações sobre quaisquer promoções ou descontos em andamento? Além disso, tenho algumas perguntas sobre os prazos e opções de envio. Sua resposta rápida seria muito apreciada, pois estou ansioso para fazer uma compra em breve.
Obrigado pela sua assistência.
Atenciosamente,
&lt;name&gt;</t>
        </is>
      </c>
      <c r="G104" s="1" t="inlineStr">
        <is>
          <t>Request</t>
        </is>
      </c>
      <c r="H104" s="1" t="inlineStr">
        <is>
          <t>Caro &lt;name&gt;,
Obrigado por entrar em contato. O MacBook Air M1 está atualmente disponível em nossa loja online. Por favor, visite nosso site para ver os preços mais recentes e quaisquer promoções ou descontos ativos neste modelo.
Quanto ao envio, oferecemos opções de envio padrão e expresso. Nosso envio padrão geralmente leva de 5 a 7 dias úteis, enquanto o envio expresso pode levar de 2 a 3 dias úteis, dependendo da sua localização.
Sinta-se à vontade para nos contatar se tiver mais perguntas. Estamos ansiosos para ajudá-lo com sua compra.
Atenciosamente,
Equipe de Suporte ao Cliente</t>
        </is>
      </c>
      <c r="I104" s="1" t="inlineStr">
        <is>
          <t>medium</t>
        </is>
      </c>
      <c r="J104" s="1" t="inlineStr">
        <is>
          <t>['Customer Service', 'Sales Inquiry', 'Product Support', 'Order Issue']</t>
        </is>
      </c>
      <c r="K104" s="1" t="inlineStr">
        <is>
          <t>pt</t>
        </is>
      </c>
      <c r="L104" s="1" t="n">
        <v>504</v>
      </c>
    </row>
    <row r="105" ht="16.5" customHeight="1">
      <c r="A105" s="1" t="n">
        <v>872</v>
      </c>
      <c r="B105" s="3" t="inlineStr">
        <is>
          <t>Gerenciamento Financeiro</t>
        </is>
      </c>
      <c r="C105" s="3" t="inlineStr">
        <is>
          <t>Gerenciamento de Incidentes</t>
        </is>
      </c>
      <c r="D105" s="1" t="inlineStr">
        <is>
          <t>Problema com a Cobrança do Office 365</t>
        </is>
      </c>
      <c r="E105" s="1" t="inlineStr">
        <is>
          <t>Billing and Payments</t>
        </is>
      </c>
      <c r="F105" s="1" t="inlineStr">
        <is>
          <t>Prezado Suporte ao Cliente, estou enfrentando um problema com a renovação automática da minha assinatura do Office 365. Apesar do pagamento ter sido processado, estou recebendo erros de confirmação. Por favor, ajudem a resolver este problema o mais rápido possível. Meu número de conta é &lt;acc_num&gt;. Obrigado, &lt;name&gt;.</t>
        </is>
      </c>
      <c r="G105" s="1" t="inlineStr">
        <is>
          <t>Problem</t>
        </is>
      </c>
      <c r="H105" s="1" t="inlineStr">
        <is>
          <t>Caro &lt;name&gt;,
Obrigado por entrar em contato. Pedimos desculpas pelo inconveniente com sua assinatura do Office 365. Para resolver este problema, por favor, certifique-se de que seus dados de pagamento estejam atualizados e tente entrar na sua conta. Se o erro persistir, entre em contato diretamente com nossa equipe de Suporte de Cobrança com seu número de conta &lt;acc_num&gt;. Nossa equipe irá ajudá-lo prontamente a corrigir o problema.
Obrigado pela sua paciência.
Atenciosamente,
Suporte ao Cliente</t>
        </is>
      </c>
      <c r="I105" s="1" t="inlineStr">
        <is>
          <t>medium</t>
        </is>
      </c>
      <c r="J105" s="1" t="inlineStr">
        <is>
          <t>['Billing Issue', 'Customer Service', 'Payment Processing', 'Account Assistance', 'Product Support']</t>
        </is>
      </c>
      <c r="K105" s="1" t="inlineStr">
        <is>
          <t>pt</t>
        </is>
      </c>
      <c r="L105" s="1" t="n">
        <v>316</v>
      </c>
    </row>
    <row r="106" ht="16.5" customHeight="1">
      <c r="A106" s="1" t="n">
        <v>873</v>
      </c>
      <c r="B106" s="3" t="inlineStr">
        <is>
          <t>Gerenciamento de Incidentes</t>
        </is>
      </c>
      <c r="C106" s="3" t="inlineStr">
        <is>
          <t>Gerenciamento de Problemas</t>
        </is>
      </c>
      <c r="D106" s="1" t="inlineStr">
        <is>
          <t>Problemas Frequentes de Encravamento de Papel: HP DeskJet 3755</t>
        </is>
      </c>
      <c r="E106" s="1" t="inlineStr">
        <is>
          <t>Product Support</t>
        </is>
      </c>
      <c r="F106" s="1" t="inlineStr">
        <is>
          <t>Caro Suporte ao Cliente,
Estou enfrentando problemas frequentes de encravamento de papel com minha impressora HP DeskJet 3755, especialmente ao imprimir várias páginas. Este se tornou um problema consistente e interrompe muito minha capacidade de imprimir documentos de forma eficiente. Eu apreciaria qualquer passo ou aconselhamento de solução que você possa fornecer para ajudar a resolver esse problema. Aguardo sua orientação ou, se necessário, suporte adicional.
Obrigado pela sua assistência.
Atenciosamente,
&lt;name&gt;</t>
        </is>
      </c>
      <c r="G106" s="1" t="inlineStr">
        <is>
          <t>Problem</t>
        </is>
      </c>
      <c r="H106" s="1" t="inlineStr">
        <is>
          <t>Caro &lt;name&gt;,
Lamento saber sobre os problemas com sua HP DeskJet 3755. Para resolver os encravamentos de papel, por favor, tente o seguinte: 1. Remova qualquer papel encravado das bandejas de entrada e saída. 2. Use os tipos de papel recomendados e certifique-se de que nenhuma folha esteja grudada. 3. Limpe os rolos de papel usando um pano livre de pelinhos. 4. Certifique-se de que a impressora esteja em uma superfície plana e estável. Se os problemas persistirem, entre em contato conosco para mais suporte.
Atenciosamente,
Suporte ao Cliente</t>
        </is>
      </c>
      <c r="I106" s="1" t="inlineStr">
        <is>
          <t>low</t>
        </is>
      </c>
      <c r="J106" s="1" t="inlineStr">
        <is>
          <t>['Technical Support', 'Product Support', 'Problem Resolution', 'Hardware Failure', 'Customer Service']</t>
        </is>
      </c>
      <c r="K106" s="1" t="inlineStr">
        <is>
          <t>pt</t>
        </is>
      </c>
      <c r="L106" s="1" t="n">
        <v>524</v>
      </c>
    </row>
    <row r="107" ht="16.5" customHeight="1">
      <c r="A107" s="1" t="n">
        <v>890</v>
      </c>
      <c r="B107" s="3" t="inlineStr">
        <is>
          <t>Gerenciamento de Incidentes</t>
        </is>
      </c>
      <c r="C107" s="3" t="inlineStr">
        <is>
          <t>Gerenciamento de Ativos de TI</t>
        </is>
      </c>
      <c r="D107" s="1" t="inlineStr">
        <is>
          <t>Jams frequentes de papel com Canon PIXMA MG3620</t>
        </is>
      </c>
      <c r="E107" s="1" t="inlineStr">
        <is>
          <t>Product Support</t>
        </is>
      </c>
      <c r="F107" s="1" t="inlineStr">
        <is>
          <t>Caro Suporte ao Cliente, estou entrando em contato para tratar de um problema que estou enfrentando com minha impressora Canon PIXMA MG3620, adquirida em sua loja. Recentemente, tenho encontrado jams frequentes de papel ao realizar impressão duplex. Esse problema interrompe meu fluxo de trabalho e suspeito que possa ser um defeito no modelo da impressora. Você poderia me orientar sobre os passos que devo seguir para resolver esse problema? Existe alguma solução de problemas que eu possa tentar? Além disso, você poderia me informar se há opções para substituição ou reparo sob garantia? Obrigado pela sua assistência. Atenciosamente, &lt;name&gt;.</t>
        </is>
      </c>
      <c r="G107" s="1" t="inlineStr">
        <is>
          <t>Incident</t>
        </is>
      </c>
      <c r="H107" s="1" t="inlineStr">
        <is>
          <t>Caro &lt;name&gt;,
Obrigado por entrar em contato conosco sobre os problemas que você está enfrentando com sua impressora Canon PIXMA MG3620. Para resolver os jams frequentes de papel durante a impressão duplex, siga estas etapas de solução de problemas:
1. Certifique-se de que está usando o tipo e o tamanho corretos de papel, conforme especificado para o modelo da sua impressora.
2. Verifique se há obstruções ou detritos dentro da impressora que possam causar jams.
3. Certifique-se de que o papel esteja alinhado corretamente na bandeja de entrada e não esteja excessivamente preenchido.
4. Tente imprimir com o painel de acesso traseiro aberto para remover facilmente qualquer papel preso.
Para mais assistência, consulte o manual da sua impressora ou o site de suporte da Canon para instruções mais detalhadas.
Quanto à substituição ou reparo, verifique se sua impressora ainda está sob garantia verificando seu comprovante de compra. Se estiver, você pode ser elegível para reparo ou substituição. Entre em contato com nossa equipe de suporte à garantia com os detalhes da sua compra para mais assistência.
Se houver mais alguma dúvida ou se o problema persistir, não hesite em nos contatar.
Atenciosamente,
Equipe de Suporte ao Cliente</t>
        </is>
      </c>
      <c r="I107" s="1" t="inlineStr">
        <is>
          <t>low</t>
        </is>
      </c>
      <c r="J107" s="1" t="inlineStr">
        <is>
          <t>['Product Support', 'Technical Support', 'Warranty Claim', 'Problem Resolution', 'Returns and Exchanges']</t>
        </is>
      </c>
      <c r="K107" s="1" t="inlineStr">
        <is>
          <t>pt</t>
        </is>
      </c>
      <c r="L107" s="1" t="n">
        <v>646</v>
      </c>
    </row>
    <row r="108" ht="16.5" customHeight="1">
      <c r="A108" s="1" t="n">
        <v>895</v>
      </c>
      <c r="B108" s="3" t="inlineStr">
        <is>
          <t>Gerenciamento de Problemas</t>
        </is>
      </c>
      <c r="C108" s="3" t="inlineStr">
        <is>
          <t>Gerenciamento de Mudanças</t>
        </is>
      </c>
      <c r="D108" s="1" t="inlineStr">
        <is>
          <t>Problemas com os Recursos de Refatoração do IntelliJ IDEA 2024.1</t>
        </is>
      </c>
      <c r="E108" s="1" t="inlineStr">
        <is>
          <t>Technical Support</t>
        </is>
      </c>
      <c r="F108" s="1" t="inlineStr">
        <is>
          <t>Caro time de suporte ao cliente,
Espero que esta mensagem o encontre bem. Estou escrevendo para expressar minha preocupação em relação a alguns problemas que venho enfrentando ao usar o IntelliJ IDEA 2024.1, especificamente relacionados aos recursos de refatoração para desenvolvimento de código Java. Parece que esses recursos não estão funcionando conforme o esperado, causando interrupções no meu fluxo de trabalho. Encontrei problemas onde certas ações de refatoração estão incompletas ou não são executadas, levando a resultados inesperados no meu código. Esses problemas têm sido persistentes e estão prejudicando significativamente minha produtividade.
Agradeceria qualquer orientação ou soluções que você pudesse oferecer para resolver essa questão. Se houver atualizações ou patches disponíveis, por favor, informe os passos necessários para aplicá-los. Além disso, se houver soluções conhecidas, ficaria grato por qualquer documentação ou materiais de suporte que pudessem me ajudar a navegar por esta situação.
Obrigado pela sua atenção a este assunto e aguardo sua pronta resposta.
Atenciosamente,
&lt;name&gt;
&lt;tel_num&gt;
&lt;acc_num&gt;</t>
        </is>
      </c>
      <c r="G108" s="1" t="inlineStr">
        <is>
          <t>Incident</t>
        </is>
      </c>
      <c r="H108" s="1" t="inlineStr">
        <is>
          <t>Caro &lt;name&gt;,
Obrigado por entrar em contato conosco sobre os problemas com os recursos de refatoração do IntelliJ IDEA 2024.1. Entendemos a importância de um processo de desenvolvimento tranquilo e pedimos desculpas pelo inconveniente causado.
Para resolver esses problemas, por favor, certifique-se de que você instalou as atualizações ou patches mais recentes, pois isso costuma resolver problemas conhecidos. Você pode verificar se há atualizações no menu Ajuda em 'Verificar Atualizações' no IntelliJ IDEA.
Se o problema persistir, considere tentar as seguintes soluções alternativas:
1. Reconstruir o projeto do zero, o que pode resolver algumas inconsistências.
2. Reiniciar os caches do IntelliJ IDEA selecionando 'Invalidar Caches / Reiniciar' no menu Arquivo.
3. Garantir que os plugins estejam atualizados, pois plugins desatualizados às vezes afetam as funcionalidades principais.
Para documentação detalhada e mais assistência, por favor, visite nossa página de suporte ou entre em contato com nossa equipe de suporte técnico para ajuda personalizada.
Valorizamos seu feedback e buscamos melhorar sua experiência com nosso software. Por favor, nos informe se essas soluções ajudam ou se você precisa de mais assistência.
Atenciosamente,
Equipe de Suporte ao Cliente
&lt;company_name&gt;</t>
        </is>
      </c>
      <c r="I108" s="1" t="inlineStr">
        <is>
          <t>medium</t>
        </is>
      </c>
      <c r="J108" s="1" t="inlineStr">
        <is>
          <t>['Technical Support', 'Product Support', 'Software Bug', 'Problem Resolution', 'Technical Guidance', 'Documentation Request']</t>
        </is>
      </c>
      <c r="K108" s="1" t="inlineStr">
        <is>
          <t>pt</t>
        </is>
      </c>
      <c r="L108" s="1" t="n">
        <v>1141</v>
      </c>
    </row>
    <row r="109" ht="16.5" customHeight="1">
      <c r="A109" s="1" t="n">
        <v>896</v>
      </c>
      <c r="B109" s="3" t="inlineStr">
        <is>
          <t>Gerenciamento de Incidentes</t>
        </is>
      </c>
      <c r="C109" s="3" t="inlineStr">
        <is>
          <t>Gerenciamento de Ativos de TI</t>
        </is>
      </c>
      <c r="D109" s="1" t="inlineStr">
        <is>
          <t>Problema com a Canon PIXMA MG3620</t>
        </is>
      </c>
      <c r="E109" s="1" t="inlineStr">
        <is>
          <t>Customer Service</t>
        </is>
      </c>
      <c r="F109" s="1" t="inlineStr">
        <is>
          <t>Caro Suporte ao Cliente,
Espero que esta mensagem o encontre bem. Estou entrando em contato para relatar um problema relacionado a uma impressora Canon PIXMA MG3620 que comprei em sua Loja Online Tech. O problema ocorreu ao tentar realizar uma impressão duplex, um recurso essencial que uso com frequência. Durante esse processo, a impressora teve um atolamento de papel, que se tornou um problema recorrente afetando sua funcionalidade e minha produtividade.
Após minhas tentativas de resolver o problema, que incluíram remover cuidadosamente o papel atolado e reiniciar a impressora, o problema, infelizmente, persiste. Cada tentativa de impressão duplex resulta em um atolamento de papel similar, sugerindo que pode haver um problema técnico subjacente com a própria impressora. Consultei o manual do usuário e segui todos os passos básicos de resolução de problemas recomendados para tais problemas, mas sem sucesso.
Agradeceria sua orientação sobre como proceder. Especificamente, gostaria de saber se há etapas adicionais de resolução de problemas que você poderia recomendar ou se este problema poderia estar coberto por alguma garantia ou acordo de serviço.
Obrigado pela sua assistência na resolução deste assunto de forma rápida. Aguardo sua orientação na sua primeira oportunidade.
Atenciosamente,
&lt;name&gt;
&lt;tel_num&gt;</t>
        </is>
      </c>
      <c r="G109" s="1" t="inlineStr">
        <is>
          <t>Incident</t>
        </is>
      </c>
      <c r="H109" s="1" t="inlineStr">
        <is>
          <t>Caro &lt;name&gt;,
Obrigado por entrar em contato sobre o problema com sua impressora Canon PIXMA MG3620. Peço desculpas pela inconveniência que este atolamento de papel recorrente causou.
Em primeiro lugar, por favor, certifique-se de que o firmware da impressora esteja atualizado, pois às vezes as atualizações podem resolver problemas técnicos. Além disso, verifique se as configurações de tipo e tamanho do papel no menu da impressora estão corretamente alinhadas com o papel carregado.
Se esses passos não resolverem o problema, pode ser um problema de hardware. Dado que você tentou todas as etapas padrão de resolução de problemas, recomendo verificar os detalhes da sua compra para cobertura de garantia. Podemos iniciar uma reclamação se sua impressora ainda estiver na garantia. Por favor, entre em contato conosco com seu recibo de compra ou detalhes da garantia, e nós o assistiremos mais.
Sinta-se à vontade para entrar em contato se tiver outras perguntas ou precisar de suporte adicional.
Atenciosamente,
Equipe de Suporte ao Cliente
Loja Online Tech</t>
        </is>
      </c>
      <c r="I109" s="1" t="inlineStr">
        <is>
          <t>low</t>
        </is>
      </c>
      <c r="J109" s="1" t="inlineStr">
        <is>
          <t>['Technical Support', 'Product Support', 'Hardware Failure', 'Problem Resolution', 'Warranty Claim', 'General Inquiry']</t>
        </is>
      </c>
      <c r="K109" s="1" t="inlineStr">
        <is>
          <t>pt</t>
        </is>
      </c>
      <c r="L109" s="1" t="n">
        <v>1331</v>
      </c>
    </row>
    <row r="110" ht="16.5" customHeight="1">
      <c r="A110" s="1" t="n">
        <v>909</v>
      </c>
      <c r="B110" s="3" t="inlineStr">
        <is>
          <t>Gerenciamento de Incidentes</t>
        </is>
      </c>
      <c r="C110" s="3" t="inlineStr">
        <is>
          <t>Gerenciamento de Acesso</t>
        </is>
      </c>
      <c r="D110" s="1" t="inlineStr">
        <is>
          <t>Problema com o Acesso ao Quadro Scrum</t>
        </is>
      </c>
      <c r="E110" s="1" t="inlineStr">
        <is>
          <t>Technical Support</t>
        </is>
      </c>
      <c r="F110" s="1" t="inlineStr">
        <is>
          <t>Caro Time de Suporte ao Cliente,
Espero que esta mensagem o encontre bem. Estou escrevendo para chamar sua atenção para um problema relatado por um de nossos clientes, &lt;name&gt;. Eles encontraram um erro ao tentar acessar o quadro Scrum usando a versão 8.20 do Jira Software. Nossas verificações iniciais indicam que pode haver um problema relacionado a permissões ou configurações. O erro parece estar isolado a este cliente, pois nenhum outro usuário relatou problemas semelhantes até agora.
Para ajudar a agilizar a resolução, conduzi uma investigação preliminar. Até agora, garantir que todas as permissões de usuário relevantes estejam corretamente atribuídas não revelou irregularidades significativas. Agradeceríamos se seus especialistas técnicos pudessem investigar mais a fundo, particularmente no que diz respeito a quaisquer atualizações recentes do produto ou configurações do servidor que possam ter induzido esse problema.
O cliente, &lt;name&gt;, está ansioso para continuar seu projeto sem mais interrupções e conta com uma resolução rápida. Por favor, forneça qualquer assistência necessária o mais rápido possível. Se precisar de mais detalhes, sinta-se à vontade para me contatar pelo &lt;tel_num&gt; ou por e-mail.
Muito obrigado pelo seu apoio.
Atenciosamente,
&lt;name&gt;</t>
        </is>
      </c>
      <c r="G110" s="1" t="inlineStr">
        <is>
          <t>Incident</t>
        </is>
      </c>
      <c r="H110" s="1" t="inlineStr">
        <is>
          <t>Caro &lt;name&gt;,
Obrigado por entrar em contato sobre o problema com o acesso ao quadro Scrum para seu cliente usando a versão 8.20 do Jira Software. Entendemos a importância de resolver isso rapidamente.
Nossa equipe técnica investigará as possíveis causas relacionadas a permissões e quaisquer atualizações recentes do produto ou configuração do servidor. Nosso objetivo é identificar e resolver a questão rapidamente para minimizar a interrupção para seu cliente.
Por favor, tenha a certeza de que daremos prioridade a este assunto e manteremos você atualizado sobre nosso progresso. Caso alguma informação adicional seja necessária, entraremos em contato usando os detalhes fornecidos.
Obrigado pela sua paciência e cooperação.
Atenciosamente,
Equipe de Suporte ao Cliente</t>
        </is>
      </c>
      <c r="I110" s="1" t="inlineStr">
        <is>
          <t>medium</t>
        </is>
      </c>
      <c r="J110" s="1" t="inlineStr">
        <is>
          <t>['Technical Support', 'Product Support', 'Software Bug', 'Account Assistance', 'Urgent Issue', 'Problem Resolution']</t>
        </is>
      </c>
      <c r="K110" s="1" t="inlineStr">
        <is>
          <t>pt</t>
        </is>
      </c>
      <c r="L110" s="1" t="n">
        <v>1280</v>
      </c>
    </row>
    <row r="111" ht="16.5" customHeight="1">
      <c r="A111" s="1" t="n">
        <v>932</v>
      </c>
      <c r="B111" s="3" t="inlineStr">
        <is>
          <t>Gerenciamento de Incidentes</t>
        </is>
      </c>
      <c r="C111" s="3" t="inlineStr">
        <is>
          <t>Gerenciamento de Disponibilidade</t>
        </is>
      </c>
      <c r="D111" s="1" t="inlineStr">
        <is>
          <t>Interrupção Urgente do Banco de Dados</t>
        </is>
      </c>
      <c r="E111" s="1" t="inlineStr">
        <is>
          <t>Technical Support</t>
        </is>
      </c>
      <c r="F111" s="1" t="inlineStr">
        <is>
          <t>Prezado Time de Suporte ao Cliente, estamos enfrentando uma grave interrupção do banco de dados afetando o MySQL 8.0.30. Dados críticos dos clientes se tornaram inacessíveis. Precisamos urgentemente do seu suporte para resolver este problema. Por favor, priorize nosso pedido. Entre em contato com &lt;name&gt; pelo &lt;tel_num&gt; para detalhes adicionais. Obrigado pela sua atenção imediata.</t>
        </is>
      </c>
      <c r="G111" s="1" t="inlineStr">
        <is>
          <t>Incident</t>
        </is>
      </c>
      <c r="H111" s="1" t="inlineStr">
        <is>
          <t>Prezado &lt;name&gt;,
Obrigado por entrar em contato. Entendemos a urgência da interrupção do banco de dados afetando o MySQL 8.0.30 e estamos priorizando seu pedido. Nossa equipe técnica já está trabalhando para identificar e resolver o problema. Iremos mantê-lo informado assim que tivermos mais informações. Enquanto isso, por favor, mantenha a linha de contato com &lt;tel_num&gt; aberta para qualquer comunicação adicional, se necessário. Agradecemos sua paciência e estamos comprometidos em restaurar o acesso aos dados críticos dos clientes prontamente.
Atenciosamente,
Equipe de Suporte ao Cliente</t>
        </is>
      </c>
      <c r="I111" s="1" t="inlineStr">
        <is>
          <t>high</t>
        </is>
      </c>
      <c r="J111" s="1" t="inlineStr">
        <is>
          <t>['Urgent Issue', 'Service Disruption', 'Database Issue', 'Technical Support', 'Problem Resolution', 'System Crash', 'Customer Service']</t>
        </is>
      </c>
      <c r="K111" s="1" t="inlineStr">
        <is>
          <t>pt</t>
        </is>
      </c>
      <c r="L111" s="1" t="n">
        <v>381</v>
      </c>
    </row>
    <row r="112" ht="16.5" customHeight="1">
      <c r="A112" s="1" t="n">
        <v>935</v>
      </c>
      <c r="B112" s="3" t="inlineStr">
        <is>
          <t>Gerenciamento de Incidentes</t>
        </is>
      </c>
      <c r="C112" s="3" t="inlineStr">
        <is>
          <t>Gerenciamento de Ativos de TI</t>
        </is>
      </c>
      <c r="D112" s="1" t="inlineStr">
        <is>
          <t>Problema com a Bateria do Surface Pro</t>
        </is>
      </c>
      <c r="E112" s="1" t="inlineStr">
        <is>
          <t>Product Support</t>
        </is>
      </c>
      <c r="F112" s="1" t="inlineStr">
        <is>
          <t>Caro Cliente do Suporte ao Cliente da Loja Online de Tecnologia,
Espero que esta mensagem o encontre bem. Estou escrevendo para expressar minha preocupação em relação a uma compra que fiz em sua loja online. O produto em questão é um Microsoft Surface Pro 7. Infelizmente, estou enfrentando um problema recorrente com o desempenho da bateria. Especificamente, a bateria parece não conseguir carregar além de 50%. Essa limitação substancial está impactando significativamente minha produtividade no trabalho, já que confio neste dispositivo para diversas tarefas profissionais.
Dada esta situação, estou buscando sua assistência para avaliar o problema e explorar soluções potenciais. Idealmente, gostaria de perguntar sobre a possibilidade de receber uma unidade substituta ou de ter esta unidade reparada para resolver o problema de carregamento. Por favor, me avise os passos que devo seguir para prosseguir com qualquer uma das opções.
Anexei prova de compra e mais detalhes do dispositivo para sua referência. Sua resposta rápida será muito apreciada, dada a natureza urgente deste assunto, já que influencia meus compromissos diários de trabalho. Obrigado pela sua atenção a este problema.
Atenciosamente,
&lt;name&gt;</t>
        </is>
      </c>
      <c r="G112" s="1" t="inlineStr">
        <is>
          <t>Incident</t>
        </is>
      </c>
      <c r="H112" s="1" t="inlineStr">
        <is>
          <t>Caro &lt;name&gt;,
Obrigado por entrar em contato conosco sobre o problema da bateria do seu Microsoft Surface Pro 7. Entendemos o inconveniente que isso está causando e estamos aqui para ajudá-lo.
Por favor, certifique-se de que o firmware e os drivers do dispositivo estão atualizados, pois isso pode resolver problemas de carregamento. Se o problema persistir, podemos prosseguir com a avaliação do seu dispositivo para reparo ou substituição.
Para facilitar o processo, siga as seguintes etapas:
1. Entre em contato com nossa equipe de suporte pelo &lt;tel_num&gt; ou utilize nosso chat ao vivo em nosso site.
2. Forneça a eles sua prova de compra e quaisquer informações relevantes do dispositivo.
3. Eles o guiarão pelo processo de envio do seu dispositivo para avaliação.
Uma vez recebido, diagnosticaremos rapidamente o problema e lhe forneceremos a melhor solução possível, seja um reparo ou uma substituição.
Obrigado pela sua paciência e compreensão. Nosso objetivo é resolver este problema rapidamente para garantir que sua produtividade no trabalho não seja prejudicada.
Atenciosamente,
Equipe de Suporte ao Cliente da Loja Online de Tecnologia</t>
        </is>
      </c>
      <c r="I112" s="1" t="inlineStr">
        <is>
          <t>medium</t>
        </is>
      </c>
      <c r="J112" s="1" t="inlineStr">
        <is>
          <t>['Product Support', 'Technical Support', 'Hardware Failure', 'Returns and Exchanges', 'Urgent Issue', 'Performance Tuning', 'Service Recovery']</t>
        </is>
      </c>
      <c r="K112" s="1" t="inlineStr">
        <is>
          <t>pt</t>
        </is>
      </c>
      <c r="L112" s="1" t="n">
        <v>1222</v>
      </c>
    </row>
    <row r="113" ht="16.5" customHeight="1">
      <c r="A113" s="1" t="n">
        <v>948</v>
      </c>
      <c r="B113" s="3" t="inlineStr">
        <is>
          <t>Gerenciamento de Segurança da Informação</t>
        </is>
      </c>
      <c r="C113" s="3" t="inlineStr">
        <is>
          <t>Gerenciamento de Incidentes</t>
        </is>
      </c>
      <c r="D113" s="1" t="inlineStr">
        <is>
          <t>Urgente: Tentativas de Acesso Não Autorizadas à Conta AWS</t>
        </is>
      </c>
      <c r="E113" s="1" t="inlineStr">
        <is>
          <t>Technical Support</t>
        </is>
      </c>
      <c r="F113" s="1" t="inlineStr">
        <is>
          <t>Prezado Time de Suporte ao Cliente,
Estou escrevendo para expressar minhas sérias preocupações em relação a múltiplas tentativas de acesso não autorizadas à nossa conta AWS, que é gerenciada por meio do seu Serviço de Gerenciamento da AWS. Este problema requer urgentemente uma avaliação de segurança abrangente e uma remediação imediata para prevenir quaisquer potenciais violações de dados ou outros incidentes de segurança.
Ao revisar a atividade da nossa conta recentemente, observamos tentativas de login suspeitas que não corresponderam aos nossos padrões habituais de atividade do usuário. Garantimos que nossas credenciais internas permanecem intactas e suspeitamos de ameaças externas direcionadas aos nossos recursos da AWS. A natureza repetida dessas tentativas sugere que pode haver esforços em andamento, direcionados, para obter acesso não autorizado.
Considerando a gravidade desta situação, é imperativo que abordemos prontamente as vulnerabilidades de segurança expostas dentro do nosso ambiente AWS. Estamos particularmente preocupados com as implicações para a integridade e confidencialidade dos dados, uma vez que a integridade de nossas operações principais depende fortemente do funcionamento seguro de nossas plataformas AWS.
Por favor, inicie uma avaliação imediata de segurança da nossa infraestrutura AWS e nos ajude na implementação de medidas de segurança robustas para proteger nossos ativos. Estamos também solicitando sua orientação especializada na revisão dos logs de acesso e na identificação de quaisquer tendências de atividade incomuns que possam indicar mais preocupações de segurança.
Diante dos potenciais riscos e nosso compromisso em manter um ambiente seguro para nossos stakeholders, sua atenção imediata e resposta ágil a esta questão seriam altamente apreciadas.
Obrigado pela sua ação rápida sobre este problema urgente. Aguardamos sua orientação sobre os passos necessários para a resolução do incidente.
Atenciosamente,
&lt;name&gt;
Gerente de TI
&lt;company name&gt;
&lt;email&gt;
&lt;tel_num&gt;</t>
        </is>
      </c>
      <c r="G113" s="1" t="inlineStr">
        <is>
          <t>Incident</t>
        </is>
      </c>
      <c r="H113" s="1" t="inlineStr">
        <is>
          <t>Prezado &lt;name&gt;,
Obrigado por entrar em contato sobre as tentativas de acesso não autorizadas à sua conta AWS. Levamos essas preocupações muito a sério e priorizamos a resolução delas rapidamente.
Para começar a abordar esses problemas, iremos iniciar imediatamente uma avaliação abrangente de segurança da sua infraestrutura AWS. Nossa equipe revisará os logs de acesso para identificar quaisquer padrões incomuns e potenciais vulnerabilidades.
Também iremos melhorar as medidas de segurança da sua conta implementando autenticação em múltiplos fatores e garantindo que todos os patches de segurança estejam atualizados. Além disso, nossos especialistas trabalharão com você para estabelecer as melhores práticas para controles de acesso e monitoramento.
Por favor, aguarde mais atualizações de nossa equipe de segurança em breve. Sua cooperação e vigilância são vitais, por isso sinta-se à vontade para relatar quaisquer outras preocupações que você notar.
Obrigado pelo seu compromisso com a segurança do seu ambiente AWS. Estamos dedicados a resolver esta questão de maneira eficiente.
Atenciosamente,
&lt;name&gt;
Time de Suporte ao Cliente
Serviço de Gerenciamento da AWS</t>
        </is>
      </c>
      <c r="I113" s="1" t="inlineStr">
        <is>
          <t>high</t>
        </is>
      </c>
      <c r="J113" s="1" t="inlineStr">
        <is>
          <t>['Urgent Issue', 'Account Security', 'Data Breach', 'Login Issue', 'Incident Report', 'Technical Support', 'Problem Resolution']</t>
        </is>
      </c>
      <c r="K113" s="1" t="inlineStr">
        <is>
          <t>pt</t>
        </is>
      </c>
      <c r="L113" s="1" t="n">
        <v>2031</v>
      </c>
    </row>
    <row r="114" ht="16.5" customHeight="1">
      <c r="A114" s="1" t="n">
        <v>960</v>
      </c>
      <c r="B114" s="3" t="inlineStr">
        <is>
          <t>Gerenciamento Financeiro</t>
        </is>
      </c>
      <c r="C114" s="3" t="inlineStr">
        <is>
          <t>Gerenciamento de Incidentes</t>
        </is>
      </c>
      <c r="D114" s="1" t="inlineStr">
        <is>
          <t>Problema de Faturamento com o Serviço de Gerenciamento da AWS</t>
        </is>
      </c>
      <c r="E114" s="1" t="inlineStr">
        <is>
          <t>Billing and Payments</t>
        </is>
      </c>
      <c r="F114" s="1" t="inlineStr">
        <is>
          <t>Caro Suporte ao Cliente,
Espero que esta mensagem o encontre bem. Estou escrevendo para chamar sua atenção para um problema que enfrentei em relação a cobranças incorretas. Após utilizar o Serviço de Gerenciamento da AWS para infraestrutura em nuvem e otimização de serviços, minha conta, &lt;acc_num&gt;, foi faturada erroneamente. As cobranças não refletem com precisão o uso relatado e parecem significativamente mais altas do que o esperado.
Por favor, revise meus detalhes de faturamento e corrija quaisquer discrepâncias na sua primeira oportunidade. Por favor, me avise se você precisar de informações adicionais para facilitar uma resolução rápida. Você pode me contatar em &lt;email&gt; ou &lt;tel_num&gt; para discutir mais.
Obrigado pela sua assistência nesta questão.
Atenciosamente,
&lt;name&gt;</t>
        </is>
      </c>
      <c r="G114" s="1" t="inlineStr">
        <is>
          <t>Problem</t>
        </is>
      </c>
      <c r="H114" s="1" t="inlineStr">
        <is>
          <t>Caro &lt;name&gt;,
Obrigado por trazer isso à nossa atenção. Entendemos a preocupação em relação à discrepância nas cobranças de faturamento do seu Serviço de Gerenciamento da AWS. Fique tranquilo, iremos realizar uma revisão completa dos detalhes de faturamento associados à sua conta &lt;acc_num&gt;.
Por favor, nos dê algum tempo para investigar e corrigir quaisquer problemas. Se mais informações forem necessárias, entraremos em contato com você usando os detalhes fornecidos.
Agradecemos sua paciência e nos esforçaremos para uma rápida resolução.
Atenciosamente,
Equipe de Suporte ao Cliente</t>
        </is>
      </c>
      <c r="I114" s="1" t="inlineStr">
        <is>
          <t>medium</t>
        </is>
      </c>
      <c r="J114" s="1" t="inlineStr">
        <is>
          <t>['Billing Issue', 'Customer Service', 'Account Assistance', 'Problem Resolution']</t>
        </is>
      </c>
      <c r="K114" s="1" t="inlineStr">
        <is>
          <t>pt</t>
        </is>
      </c>
      <c r="L114" s="1" t="n">
        <v>789</v>
      </c>
    </row>
    <row r="115" ht="16.5" customHeight="1">
      <c r="A115" s="1" t="n">
        <v>967</v>
      </c>
      <c r="B115" s="3" t="inlineStr">
        <is>
          <t>Gerenciamento Financeiro</t>
        </is>
      </c>
      <c r="C115" s="3" t="inlineStr">
        <is>
          <t>Solicitação de Serviço</t>
        </is>
      </c>
      <c r="D115" s="1" t="inlineStr">
        <is>
          <t>Solicitação de Detalhamento da Declaração de Cobrança</t>
        </is>
      </c>
      <c r="E115" s="1" t="inlineStr">
        <is>
          <t>Billing and Payments</t>
        </is>
      </c>
      <c r="F115" s="1" t="inlineStr">
        <is>
          <t>Caro Suporte ao Cliente,
Espero que esta mensagem o encontre bem. Estou escrevendo para solicitar um detalhamento detalhado da minha recente declaração de cobrança pelo serviço de assinatura do Microsoft Office 365. Como notei algumas discrepâncias, peço gentilmente um relato detalhado de todas as cobranças referentes à minha assinatura. Meu número da conta é &lt;acc_num&gt;. Por favor, entre em contato comigo pelo &lt;tel_num&gt; se precisar de mais informações. Sua pronta atenção a este assunto seria muito apreciada. Obrigado pela sua assistência.
Atenciosamente,
&lt;name&gt;</t>
        </is>
      </c>
      <c r="G115" s="1" t="inlineStr">
        <is>
          <t>Request</t>
        </is>
      </c>
      <c r="H115" s="1" t="inlineStr">
        <is>
          <t>Caro &lt;name&gt;,
Obrigado por entrar em contato conosco sobre sua declaração de cobrança do Microsoft Office 365. Entendemos a importância de resolver discrepâncias em sua conta. Nossa equipe fornecerá um detalhamento completo de todas as cobranças para garantir que tudo esteja correto. Por favor, nos permita algum tempo para revisar sua conta e preparar a declaração.
Entraremos em contato prontamente se precisar de mais informações usando o número de telefone fornecido. Aguarde um detalhamento detalhado em breve.
Atenciosamente,
Equipe de Suporte ao Cliente</t>
        </is>
      </c>
      <c r="I115" s="1" t="inlineStr">
        <is>
          <t>high</t>
        </is>
      </c>
      <c r="J115" s="1" t="inlineStr">
        <is>
          <t>['Billing Issue', 'Customer Service', 'Account Assistance', 'Refund Request']</t>
        </is>
      </c>
      <c r="K115" s="1" t="inlineStr">
        <is>
          <t>pt</t>
        </is>
      </c>
      <c r="L115" s="1" t="n">
        <v>569</v>
      </c>
    </row>
    <row r="116" ht="16.5" customHeight="1">
      <c r="A116" s="1" t="n">
        <v>977</v>
      </c>
      <c r="B116" s="3" t="inlineStr">
        <is>
          <t>Gerenciamento de Incidentes</t>
        </is>
      </c>
      <c r="C116" s="3" t="inlineStr">
        <is>
          <t>Gerenciamento de Problemas</t>
        </is>
      </c>
      <c r="D116" s="1" t="inlineStr">
        <is>
          <t>Urgente: Erro Grave no Sistema de Tickets</t>
        </is>
      </c>
      <c r="E116" s="1" t="inlineStr">
        <is>
          <t>Technical Support</t>
        </is>
      </c>
      <c r="F116" s="1" t="inlineStr">
        <is>
          <t>Prezado Suporte ao Cliente,
Estamos enfrentando interrupções significativas no fluxo de trabalho em nossa gestão de projetos devido a um erro grave no sistema de tickets Jira Software 8.20. Este problema requer sua atenção imediata para diagnóstico e resolução. Por favor, forneça uma atualização na sua primeira oportunidade, pois isso afeta severamente nossas operações diárias.
Por favor, priorize este pedido.
Obrigado.
Atenciosamente,
&lt;name&gt;</t>
        </is>
      </c>
      <c r="G116" s="1" t="inlineStr">
        <is>
          <t>Incident</t>
        </is>
      </c>
      <c r="H116" s="1" t="inlineStr">
        <is>
          <t>Prezado &lt;name&gt;,
Obrigado por nos notificar sobre a questão significativa no Jira Software 8.20. Entendemos a urgência e estamos priorizando a resolução deste erro grave para minimizar interrupções em seu fluxo de trabalho. Nossa equipe técnica está atualmente investigando e irá atualizá-lo com um relatório de status assim que possível. Agradecemos sua paciência e estamos comprometidos em resolver isso rapidamente.
Atenciosamente,
Suporte ao Cliente</t>
        </is>
      </c>
      <c r="I116" s="1" t="inlineStr">
        <is>
          <t>high</t>
        </is>
      </c>
      <c r="J116" s="1" t="inlineStr">
        <is>
          <t>['Urgent Issue', 'Service Disruption', 'Technical Support', 'Problem Resolution', 'Software Bug']</t>
        </is>
      </c>
      <c r="K116" s="1" t="inlineStr">
        <is>
          <t>pt</t>
        </is>
      </c>
      <c r="L116" s="1" t="n">
        <v>451</v>
      </c>
    </row>
    <row r="117" ht="16.5" customHeight="1">
      <c r="A117" s="1" t="n">
        <v>992</v>
      </c>
      <c r="B117" s="3" t="inlineStr">
        <is>
          <t>Gerenciamento de Incidentes</t>
        </is>
      </c>
      <c r="C117" s="3" t="inlineStr">
        <is>
          <t>Gerenciamento de Disponibilidade</t>
        </is>
      </c>
      <c r="D117" s="1" t="inlineStr">
        <is>
          <t>Urgente: Tempo de Inatividade do Serviço AWS</t>
        </is>
      </c>
      <c r="E117" s="1" t="inlineStr">
        <is>
          <t>Service Outages and Maintenance</t>
        </is>
      </c>
      <c r="F117" s="1" t="inlineStr">
        <is>
          <t>Prezado Suporte de Serviços de TI,
Estou escrevendo para relatar um tempo de inatividade inesperado em seu Serviço de Gerenciamento AWS. Dependemos muito deste serviço e a interrupção está impactando significativamente nossas operações. Precisamos urgentemente de uma solução para identificar o problema e restaurar as operações normais. Poderia priorizar esta questão e nos atualizar sobre o progresso assim que possível? Por favor, entre em contato comigo pelo &lt;tel_num&gt; para mais informações. Aguardando sua resposta rápida.
Obrigado,
&lt;name&gt;</t>
        </is>
      </c>
      <c r="G117" s="1" t="inlineStr">
        <is>
          <t>Change</t>
        </is>
      </c>
      <c r="H117" s="1" t="inlineStr">
        <is>
          <t>Prezado &lt;name&gt;,
Obrigado por entrar em contato sobre a interrupção do Serviço de Gerenciamento AWS. Nós escalamos essa questão e estamos priorizando os esforços de solução de problemas para resolver a interrupção o mais rápido possível. Nossa equipe está comprometida em restaurar as operações normais e irá fornecer atualizações sobre o progresso em breve. Se necessário, entraremos em contato diretamente com você pelo &lt;tel_num&gt;. Agradecemos sua paciência e compreensão.
Atenciosamente,
Suporte de Serviços de TI</t>
        </is>
      </c>
      <c r="I117" s="1" t="inlineStr">
        <is>
          <t>high</t>
        </is>
      </c>
      <c r="J117" s="1" t="inlineStr">
        <is>
          <t>['Service Outage', 'Incident Report', 'Urgent Issue', 'Technical Support', 'Service Disruption']</t>
        </is>
      </c>
      <c r="K117" s="1" t="inlineStr">
        <is>
          <t>pt</t>
        </is>
      </c>
      <c r="L117" s="1" t="n">
        <v>547</v>
      </c>
    </row>
    <row r="118" ht="16.5" customHeight="1">
      <c r="A118" s="1" t="n">
        <v>994</v>
      </c>
      <c r="B118" s="3" t="inlineStr">
        <is>
          <t>Solicitação de Serviço</t>
        </is>
      </c>
      <c r="C118" s="3" t="inlineStr">
        <is>
          <t>Gerenciamento de Mudanças</t>
        </is>
      </c>
      <c r="D118" s="1" t="inlineStr">
        <is>
          <t>Modificações Necessárias para o Sistema de Chamadas de TI</t>
        </is>
      </c>
      <c r="E118" s="1" t="inlineStr">
        <is>
          <t>Customer Service</t>
        </is>
      </c>
      <c r="F118" s="1" t="inlineStr">
        <is>
          <t>Caro Suporte ao Cliente,
Estou escrevendo para solicitar modificações específicas no sistema de tickets de TI que está atualmente utilizado em nosso pipeline de serviços de consultoria. Nosso cliente, &lt;name&gt;, forneceu feedback indicando a necessidade de mudanças para melhorar a eficiência. Por favor, entre em contato comigo pelo &lt;tel_num&gt; para discutir os ajustes necessários.
Obrigado,
&lt;name&gt;</t>
        </is>
      </c>
      <c r="G118" s="1" t="inlineStr">
        <is>
          <t>Change</t>
        </is>
      </c>
      <c r="H118" s="1" t="inlineStr">
        <is>
          <t>Caro &lt;name&gt;,
Obrigado por entrar em contato sobre as modificações no sistema de tickets de TI. Agradecemos o feedback do seu cliente, &lt;name&gt;, e estamos ansiosos para ajudar a melhorar a eficiência do sistema. Eu entrarei em contato com você pelo número fornecido, &lt;tel_num&gt;, para discutir os ajustes específicos necessários. Por favor, nos informe um horário conveniente para a ligação. Estou ansioso para trabalharmos juntos nisso.
Atenciosamente,
&lt;Cliente de Suporte&gt;</t>
        </is>
      </c>
      <c r="I118" s="1" t="inlineStr">
        <is>
          <t>high</t>
        </is>
      </c>
      <c r="J118" s="1" t="inlineStr">
        <is>
          <t>['Technical Support', 'Customer Service', 'Feature Request', 'Problem Resolution', 'Technical Guidance']</t>
        </is>
      </c>
      <c r="K118" s="1" t="inlineStr">
        <is>
          <t>pt</t>
        </is>
      </c>
      <c r="L118" s="1" t="n">
        <v>397</v>
      </c>
    </row>
    <row r="119" ht="16.5" customHeight="1">
      <c r="A119" s="1" t="n">
        <v>997</v>
      </c>
      <c r="B119" s="3" t="inlineStr">
        <is>
          <t>Gerenciamento de Incidentes</t>
        </is>
      </c>
      <c r="C119" s="3" t="inlineStr">
        <is>
          <t>Gerenciamento de Disponibilidade</t>
        </is>
      </c>
      <c r="D119" s="1" t="inlineStr">
        <is>
          <t>Assistência Urgente Necessária para Tempo de Inatividade do Servidor</t>
        </is>
      </c>
      <c r="E119" s="1" t="inlineStr">
        <is>
          <t>IT Support</t>
        </is>
      </c>
      <c r="F119" s="1" t="inlineStr">
        <is>
          <t>Caro Time de Suporte ao Cliente,
Espero que esta mensagem o encontre bem. Estou escrevendo para solicitar assistência imediata de alta prioridade em uma questão crítica que afeta nossas operações comerciais. Nossa empresa, &lt;name&gt;, depende fortemente do Serviço de Consultoria de TI fornecido pela sua empresa. Infelizmente, estamos atualmente enfrentando um tempo de inatividade extensivo do servidor que está tendo um impacto substancial em nossa capacidade de fornecer serviços aos nossos clientes.
Os serviços oferecidos pela sua equipe sempre foram integrais à funcionalidade do nosso negócio, e a qualidade do suporte que recebemos até agora é louvável. No entanto, dado a situação atual, a urgência em resolver essa questão não pode ser exagerada. A interrupção do servidor começou em &lt;date&gt; e persistiu apesar de nossos esforços de solução de problemas internos, que incluíram a verificação de todos os sistemas e protocolos de rede internos. Como está, essa interrupção tornou várias de nossas aplicações comerciais críticas inoperáveis, afetando assim a produtividade e a satisfação do cliente.
Entendemos que tais questões podem surgir, embora estejamos interessados em entender tanto as causas subjacentes quanto as medidas que serão implementadas para evitar recorrências. Portanto, estamos ansiosos para que uma equipe do seu lado seja despachada o mais rápido possível para abordar e retificar a situação, garantindo uma mínima interrupção adicional.
Agradeceria se um técnico especializado pudesse entrar em contato comigo diretamente para discutir os passos necessários a seguir. Você pode me contatar por e-mail em &lt;email&gt; ou alternativamente no meu ramal direto em &lt;tel_num&gt;. Além disso, por favor, consulte nossa conta sob o número &lt;acc_num&gt; para quaisquer especificações necessárias relacionadas ao nosso contrato de serviço.
Obrigado pela sua atenção imediata a este assunto urgente. Aguardamos sua resposta imediata e uma resolução rápida. Por favor, não hesite em discutir quaisquer medidas preliminares que possamos adotar enquanto você organiza o suporte técnico completo.
Atenciosamente,
&lt;name&gt;
&lt;position&gt;
&lt;company&gt;
&lt;tel_num&gt;</t>
        </is>
      </c>
      <c r="G119" s="1" t="inlineStr">
        <is>
          <t>Request</t>
        </is>
      </c>
      <c r="H119" s="1" t="inlineStr">
        <is>
          <t>Caro &lt;name&gt;,
Obrigado por entrar em contato e trazer essa questão urgente à nossa atenção. Pedimos desculpas sinceras pela inconveniência que o tempo de inatividade do servidor está causando em suas operações comerciais.
Por favor, fique tranquilo quanto ao fato de que estamos priorizando essa questão e já alertamos nossa equipe técnica para diagnosticar e resolver o problema o mais rápido possível. Um técnico especializado entrará em contato com você em breve pelo seu e-mail fornecido ou linha direta &lt;tel_num&gt; para discutir a situação mais detalhadamente e ajudar na implementação de medidas imediatas para mitigar o impacto.
Estamos comprometidos em investigar a causa dessa interrupção e garantir que sejam tomadas medidas para evitar novas ocorrências. Sua conta sob o número &lt;acc_num&gt; foi anotada, e nos referiremos a ela para quaisquer especificidades do contrato de serviço.
Obrigado pela sua paciência e compreensão. Estamos dedicados a restabelecer seus serviços prontamente e a manter o alto nível de suporte que você merece.
Atenciosamente,
Equipe de Suporte ao Cliente</t>
        </is>
      </c>
      <c r="I119" s="1" t="inlineStr">
        <is>
          <t>high</t>
        </is>
      </c>
      <c r="J119" s="1" t="inlineStr">
        <is>
          <t>['Urgent Issue', 'Service Disruption', 'Technical Support', 'IT Support', 'System Crash', 'Incident Report', 'Problem Resolution', 'Service Recovery']</t>
        </is>
      </c>
      <c r="K119" s="1" t="inlineStr">
        <is>
          <t>pt</t>
        </is>
      </c>
      <c r="L119" s="1" t="n">
        <v>2158</v>
      </c>
    </row>
    <row r="120" ht="16.5" customHeight="1">
      <c r="A120" s="1" t="n">
        <v>1000</v>
      </c>
      <c r="B120" s="3" t="inlineStr">
        <is>
          <t>Gerenciamento de Incidentes</t>
        </is>
      </c>
      <c r="C120" s="3" t="inlineStr">
        <is>
          <t>Gerenciamento de Ativos de TI</t>
        </is>
      </c>
      <c r="D120" s="1" t="inlineStr">
        <is>
          <t>Urgente: Problema com Dell XPS 13</t>
        </is>
      </c>
      <c r="E120" s="1" t="inlineStr">
        <is>
          <t>Product Support</t>
        </is>
      </c>
      <c r="F120" s="1" t="inlineStr">
        <is>
          <t>Caro time de suporte ao cliente da Tech Online Store,
Espero que esta mensagem o encontre bem. Estou entrando em contato para relatar um problema urgente com um Dell XPS 13 9310 comprado recentemente. O dispositivo, de propriedade de &lt;name&gt;, com número da conta &lt;acc_num&gt;, não está ligando apesar de indicar que a bateria está cheia. Esse problema surgiu inesperadamente, causando interrupções significativas, uma vez que o laptop é essencial para as tarefas profissionais diárias.
Apesar de ter tentado várias etapas básicas de solução de problemas, como experimentar diferentes adaptadores de energia e pressionar o botão de energia por 30 segundos, o laptop permanece sem resposta. Dadas as circunstâncias e a urgência da questão, uma intervenção rápida é necessária para resolver este assunto. Por favor, informe sobre os próximos passos para acelerar os procedimentos de diagnóstico e reparo.
Para sua referência, a compra foi realizada sob o número do pedido &lt;order_num&gt; em &lt;purchase_date&gt;. Agradeceríamos se você pudesse fornecer quaisquer dicas possíveis de solução de problemas remota ou, se necessário, agendar um appointment de serviço na primeira conveniência.
Obrigado pela sua atenção rápida a este assunto. Se você precisar de mais detalhes, não hesite em me contatar pelo &lt;email&gt; ou &lt;tel_num&gt;. Aguardando sua rápida resposta para colocar o dispositivo em funcionamento.
Atenciosamente,
&lt;name&gt;</t>
        </is>
      </c>
      <c r="G120" s="1" t="inlineStr">
        <is>
          <t>Incident</t>
        </is>
      </c>
      <c r="H120" s="1" t="inlineStr">
        <is>
          <t>Caro &lt;name&gt;,
Obrigado por entrar em contato com o suporte ao cliente da Tech Online Store a respeito do problema com seu Dell XPS 13 9310. Entendemos a urgência e o inconveniente que isso causou, e estamos aqui para ajudá-lo a resolvê-lo o mais rapidamente possível.
Com base nos detalhes fornecidos, parece que você já tentou as etapas básicas de solução de problemas. Como próximo passo, por favor, tente o seguinte:
1. Certifique-se de que não há obstruções na porta de carregamento e que o adaptador de energia está conectado corretamente.
2. Realize um reinício do sistema desconectando o adaptador e, em seguida, pressione e segure o botão de energia por mais 60 segundos.
3. Se removível, verifique e reaplique a bateria.
Se o dispositivo continuar sem resposta após essas etapas, pode ser necessário agendar um serviço. Por favor, responda com a confirmação dos resultados da solução de problemas e sugira um horário conveniente para um possível appointment de serviço.
Daremos prioridade ao seu caso, dada a importância do dispositivo para suas necessidades profissionais. Você será contatado em breve assim que seu pedido de serviço for processado.
Para quaisquer consultas urgentes ou atualizações, entre em contato conosco pelo &lt;customer_service_tel_num&gt;.
Agradecemos sua paciência e compreensão enquanto trabalhamos para resolver este problema rapidamente.
Atenciosamente,
Equipe de suporte ao cliente da Tech Online Store</t>
        </is>
      </c>
      <c r="I120" s="1" t="inlineStr">
        <is>
          <t>high</t>
        </is>
      </c>
      <c r="J120" s="1" t="inlineStr">
        <is>
          <t>['Urgent Issue', 'Technical Support', 'Hardware Failure', 'Problem Resolution', 'Service Recovery', 'Product Support']</t>
        </is>
      </c>
      <c r="K120" s="1" t="inlineStr">
        <is>
          <t>pt</t>
        </is>
      </c>
      <c r="L120" s="1" t="n">
        <v>1414</v>
      </c>
    </row>
    <row r="121" ht="16.5" customHeight="1">
      <c r="A121" s="1" t="n">
        <v>1001</v>
      </c>
      <c r="B121" s="3" t="inlineStr">
        <is>
          <t>Gerenciamento de Incidentes</t>
        </is>
      </c>
      <c r="C121" s="3" t="inlineStr">
        <is>
          <t>Gerenciamento de Problemas</t>
        </is>
      </c>
      <c r="D121" s="1" t="inlineStr">
        <is>
          <t>Problema de impressão sem fio da HP DeskJet 3755</t>
        </is>
      </c>
      <c r="E121" s="1" t="inlineStr">
        <is>
          <t>Product Support</t>
        </is>
      </c>
      <c r="F121" s="1" t="inlineStr">
        <is>
          <t>O recurso de impressão sem fio falha em conectar constantemente.</t>
        </is>
      </c>
      <c r="G121" s="1" t="inlineStr">
        <is>
          <t>Problem</t>
        </is>
      </c>
      <c r="H121" s="1" t="inlineStr">
        <is>
          <t>Certifique-se de que sua impressora e dispositivo estejam na mesma rede, depois reinicie ambos. Atualize os drivers se o problema persistir.</t>
        </is>
      </c>
      <c r="I121" s="1" t="inlineStr">
        <is>
          <t>medium</t>
        </is>
      </c>
      <c r="J121" s="1" t="inlineStr">
        <is>
          <t>['Technical Support', 'Product Support', 'Software Bug', 'Hardware Failure', 'Problem Resolution']</t>
        </is>
      </c>
      <c r="K121" s="1" t="inlineStr">
        <is>
          <t>pt</t>
        </is>
      </c>
      <c r="L121" s="1" t="n">
        <v>64</v>
      </c>
    </row>
    <row r="122" ht="16.5" customHeight="1">
      <c r="A122" s="1" t="n">
        <v>1008</v>
      </c>
      <c r="B122" s="3" t="inlineStr">
        <is>
          <t>Solicitação de Serviço</t>
        </is>
      </c>
      <c r="C122" s="3" t="inlineStr">
        <is>
          <t>Gerenciamento Financeiro</t>
        </is>
      </c>
      <c r="D122" s="1" t="inlineStr">
        <is>
          <t>Assistência Necessária para Gestão da AWS</t>
        </is>
      </c>
      <c r="E122" s="1" t="inlineStr">
        <is>
          <t>Customer Service</t>
        </is>
      </c>
      <c r="F122" s="1" t="inlineStr">
        <is>
          <t>Caro Time de Suporte ao Cliente,
Espero que esta mensagem os encontre bem. Estou entrando em contato para buscar assistência com os Serviços de Gestão da AWS fornecidos pela sua empresa. Tenho utilizado esses serviços há algum tempo, mas atualmente estou enfrentando desafios na otimização de custos e alocação eficiente de recursos de nuvem. Como esses aspectos são críticos para as nossas operações, gostaria de saber sobre quaisquer estratégias ou soluções disponíveis que possam nos ajudar a gerenciá-los de forma mais eficaz.
Além disso, estou interessado em entender se há recursos ou ferramentas adicionais dentro do seu Serviço de Gestão da AWS que poderiam facilitar um melhor monitoramento e gerenciamento dos nossos recursos. Sua experiência e orientação nesta questão seriam muito valiosas.
Você poderia fornecer insights ou agendar uma consulta na sua primeira conveniência? Além disso, se houver alguma informação ou dado específico que você precisar da nossa parte para ajudá-lo melhor, por favor, me avise.
Obrigado pela sua atenção a este assunto. Aguardo sua resposta rápida. Você pode me contatar por e-mail ou pelo meu telefone em &lt;tel_num&gt; para qualquer discussão adicional.
Atenciosamente,
&lt;name&gt;
&lt;company_name&gt;</t>
        </is>
      </c>
      <c r="G122" s="1" t="inlineStr">
        <is>
          <t>Request</t>
        </is>
      </c>
      <c r="H122" s="1" t="inlineStr">
        <is>
          <t>Caro &lt;name&gt;,
Obrigado por entrar em contato sobre os Serviços de Gestão da AWS. Para atender às suas necessidades de otimização de custos e alocação eficiente de recursos de nuvem, recomendamos uma consulta personalizada onde podemos discutir várias estratégias e ferramentas, incluindo serviços potenciais da AWS, como Cost Explorer e Trusted Advisor.
Também oferecemos recursos avançados de monitoramento dentro do nosso serviço que podem ser benéficos. Posso agendar uma consulta na sua primeira conveniência para explorar essas opções mais detalhadamente. Por favor, nos avise um horário adequado para você.
Em preparação para nossa discussão, quaisquer detalhes específicos de uso ou objetivos que você puder compartilhar aumentariam nossa capacidade de fornecer soluções precisas. Você pode nos contatar através deste e-mail ou pelo número de telefone fornecido &lt;tel_num&gt;.
Aguardamos a oportunidade de ajudá-lo mais.
Atenciosamente,
Equipe de Suporte ao Cliente</t>
        </is>
      </c>
      <c r="I122" s="1" t="inlineStr">
        <is>
          <t>medium</t>
        </is>
      </c>
      <c r="J122" s="1" t="inlineStr">
        <is>
          <t>['Technical Support', 'Product Support', 'General Inquiry', 'Customer Service', 'IT Support', 'Account Assistance', 'Service Notification']</t>
        </is>
      </c>
      <c r="K122" s="1" t="inlineStr">
        <is>
          <t>pt</t>
        </is>
      </c>
      <c r="L122" s="1" t="n">
        <v>1239</v>
      </c>
    </row>
    <row r="123" ht="16.5" customHeight="1">
      <c r="A123" s="1" t="n">
        <v>1010</v>
      </c>
      <c r="B123" s="3" t="inlineStr">
        <is>
          <t>Gerenciamento de Incidentes</t>
        </is>
      </c>
      <c r="C123" s="3" t="inlineStr">
        <is>
          <t>Gerenciamento de Problemas</t>
        </is>
      </c>
      <c r="D123" s="1" t="inlineStr">
        <is>
          <t>Problema Urgente no Banco de Dados MySQL 8.0.30</t>
        </is>
      </c>
      <c r="E123" s="1" t="inlineStr">
        <is>
          <t>Technical Support</t>
        </is>
      </c>
      <c r="F123" s="1" t="inlineStr">
        <is>
          <t>Prezado Time de Suporte ao Cliente,
Estou escrevendo para trazer à sua atenção imediata um problema crítico que estamos enfrentando com o produto de banco de dados MySQL 8.0.30 fornecido pela sua empresa. Desde a atualização para esta versão, encontramos frequentes falhas e erros de inconsistência de dados, impactando significativamente o desempenho e a estabilidade das aplicações dos nossos clientes.
Nossa equipe de TI realizou uma investigação completa do nosso lado e concluiu que o problema se origina do banco de dados MySQL 8.0.30. As falhas periódicas tendem a ocorrer durante os horários de pico de operação, causando interrupções em nossos serviços voltados para o cliente. Além disso, a integridade dos dados foi comprometida, resultando em comportamentos imprevisíveis em nossas aplicações e em uma potencial perda de confiança dos clientes.
Solicitamos assistência imediata para diagnosticar e resolver esses problemas. Por favor, forneça orientações sobre quaisquer bugs conhecidos ou patches que possam aliviar esses problemas. Também apreciaríamos uma referência à base de conhecimento ou documentação que possa nos ajudar a monitorar e gerenciar efetivamente a saúde do banco de dados MySQL.
Obrigado pela sua atenção rápida a este assunto urgente. Aguardamos sua resposta rápida, garantindo continuidade e confiabilidade para nossos valiosos clientes.
Atenciosamente,
&lt;name&gt;
Engenheiro de Suporte
Empresa XYZ
Telefone: &lt;tel_num&gt;
Email: support@companyxyz.com</t>
        </is>
      </c>
      <c r="G123" s="1" t="inlineStr">
        <is>
          <t>Incident</t>
        </is>
      </c>
      <c r="H123" s="1" t="inlineStr">
        <is>
          <t>Prezado &lt;name&gt;,
Obrigado por entrar em contato sobre os problemas com o MySQL 8.0.30. Entendemos a urgência e o impacto que isso está tendo em suas operações. Nossa equipe está atualmente investigando relatos semelhantes e trabalhando em soluções.
Enquanto isso, por favor, assegure-se de que todas as atualizações ou patches recentes do MySQL sejam aplicados, pois isso pode resolver problemas conhecidos. Você pode consultar nossa base de conhecimento para obter orientações sobre como gerenciar a saúde do banco de dados em [link to knowledge base].
Iremos priorizar isso e atualizá-lo em breve com quaisquer correções ou medidas que você possa implementar. Obrigado pela sua paciência e compreensão.
Atenciosamente,
Equipe de Atendimento</t>
        </is>
      </c>
      <c r="I123" s="1" t="inlineStr">
        <is>
          <t>high</t>
        </is>
      </c>
      <c r="J123" s="1" t="inlineStr">
        <is>
          <t>['Urgent Issue', 'Technical Support', 'Software Bug', 'System Crash', 'Performance Tuning', 'Database Issue', 'Incident Report', 'Problem Resolution']</t>
        </is>
      </c>
      <c r="K123" s="1" t="inlineStr">
        <is>
          <t>pt</t>
        </is>
      </c>
      <c r="L123" s="1" t="n">
        <v>1485</v>
      </c>
    </row>
    <row r="124" ht="16.5" customHeight="1">
      <c r="A124" s="1" t="n">
        <v>1014</v>
      </c>
      <c r="B124" s="3" t="inlineStr">
        <is>
          <t>Gerenciamento de Incidentes</t>
        </is>
      </c>
      <c r="C124" s="3" t="inlineStr">
        <is>
          <t>Gerenciamento de Problemas</t>
        </is>
      </c>
      <c r="D124" s="1" t="inlineStr">
        <is>
          <t>Complicações de Sincronização</t>
        </is>
      </c>
      <c r="E124" s="1" t="inlineStr">
        <is>
          <t>Technical Support</t>
        </is>
      </c>
      <c r="F124" s="1" t="inlineStr">
        <is>
          <t>Caro Equipe de Suporte ao Cliente,
Estou entrando em contato para expressar minhas frustrações em relação a um desafio que tenho enfrentado com o pacote Google Workspace Business Standard. Especificamente, tenho encontrado dificuldades com a função de sincronização de e-mail ao utilizar o Gmail em conjunto com outras ferramentas colaborativas dentro do pacote Google Workspace. Esse problema parece resultar em consideráveis atrasos nas atualizações entre plataformas, causando, em última análise, interrupções intermitentes em meu fluxo de trabalho.
Observei que os e-mails enviados ou recebidos através do Gmail não estão sendo atualizados em tempo real nas ferramentas associadas, como Google Calendar ou Google Drive. Esse atraso frequentemente leva a sincronizações perdidas de eventos importantes e modificações em documentos. Em meu esforço para solucionar esse problema, examinei minha conexão com a internet e confirmei que as opções de atualização automática em todos os dispositivos estão ativadas. Infelizmente, essas ações não corrigiram o problema.
Dada a importância que este pacote desempenha em minhas operações diárias, eu apreciaria muito qualquer assistência que você possa fornecer para tratar essa situação. Existem problemas conhecidos ou interrupções de serviço em andamento que podem estar contribuindo para esse problema? Alternativamente, poderia haver configurações específicas que preciso modificar para melhorar a eficiência da sincronização?
Aguardo seu conselho e uma rápida resolução para este problema. Obrigado pelo seu apoio e compreensão.
Atenciosamente,
&lt;name&gt;
Email: &lt;email&gt;
Telefone: &lt;tel_num&gt;
Número da Conta: &lt;acc_num&gt;</t>
        </is>
      </c>
      <c r="G124" s="1" t="inlineStr">
        <is>
          <t>Problem</t>
        </is>
      </c>
      <c r="H124" s="1" t="inlineStr">
        <is>
          <t>Caro &lt;name&gt;,
Obrigado por entrar em contato conosco sobre os desafios de sincronização que você está enfrentando com o Google Workspace Business Standard. Reconhecemos a importância de uma sincronização suave para sua produtividade.
No momento, não estamos cientes de nenhum problema maior afetando os serviços do Google Workspace. No entanto, atrasos na sincronização podem ocorrer devido a diferentes configurações. Sugerimos as seguintes medidas para potencialmente retificar o problema:
1. **Limpar Cache e Cookies**: Dados armazenados em cache podem às vezes dificultar os processos de sincronização. Limpar pode ser benéfico.
2. **Verificar Permissões**: Verifique se todos os aplicativos possuem as permissões necessárias para acessar e-mail, calendário e drive.
3. **Reautorizar Conexões**: Vá até as configurações da sua Conta Google e reautorize o acesso a todos os serviços e aplicativos do Google vinculados para renovar as conexões.
4. **Atualizar Aplicativos**: Certifique-se de que todos os aplicativos do Google Workspace estão atualizados para a versão mais recente em seus dispositivos.
5. **Verificar Extensões de Terceiros**: Desative quaisquer extensões ou aplicativos de terceiros que você acha que podem influenciar a sincronização.
Se essas sugestões não resolverem a preocupação, por favor, informe-nos, e podemos investigar mais a fundo ou elevar sua questão.
Agradecemos sua paciência e compreensão. Estamos comprometidos em ajudá-lo até que esse problema seja completamente resolvido.
Atenciosamente,
Equipe de Suporte ao Cliente</t>
        </is>
      </c>
      <c r="I124" s="1" t="inlineStr">
        <is>
          <t>medium</t>
        </is>
      </c>
      <c r="J124" s="1" t="inlineStr">
        <is>
          <t>['Technical Support', 'Product Support', 'Service Disruption', 'System Maintenance', 'Incident Report', 'Problem Resolution', 'Urgent Issue']</t>
        </is>
      </c>
      <c r="K124" s="1" t="inlineStr">
        <is>
          <t>pt</t>
        </is>
      </c>
      <c r="L124" s="1" t="n">
        <v>1668</v>
      </c>
    </row>
    <row r="125" ht="16.5" customHeight="1">
      <c r="A125" s="1" t="n">
        <v>1029</v>
      </c>
      <c r="B125" s="3" t="inlineStr">
        <is>
          <t>Gerenciamento de Incidentes</t>
        </is>
      </c>
      <c r="C125" s="3" t="inlineStr">
        <is>
          <t>Gerenciamento de Problemas</t>
        </is>
      </c>
      <c r="D125" s="1" t="inlineStr">
        <is>
          <t>Problemas técnicos com o Jira Software afetando o fluxo de trabalho da equipe</t>
        </is>
      </c>
      <c r="E125" s="1" t="inlineStr">
        <is>
          <t>Technical Support</t>
        </is>
      </c>
      <c r="F125" s="1" t="inlineStr">
        <is>
          <t>Caro suporte ao cliente de serviços de TI,
Estou escrevendo para relatar problemas significativos que nossa equipe está enfrentando com a versão 8.20 do Jira Software. Essas interrupções estão impactando severamente nosso gerenciamento de projetos e atividades de colaboração da equipe. Notamos frequentes paradas do sistema e problemas persistentes com a criação e rastreamento de tickets, o que atrasou nossos cronogramas de projeto e afetou a produtividade geral.
Nossa equipe depende muito desta plataforma para coordenar tarefas, gerenciar prazos e facilitar a comunicação entre os membros. A inconsistência do serviço está se tornando uma preocupação crescente, pois atrapalha nossa eficiência. Por exemplo, houve um incidente na semana passada em que toda a nossa equipe não conseguiu acessar a visualização do quadro por várias horas, agravando ainda mais nossos desafios de fluxo de trabalho.
Tentamos várias soluções temporárias, como redefinir caches e garantir que não haja problemas de conectividade do nosso lado. Infelizmente, essas medidas não resolveram a situação. Solicitamos sua assistência urgente para identificar e corrigir a causa subjacente desse problema.
Sua equipe poderia, por favor, investigar este assunto e nos fornecer um cronograma de resolução esperado? É crucial para nós que uma solução eficiente seja fornecida rapidamente. Obrigado pela sua atenção e resposta rápida.
Atenciosamente,
&lt;name&gt;
&lt;acc_num&gt;</t>
        </is>
      </c>
      <c r="G125" s="1" t="inlineStr">
        <is>
          <t>Incident</t>
        </is>
      </c>
      <c r="H125" s="1" t="inlineStr">
        <is>
          <t>Caro &lt;name&gt;,
Obrigado por entrar em contato e trazer isso à nossa atenção. Entendemos a natureza crítica dos problemas que sua equipe está enfrentando com a versão 8.20 do Jira Software e o impacto em seu fluxo de trabalho e produtividade.
Nossa equipe técnica está investigando ativamente os problemas relatados, incluindo as frequentes paradas e questões de tickets. Estamos priorizando este caso e pretendemos fornecer a você uma resolução ou uma atualização sobre nosso progresso o mais rápido possível.
Enquanto isso, por favor, certifique-se de que todos os logs e relatórios de erro sejam anotados, pois isso pode ajudar em nosso diagnóstico. Agradecemos sua paciência e cooperação enquanto trabalhamos para resolver essas interrupções.
Atualizaremos você em breve com mais informações sobre nossas descobertas e um cronograma estimado para a resolução.
Obrigado pela sua compreensão.
Atenciosamente,
Equipe de Suporte ao Cliente de Serviços de TI</t>
        </is>
      </c>
      <c r="I125" s="1" t="inlineStr">
        <is>
          <t>medium</t>
        </is>
      </c>
      <c r="J125" s="1" t="inlineStr">
        <is>
          <t>['Technical Support', 'IT Support', 'Service Disruption', 'Software Bug', 'Urgent Issue', 'Problem Resolution']</t>
        </is>
      </c>
      <c r="K125" s="1" t="inlineStr">
        <is>
          <t>pt</t>
        </is>
      </c>
      <c r="L125" s="1" t="n">
        <v>1444</v>
      </c>
    </row>
    <row r="126" ht="16.5" customHeight="1">
      <c r="A126" s="1" t="n">
        <v>1031</v>
      </c>
      <c r="B126" s="3" t="inlineStr">
        <is>
          <t>Solicitação de Serviço</t>
        </is>
      </c>
      <c r="C126" s="3" t="inlineStr">
        <is>
          <t>Gerenciamento de Incidentes</t>
        </is>
      </c>
      <c r="D126" s="1" t="inlineStr">
        <is>
          <t>Preciso de ajuda para configurar a impressora Canon</t>
        </is>
      </c>
      <c r="E126" s="1" t="inlineStr">
        <is>
          <t>Customer Service</t>
        </is>
      </c>
      <c r="F126" s="1" t="inlineStr">
        <is>
          <t>Caro time de suporte da Tech Online Store,
Preciso de assistência para configurar as capacidades de impressão sem fio e móvel da minha impressora Canon PIXMA MG3620. Enfrentei algumas dificuldades ao tentar estabelecer a conectividade sem fio e garantir que funcione sem problemas com meus dispositivos móveis. Agradeceria imensamente qualquer sugestão de aconselhamento ou resolução de problemas que você pudesse oferecer para me ajudar a corrigir esse problema. Orientações detalhadas sobre como configurar corretamente esses recursos seriam extremamente úteis. Se necessário, estou aberto a uma ligação telefônica ou a instruções adicionais.
Por favor, informe-me como podemos lidar de forma eficaz com esta situação. Aguardo sua resposta rápida e agradeço antecipadamente pela sua ajuda.
Atenciosamente,
&lt;name&gt;</t>
        </is>
      </c>
      <c r="G126" s="1" t="inlineStr">
        <is>
          <t>Request</t>
        </is>
      </c>
      <c r="H126" s="1" t="inlineStr">
        <is>
          <t>Caro &lt;name&gt;,
Obrigado por entrar em contato conosco sobre a configuração da sua impressora Canon PIXMA MG3620. Para ajudá-lo a habilitar a impressão sem fio e móvel, siga as seguintes instruções gerais:
1. **Configuração Sem Fio:**
   - Certifique-se de que sua impressora esteja ligada.
   - Pressione o botão Wi-Fi na impressora até que a luz de energia comece a piscar.
   - Pressione e segure o botão Wi-Fi até a luz Wi-Fi piscar em azul, então pressione o botão WPS no seu roteador sem fio.
   - Verifique se as luzes Wi-Fi e de energia estão iluminadas de forma consistente.
2. **Impressão Móvel usando o aplicativo Canon PRINT:**
   - Baixe o aplicativo Canon PRINT no seu dispositivo móvel.
   - Abra o aplicativo e siga as instruções na tela para encontrar sua impressora.
   - Certifique-se de que seu dispositivo móvel esteja conectado à mesma rede que a impressora.
Se você ainda enfrentar dificuldades, não hesite em ligar para nossa linha de suporte no &lt;tel_num&gt; ou responder com informações adicionais para mais ajuda.
Estamos ansiosos para resolver esta questão rapidamente para você.
Cordialmente,
Equipe de Suporte da Tech Online Store</t>
        </is>
      </c>
      <c r="I126" s="1" t="inlineStr">
        <is>
          <t>low</t>
        </is>
      </c>
      <c r="J126" s="1" t="inlineStr">
        <is>
          <t>['Technical Support', 'Product Support', 'Problem Resolution', 'General Inquiry', 'Technical Guidance']</t>
        </is>
      </c>
      <c r="K126" s="1" t="inlineStr">
        <is>
          <t>pt</t>
        </is>
      </c>
      <c r="L126" s="1" t="n">
        <v>818</v>
      </c>
    </row>
    <row r="127" ht="16.5" customHeight="1">
      <c r="A127" s="1" t="n">
        <v>1034</v>
      </c>
      <c r="B127" s="3" t="inlineStr">
        <is>
          <t>Gerenciamento de Incidentes</t>
        </is>
      </c>
      <c r="C127" s="3" t="inlineStr">
        <is>
          <t>Gerenciamento de Disponibilidade</t>
        </is>
      </c>
      <c r="D127" s="1" t="inlineStr">
        <is>
          <t>Assistência Urgente Necessária: Inatividade do Cisco ISR4331</t>
        </is>
      </c>
      <c r="E127" s="1" t="inlineStr">
        <is>
          <t>Technical Support</t>
        </is>
      </c>
      <c r="F127" s="1" t="inlineStr">
        <is>
          <t>Caro Time de Suporte ao Cliente,
Espero que esta mensagem os encontre bem. Estou entrando em contato para relatar um problema urgente com o Roteador Cisco ISR4331, que recentemente sofreu uma inatividade repentina, impactando significativamente nosso desempenho de rede no escritório. Essa interrupção inesperada disruptou nossas operações do dia a dia, e precisamos de assistência técnica imediata para mitigar esses problemas.
O roteador é crítico para nossa infraestrutura de rede e qualquer inatividade prolongada pode comprometer nossos processos de negócios principais. Tentamos diagnósticos iniciais, mas não conseguimos resolver o problema sozinhos. Abaixo, incluí alguns detalhes pertinentes para sua referência:
- Modelo do Produto: Roteador Cisco ISR4331
- Data/Hora do Problema: [Por Favor, Insira Data/Hora]
Pedimos gentilmente que um especialista técnico seja designado para este assunto o mais rápido possível para nos ajudar a solucionar e resolver o problema. Por favor, nos avise se mais detalhes forem necessários de nossa parte ou se devemos seguir algum passo preliminar antes que sua equipe entre em contato.
Muito obrigado pela sua atenção rápida a este assunto. Aguardamos ansiosamente seu retorno.
Atenciosamente,
&lt;name&gt;
&lt;tel_num&gt;
&lt;acc_num&gt;</t>
        </is>
      </c>
      <c r="G127" s="1" t="inlineStr">
        <is>
          <t>Incident</t>
        </is>
      </c>
      <c r="H127" s="1" t="inlineStr">
        <is>
          <t>Caro &lt;name&gt;,
Obrigado por entrar em contato conosco sobre o problema urgente com seu Roteador Cisco ISR4331. Entendemos a seriedade da situação e o impacto em suas operações. Nossa equipe técnica já está sendo informada e entrará em contato com você em breve para fornecer a assistência necessária. Enquanto isso, por favor, mantenha todos os equipamentos envolvidos ligados, pois isso pode ajudar a acelerar o processo de solução de problemas. Caso precise entrar em contato conosco novamente, gentilmente tenha o número do caso em mãos, que você receberá em nossa comunicação de acompanhamento. Agradecemos sua paciência e cooperação enquanto trabalhamos para resolver este assunto rapidamente.
Atenciosamente,
Equipe do Service Desk</t>
        </is>
      </c>
      <c r="I127" s="1" t="inlineStr">
        <is>
          <t>high</t>
        </is>
      </c>
      <c r="J127" s="1" t="inlineStr">
        <is>
          <t>['Urgent Issue', 'Technical Support', 'Network Issue', 'Service Disruption', 'Problem Resolution', 'Service Recovery']</t>
        </is>
      </c>
      <c r="K127" s="1" t="inlineStr">
        <is>
          <t>pt</t>
        </is>
      </c>
      <c r="L127" s="1" t="n">
        <v>1272</v>
      </c>
    </row>
    <row r="128" ht="16.5" customHeight="1">
      <c r="A128" s="1" t="n">
        <v>1062</v>
      </c>
      <c r="B128" s="3" t="inlineStr">
        <is>
          <t>Gerenciamento de Incidentes</t>
        </is>
      </c>
      <c r="C128" s="3" t="inlineStr">
        <is>
          <t>Gerenciamento de Problemas</t>
        </is>
      </c>
      <c r="D128" s="1" t="inlineStr">
        <is>
          <t>Problema de Não Salvamento de Planilhas do Excel no Office 365</t>
        </is>
      </c>
      <c r="E128" s="1" t="inlineStr">
        <is>
          <t>IT Support</t>
        </is>
      </c>
      <c r="F128" s="1" t="inlineStr">
        <is>
          <t>Olá, 
Estou enfrentando problemas com as planilhas do Excel que não estão salvando corretamente no Office 365. Parece que pode haver um problema de sincronização com o armazenamento na nuvem. Sua equipe poderia ajudar a resolver esse problema? Agradeço pela sua resposta rápida. Obrigado.
Atenciosamente,
&lt;name&gt;
&lt;name&gt;, &lt;tel_num&gt;, &lt;acc_num&gt;</t>
        </is>
      </c>
      <c r="G128" s="1" t="inlineStr">
        <is>
          <t>Incident</t>
        </is>
      </c>
      <c r="H128" s="1" t="inlineStr">
        <is>
          <t>Olá &lt;name&gt;,
Obrigado por entrar em contato conosco sobre seu problema com as planilhas do Excel não salvando no Office 365. Por favor, tente as seguintes etapas para resolver o problema:
1. Verifique sua conexão com a internet para garantir que está estável.
2. Certifique-se de que você está conectado à conta correta do Office 365.
3. Reinicie o Excel e tente salvar seu documento novamente.
4. Limpe o Cache de Documentos do Office.
Se o problema persistir, entre em contato conosco novamente para que possamos ajudá-lo mais.
Atenciosamente,
Equipe de Atendimento ao Cliente</t>
        </is>
      </c>
      <c r="I128" s="1" t="inlineStr">
        <is>
          <t>medium</t>
        </is>
      </c>
      <c r="J128" s="1" t="inlineStr">
        <is>
          <t>['Technical Support', 'Software Bug', 'Problem Resolution', 'General Inquiry', 'Customer Service']</t>
        </is>
      </c>
      <c r="K128" s="1" t="inlineStr">
        <is>
          <t>pt</t>
        </is>
      </c>
      <c r="L128" s="1" t="n">
        <v>342</v>
      </c>
    </row>
    <row r="129" ht="16.5" customHeight="1">
      <c r="A129" s="1" t="n">
        <v>1067</v>
      </c>
      <c r="B129" s="3" t="inlineStr">
        <is>
          <t>Solicitação de Serviço</t>
        </is>
      </c>
      <c r="C129" s="3" t="inlineStr">
        <is>
          <t>Gerenciamento Financeiro</t>
        </is>
      </c>
      <c r="D129" s="1" t="inlineStr">
        <is>
          <t>Solicitação de Orientação sobre Otimização de Custos da AWS</t>
        </is>
      </c>
      <c r="E129" s="1" t="inlineStr">
        <is>
          <t>Customer Service</t>
        </is>
      </c>
      <c r="F129" s="1" t="inlineStr">
        <is>
          <t>Caro Time de Suporte da Consultoria de TI,
Espero que esta mensagem o encontre bem. Estou entrando em contato porque estou enfrentando desafios para otimizar os custos de vários serviços em nuvem da AWS. Preciso de orientação detalhada e solução de problemas em relação a essas questões. Especificamente, estou tendo dificuldades com o Serviço de Gerenciamento da AWS.
Agradeceria muito sua assistência especializada na identificação de áreas para redução de custos e melhoria de eficiência. Por favor, deixe-me saber sua disponibilidade para uma sessão de consulta na sua primeira conveniência.
Obrigado pelo seu suporte.
Atenciosamente,
&lt;name&gt; 
&lt;name&gt;</t>
        </is>
      </c>
      <c r="G129" s="1" t="inlineStr">
        <is>
          <t>Incident</t>
        </is>
      </c>
      <c r="H129" s="1" t="inlineStr">
        <is>
          <t>Caro &lt;name&gt;,
Obrigado por entrar em contato conosco sobre a otimização de custos da AWS. Estamos aqui para ajudá-lo com seus desafios no Serviço de Gerenciamento da AWS e identificar áreas onde você pode reduzir custos e melhorar a eficiência.
Para prosseguir, por favor, informe-nos suas datas e horários preferidos para uma sessão de consulta. Estamos comprometidos em proporcionar a você a orientação detalhada e a solução de problemas que você precisa.
Aguardamos ansiosamente para ajudá-lo mais.
Atenciosamente,
Time de Suporte da Consultoria de TI</t>
        </is>
      </c>
      <c r="I129" s="1" t="inlineStr">
        <is>
          <t>medium</t>
        </is>
      </c>
      <c r="J129" s="1" t="inlineStr">
        <is>
          <t>['Technical Support', 'IT Support', 'Performance Tuning', 'Problem Resolution', 'Service Notification', 'General Inquiry']</t>
        </is>
      </c>
      <c r="K129" s="1" t="inlineStr">
        <is>
          <t>pt</t>
        </is>
      </c>
      <c r="L129" s="1" t="n">
        <v>657</v>
      </c>
    </row>
    <row r="130" ht="16.5" customHeight="1">
      <c r="A130" s="1" t="n">
        <v>1068</v>
      </c>
      <c r="B130" s="3" t="inlineStr">
        <is>
          <t>Gerenciamento de Incidentes</t>
        </is>
      </c>
      <c r="C130" s="3" t="inlineStr">
        <is>
          <t>Gerenciamento de Ativos de TI</t>
        </is>
      </c>
      <c r="D130" s="1" t="inlineStr">
        <is>
          <t>Suporte Urgente Necessário</t>
        </is>
      </c>
      <c r="E130" s="1" t="inlineStr">
        <is>
          <t>Technical Support</t>
        </is>
      </c>
      <c r="F130" s="1" t="inlineStr">
        <is>
          <t>Caro Suporte ao Cliente, O touchscreen do meu Microsoft Surface Pro 7 não está respondendo e o dispositivo está travando com frequência. Preciso de suporte técnico imediato para resolver esses problemas. Meu nome é &lt;name&gt;, o número de contato é &lt;tel_num&gt;. Obrigado. Atenciosamente, &lt;name&gt;.</t>
        </is>
      </c>
      <c r="G130" s="1" t="inlineStr">
        <is>
          <t>Problem</t>
        </is>
      </c>
      <c r="H130" s="1" t="inlineStr">
        <is>
          <t>Caro &lt;name&gt;,
Obrigado por entrar em contato. Entendemos a urgência do seu problema. Por favor, reinicie seu Surface Pro 7 e atualize seus drivers. Se o problema persistir, entre em contato com nosso suporte técnico pelo &lt;tel_num&gt;. Um especialista irá ajudá-lo rapidamente.
Atenciosamente,
Suporte ao Cliente</t>
        </is>
      </c>
      <c r="I130" s="1" t="inlineStr">
        <is>
          <t>high</t>
        </is>
      </c>
      <c r="J130" s="1" t="inlineStr">
        <is>
          <t>['Technical Support', 'Urgent Issue', 'Hardware Failure', 'Problem Resolution', 'Product Support']</t>
        </is>
      </c>
      <c r="K130" s="1" t="inlineStr">
        <is>
          <t>pt</t>
        </is>
      </c>
      <c r="L130" s="1" t="n">
        <v>289</v>
      </c>
    </row>
    <row r="131" ht="16.5" customHeight="1">
      <c r="A131" s="1" t="n">
        <v>1080</v>
      </c>
      <c r="B131" s="3" t="inlineStr">
        <is>
          <t>Gerenciamento de Incidentes</t>
        </is>
      </c>
      <c r="C131" s="3" t="inlineStr">
        <is>
          <t>Gerenciamento de Disponibilidade</t>
        </is>
      </c>
      <c r="D131" s="1" t="inlineStr">
        <is>
          <t>Urgente: Crashes frequentes do servidor PostgreSQL</t>
        </is>
      </c>
      <c r="E131" s="1" t="inlineStr">
        <is>
          <t>Technical Support</t>
        </is>
      </c>
      <c r="F131" s="1" t="inlineStr">
        <is>
          <t>Caro Suporte ao Cliente,
Estou escrevendo para expressar preocupações urgentes em relação ao nosso servidor de banco de dados PostgreSQL 14.3, que tem travado com frequência, causando grandes interrupções em nossos serviços. Este problema impacta significativamente nossas operações e necessita de atenção imediata. Você poderia, por favor, fornecer etapas de solução de problemas ou uma possível resolução para restaurar nossos sistemas? Sua assistência rápida é muito apreciada para nos ajudar a retomar a funcionalidade normal sem mais paralisações. Obrigado por abordar esse problema crítico urgentemente.
Atenciosamente,
&lt;name&gt;
Referência da Conta: &lt;acc_num&gt;</t>
        </is>
      </c>
      <c r="G131" s="1" t="inlineStr">
        <is>
          <t>Problem</t>
        </is>
      </c>
      <c r="H131" s="1" t="inlineStr">
        <is>
          <t>Caro &lt;name&gt;,
Obrigado por entrar em contato sobre os problemas do servidor PostgreSQL. Entendemos a urgência e estamos aqui para ajudar. Por favor, siga estas etapas iniciais de solução de problemas:
1. **Revisão de logs**: Verifique os logs do servidor localizados em `/var/log/postgresql/` em busca de mensagens de erro que possam indicar o problema.
2. **Uso de recursos**: Certifique-se de que os recursos do servidor (CPU, RAM) não estão no máximo. Use ferramentas como `top` ou `htop` para monitorar o uso de recursos.
3. **Verificação de configuração**: Revise `postgresql.conf` para garantir que configurações como `shared_buffers` e `max_connections` estejam configuradas adequadamente.
4. **Espaço em disco**: Verifique se há espaço suficiente em disco em seu servidor, pois um espaço insuficiente pode causar travamentos.
5. **Atualização**: Certifique-se de que seu servidor PostgreSQL esteja atualizado com os últimos patches e atualizações de versão menor.
Se essas etapas não resolverem o problema, forneça trechos de log detalhados ou mensagens de erro para análise adicional. Tenha certeza de que estamos comprometidos em resolver isso prontamente.
Atenciosamente,
&lt;Service Desk Agent Name&gt;
Suporte ao Cliente</t>
        </is>
      </c>
      <c r="I131" s="1" t="inlineStr">
        <is>
          <t>high</t>
        </is>
      </c>
      <c r="J131" s="1" t="inlineStr">
        <is>
          <t>['Technical Support', 'Urgent Issue', 'System Crash', 'Service Disruption', 'Problem Resolution', 'Database Support', 'Technical Guidance']</t>
        </is>
      </c>
      <c r="K131" s="1" t="inlineStr">
        <is>
          <t>pt</t>
        </is>
      </c>
      <c r="L131" s="1" t="n">
        <v>666</v>
      </c>
    </row>
    <row r="132" ht="16.5" customHeight="1">
      <c r="A132" s="1" t="n">
        <v>1107</v>
      </c>
      <c r="B132" s="3" t="inlineStr">
        <is>
          <t>Gerenciamento de Incidentes</t>
        </is>
      </c>
      <c r="C132" s="3" t="inlineStr">
        <is>
          <t>Gerenciamento de Mudanças</t>
        </is>
      </c>
      <c r="D132" s="1" t="inlineStr">
        <is>
          <t>Assistência Necessária: Problema com a Instalação do Adobe Photoshop 2024</t>
        </is>
      </c>
      <c r="E132" s="1" t="inlineStr">
        <is>
          <t>Product Support</t>
        </is>
      </c>
      <c r="F132" s="1" t="inlineStr">
        <is>
          <t>Caro Suporte ao Cliente,
Estou escrevendo para solicitar assistência em relação a um problema que estou enfrentando com a instalação do Adobe Photoshop 2024. Comprei o software para o meu &lt;acc_num&gt; e tentei instalá-lo no meu computador, mas, infelizmente, estou encontrando uma mensagem de erro que diz 'instalação incompleta'. Isso persiste apesar de várias tentativas da minha parte para resolver o problema.
Verifiquei as requisitos de sistema e confirmei que meu sistema atende às especificações necessárias. Além disso, segui todas as etapas descritas no guia de instalação fornecido. Também tentei uma instalação limpa desinstalando versões anteriores, mas o problema continua sem solução.
Você poderia, por favor, fornecer orientações sobre como corrigir esse problema? Se houver etapas ou procedimentos de solução de problemas adicionais que eu deva seguir, por favor, me avise. Estou ansioso para usar o produto e agradeceria sua rápida assistência para facilitar uma instalação bem-sucedida.
Obrigado pelo seu apoio. Por favor, entre em contato comigo pelo &lt;tel_num&gt; para qualquer informação adicional que você possa precisar.
Atenciosamente,
&lt;name&gt;</t>
        </is>
      </c>
      <c r="G132" s="1" t="inlineStr">
        <is>
          <t>Incident</t>
        </is>
      </c>
      <c r="H132" s="1" t="inlineStr">
        <is>
          <t>Prezado &lt;name&gt;,
Obrigado por entrar em contato sobre o problema de instalação com o Adobe Photoshop 2024. Entendo como é importante ter o software funcionando corretamente. Para resolver o erro 'instalação incompleta', por favor, tente os seguintes passos:
1. Certifique-se de que sua conexão de internet esteja estável durante todo o processo de instalação.
2. Desative temporariamente qualquer antivírus ou firewall que possa estar bloqueando a instalação.
3. Use a Ferramenta de Limpeza do Creative Cloud da Adobe para garantir que todas as instalações anteriores do Photoshop sejam completamente removidas antes de tentar novamente.
4. Tente instalar o software no Modo Administrador.
5. Limpe os arquivos temporários do seu sistema que podem interferir no processo de instalação.
Se esses passos não resolverem o problema, por favor, responda a este e-mail ou ligue para a linha de suporte dedicada da Adobe no número fornecido na documentação de compra.
Esperamos que isso ajude e você consiga aproveitar o Photoshop 2024 em breve. Avise-nos se precisar de mais assistência.
Atenciosamente,
Equipe de Suporte ao Cliente</t>
        </is>
      </c>
      <c r="I132" s="1" t="inlineStr">
        <is>
          <t>medium</t>
        </is>
      </c>
      <c r="J132" s="1" t="inlineStr">
        <is>
          <t>['Technical Support', 'Product Support', 'Software Bug', 'Problem Resolution', 'General Inquiry', 'Technical Guidance']</t>
        </is>
      </c>
      <c r="K132" s="1" t="inlineStr">
        <is>
          <t>pt</t>
        </is>
      </c>
      <c r="L132" s="1" t="n">
        <v>1164</v>
      </c>
    </row>
    <row r="133" ht="16.5" customHeight="1">
      <c r="A133" s="1" t="n">
        <v>1128</v>
      </c>
      <c r="B133" s="3" t="inlineStr">
        <is>
          <t>Solicitação de Serviço</t>
        </is>
      </c>
      <c r="C133" s="3" t="inlineStr">
        <is>
          <t>Gerenciamento de Ativos de TI</t>
        </is>
      </c>
      <c r="D133" s="1" t="inlineStr">
        <is>
          <t>Solicitação para Atualizar Informações de Compra - MacBook Air M1</t>
        </is>
      </c>
      <c r="E133" s="1" t="inlineStr">
        <is>
          <t>Product Support</t>
        </is>
      </c>
      <c r="F133" s="1" t="inlineStr">
        <is>
          <t>Caro Suporte ao Cliente da Tech Online Store,
Espero que esta mensagem o encontre bem. Estou escrevendo para solicitar uma alteração nas informações relacionadas a uma compra recente que fiz através da sua loja. Recentemente, encomendei um MacBook Air M1 e gostaria de atualizar o endereço de entrega associado a esta compra. O endereço atual registrado não está mais correto devido a uma mudança recente.
Você poderia atualizar o endereço de entrega para o seguinte: &lt;new_address&gt;? Meu número do pedido é &lt;order_num&gt;. Se alguma informação adicional for necessária para processar esta solicitação, por favor, me avise assim que possível.
Obrigado pela sua assistência.
Atenciosamente,
&lt;name&gt;
&lt;tel_num&gt;
&lt;email&gt;</t>
        </is>
      </c>
      <c r="G133" s="1" t="inlineStr">
        <is>
          <t>Change</t>
        </is>
      </c>
      <c r="H133" s="1" t="inlineStr">
        <is>
          <t>Assunto: Re: Solicitação para Atualizar Informações de Compra - MacBook Air M1
Caro &lt;name&gt;,
Obrigado por nos contatar. Recebemos sua solicitação para atualizar o endereço de entrega do seu pedido de MacBook Air M1. Tenha a certeza de que processaremos essa alteração prontamente.
Se houver mais detalhes que precisamos, entraremos em contato usando as informações fornecidas. Por favor, certifique-se de que &lt;new_address&gt;, &lt;order_num&gt;, e seus dados de contato estão corretos.
Obrigado por escolher a Tech Online Store. Se você tiver mais perguntas, sinta-se à vontade para perguntar.
Atenciosamente,
Equipe de Suporte ao Cliente da Tech Online Store</t>
        </is>
      </c>
      <c r="I133" s="1" t="inlineStr">
        <is>
          <t>medium</t>
        </is>
      </c>
      <c r="J133" s="1" t="inlineStr">
        <is>
          <t>['Customer Service', 'Order Issue', 'Product Support', 'Returns and Exchanges']</t>
        </is>
      </c>
      <c r="K133" s="1" t="inlineStr">
        <is>
          <t>pt</t>
        </is>
      </c>
      <c r="L133" s="1" t="n">
        <v>714</v>
      </c>
    </row>
    <row r="134" ht="16.5" customHeight="1">
      <c r="A134" s="1" t="n">
        <v>1129</v>
      </c>
      <c r="B134" s="3" t="inlineStr">
        <is>
          <t>Gerenciamento de Incidentes</t>
        </is>
      </c>
      <c r="C134" s="3" t="inlineStr">
        <is>
          <t>Gerenciamento de Disponibilidade</t>
        </is>
      </c>
      <c r="D134" s="1" t="inlineStr">
        <is>
          <t>Urgente: Ajuda Necessária para Recuperação de Dados do MySQL 8.0.30</t>
        </is>
      </c>
      <c r="E134" s="1" t="inlineStr">
        <is>
          <t>Technical Support</t>
        </is>
      </c>
      <c r="F134" s="1" t="inlineStr">
        <is>
          <t>Olá, encontramos uma perda severa de dados no MySQL 8.0.30. Suporte técnico imediato é essencial para recuperar os dados afetados rapidamente. Obrigado pela sua atenção urgente.</t>
        </is>
      </c>
      <c r="G134" s="1" t="inlineStr">
        <is>
          <t>Incident</t>
        </is>
      </c>
      <c r="H134" s="1" t="inlineStr">
        <is>
          <t>Olá, obrigado por entrar em contato. Por favor, certifique-se de que seus backups do MySQL estão atualizados. Para recuperação imediata de dados do MySQL, execute ferramentas de recuperação ou consulte um especialista em MySQL para assistência personalizada. Se o problema persistir, considere restaurar a partir do seu último backup conhecido como bom. Sinta-se à vontade para nos contatar para mais suporte.</t>
        </is>
      </c>
      <c r="I134" s="1" t="inlineStr">
        <is>
          <t>high</t>
        </is>
      </c>
      <c r="J134" s="1" t="inlineStr">
        <is>
          <t>['Data Breach', 'Backup Restore', 'Technical Support', 'Urgent Issue', 'Problem Resolution']</t>
        </is>
      </c>
      <c r="K134" s="1" t="inlineStr">
        <is>
          <t>pt</t>
        </is>
      </c>
      <c r="L134" s="1" t="n">
        <v>177</v>
      </c>
    </row>
    <row r="135" ht="16.5" customHeight="1">
      <c r="A135" s="1" t="n">
        <v>1141</v>
      </c>
      <c r="B135" s="3" t="inlineStr">
        <is>
          <t>Gerenciamento de Incidentes</t>
        </is>
      </c>
      <c r="C135" s="3" t="inlineStr">
        <is>
          <t>Gerenciamento de Problemas</t>
        </is>
      </c>
      <c r="D135" s="1" t="inlineStr">
        <is>
          <t>Assistência Necessária Para Problema de Timeout do Jira</t>
        </is>
      </c>
      <c r="E135" s="1" t="inlineStr">
        <is>
          <t>Product Support</t>
        </is>
      </c>
      <c r="F135" s="1" t="inlineStr">
        <is>
          <t>Caro Time de Suporte de Serviços de TI,
Estou escrevendo para solicitar assistência com um problema recorrente que estamos enfrentando na versão 8.20 do Jira Software. Ocorrências frequentes de timeout acontecem ao gerenciar tarefas no backlog dentro do nosso projeto. Este bug interrompe significativamente nosso fluxo de trabalho e os cronogramas do projeto. Tentamos uma solução básica de problemas sem sucesso. Poderia investigar e fornecer uma solução rápida? Se necessário, posso fornecer detalhes adicionais ou arquivos de log.
Obrigado pela sua atenção urgente a este assunto.
Atenciosamente,
&lt;name&gt;
Gerente de Projeto
&lt;company_name&gt;
&lt;tel_num&gt;
&lt;email&gt;</t>
        </is>
      </c>
      <c r="G135" s="1" t="inlineStr">
        <is>
          <t>Incident</t>
        </is>
      </c>
      <c r="H135" s="1" t="inlineStr">
        <is>
          <t>Assunto: Re: Assistência Necessária Para Problema de Timeout do Jira
Caro &lt;name&gt;,
Obrigado por entrar em contato sobre o problema de timeout do Jira. Entendemos como isso pode impactar seu fluxo de trabalho e os cronogramas do projeto. Nossa equipe irá investigar este assunto prontamente. Por favor, compartilhe quaisquer detalhes adicionais ou arquivos de log que possam nos ajudar a diagnosticar o problema de forma mais eficiente. Estamos comprometidos em encontrar uma resolução rápida para minimizar a interrupção nas atividades da sua equipe.
Atenciosamente,
Equipe de Suporte de Serviços de TI</t>
        </is>
      </c>
      <c r="I135" s="1" t="inlineStr">
        <is>
          <t>medium</t>
        </is>
      </c>
      <c r="J135" s="1" t="inlineStr">
        <is>
          <t>['Technical Support', 'Software Bug', 'Problem Resolution', 'Urgent Issue', 'IT Support', 'Service Disruption']</t>
        </is>
      </c>
      <c r="K135" s="1" t="inlineStr">
        <is>
          <t>pt</t>
        </is>
      </c>
      <c r="L135" s="1" t="n">
        <v>663</v>
      </c>
    </row>
    <row r="136" ht="16.5" customHeight="1">
      <c r="A136" s="1" t="n">
        <v>1148</v>
      </c>
      <c r="B136" s="3" t="inlineStr">
        <is>
          <t>Gerenciamento de Incidentes</t>
        </is>
      </c>
      <c r="C136" s="3" t="inlineStr">
        <is>
          <t>Gerenciamento de Problemas</t>
        </is>
      </c>
      <c r="D136" s="1" t="inlineStr">
        <is>
          <t>Assistência Necessária para Problema de Conectividade WiFi</t>
        </is>
      </c>
      <c r="E136" s="1" t="inlineStr">
        <is>
          <t>Customer Service</t>
        </is>
      </c>
      <c r="F136" s="1" t="inlineStr">
        <is>
          <t>O cliente &lt;name&gt; relata problemas intermitentes de conectividade WiFi com o LG OLED C1, afetando os serviços de streaming, e solicita suporte para uma resolução rápida. Contato disponível em &lt;tel_num&gt;.</t>
        </is>
      </c>
      <c r="G136" s="1" t="inlineStr">
        <is>
          <t>Incident</t>
        </is>
      </c>
      <c r="H136" s="1" t="inlineStr">
        <is>
          <t>Assunto: Re: Assistência Necessária para Problema de Conectividade WiFi
Caro &lt;name&gt;,
Obrigado por entrar em contato. Para resolver o problema de conectividade WiFi com seu LG OLED C1, por favor, tente o seguinte: reinicie seu roteador, certifique-se de que o firmware da TV esteja atualizado e tente conectar-se a uma rede diferente para diagnosticar o problema. Se essas etapas não ajudarem, sinta-se à vontade para entrar em contato diretamente com nossa equipe de suporte para mais assistência.
Atenciosamente,
[Your Name]
[Your Company]</t>
        </is>
      </c>
      <c r="I136" s="1" t="inlineStr">
        <is>
          <t>low</t>
        </is>
      </c>
      <c r="J136" s="1" t="inlineStr">
        <is>
          <t>['Technical Support', 'Product Support', 'Network Issue', 'Problem Resolution', 'Service Notification']</t>
        </is>
      </c>
      <c r="K136" s="1" t="inlineStr">
        <is>
          <t>pt</t>
        </is>
      </c>
      <c r="L136" s="1" t="n">
        <v>201</v>
      </c>
    </row>
    <row r="137" ht="16.5" customHeight="1">
      <c r="A137" s="1" t="n">
        <v>1150</v>
      </c>
      <c r="B137" s="3" t="inlineStr">
        <is>
          <t>Gerenciamento de Incidentes</t>
        </is>
      </c>
      <c r="C137" s="3" t="inlineStr">
        <is>
          <t>Gerenciamento de Disponibilidade</t>
        </is>
      </c>
      <c r="D137" s="1" t="inlineStr">
        <is>
          <t>Erro Crítico no App React Desconectando a UI</t>
        </is>
      </c>
      <c r="E137" s="1" t="inlineStr">
        <is>
          <t>Technical Support</t>
        </is>
      </c>
      <c r="F137" s="1" t="inlineStr">
        <is>
          <t>Prezado Time de Suporte de Serviços de TI,
Espero que esta mensagem o encontre bem. Estou entrando em contato para relatar um erro crítico dentro do nosso Serviço de Desenvolvimento de Aplicativos React em JavaScript, que está impactando significativamente o ambiente de produção. Nossos usuários estão enfrentando uma ampla interrupção na acessibilidade da interface do usuário, o que é prejudicial para nossas operações.
O problema surgiu ontem, e notamos que a questão afeta várias funcionalidades-chave do nosso aplicativo, perturbando drasticamente a experiência do usuário. Entendemos que este assunto requer atenção imediata, dada sua gravidade, pois compromete não apenas a usabilidade do nosso aplicativo, mas também a qualidade do nosso serviço e a confiança do cliente.
Você poderia, por favor, priorizar esta questão e nos fornecer um cronograma estimado para a resolução? Além disso, qualquer medida provisória que pudéssemos implementar para mitigar essa interrupção seria muito apreciada. Por favor, me avise se você precisar de mais detalhes, logs ou credenciais de acesso para facilitar uma análise rápida.
Obrigado pela sua atenção rápida a este assunto urgente. Aguardamos sua rápida resolução.
Atenciosamente,
&lt;name&gt;
Gerente de Projetos
Empresa XY Tech Solutions
&lt;headquarters_address&gt;
Email: &lt;email&gt;@xytechsolutions.com
Tel: &lt;tel_num&gt;</t>
        </is>
      </c>
      <c r="G137" s="1" t="inlineStr">
        <is>
          <t>Incident</t>
        </is>
      </c>
      <c r="H137" s="1" t="inlineStr">
        <is>
          <t>Prezado &lt;name&gt;,
Obrigado por entrar em contato e fornecer detalhes sobre o erro crítico que impacta seu aplicativo React. Entendemos a seriedade da situação e priorizamos sua questão para investigação imediata.
Nossa equipe de desenvolvimento começará a analisar o problema imediatamente. Fornecerei um cronograma estimado para a resolução assim que pudermos determinar a causa raiz. Enquanto isso, recomendamos implementar uma mensagem no sistema para informar os usuários sobre interrupções temporárias, garantindo que eles estejam cientes enquanto trabalhamos na resolução.
Por favor, compartilhe quaisquer logs ou mensagens de erro específicas que possam nos ajudar a agilizar o processo de solução de problemas. Se precisar discutir medidas provisórias com mais detalhes, não hesite em entrar em contato.
Agradecemos sua paciência e confiança em nós para corrigir este problema. Tenha certeza de que estamos comprometidos em resolvê-lo prontamente.
Atenciosamente,
Time de Suporte de Serviços de TI</t>
        </is>
      </c>
      <c r="I137" s="1" t="inlineStr">
        <is>
          <t>high</t>
        </is>
      </c>
      <c r="J137" s="1" t="inlineStr">
        <is>
          <t>['Critical Failure', 'Technical Support', 'Software Bug', 'Incident Report', 'Urgent Issue', 'Service Disruption', 'Problem Resolution']</t>
        </is>
      </c>
      <c r="K137" s="1" t="inlineStr">
        <is>
          <t>pt</t>
        </is>
      </c>
      <c r="L137" s="1" t="n">
        <v>1361</v>
      </c>
    </row>
    <row r="138" ht="16.5" customHeight="1">
      <c r="A138" s="1" t="n">
        <v>1155</v>
      </c>
      <c r="B138" s="3" t="inlineStr">
        <is>
          <t>Solicitação de Serviço</t>
        </is>
      </c>
      <c r="C138" s="3" t="inlineStr">
        <is>
          <t>Gerenciamento de Mudanças</t>
        </is>
      </c>
      <c r="D138" s="1" t="inlineStr">
        <is>
          <t>Assistência Necessária para o Uso de Canais Slack</t>
        </is>
      </c>
      <c r="E138" s="1" t="inlineStr">
        <is>
          <t>Sales and Pre-Sales</t>
        </is>
      </c>
      <c r="F138" s="1" t="inlineStr">
        <is>
          <t>Caro Suporte ao Cliente da Tech Online Store,
Espero que esta mensagem o encontre bem. Estou entrando em contato para perguntar sobre como habilitar e utilizar efetivamente os canais Slack para facilitar a colaboração com clientes potenciais durante nossas atividades de engajamento pré-venda. Atualmente, estamos usando a versão 4.23.0 do Slack e temos como objetivo simplificar a comunicação e melhorar a produtividade em nossa equipe.
Você poderia nos orientar sobre as melhores práticas para configurar e gerenciar canais especificamente para esse propósito? Além disso, qualquer insight sobre como integrar isso com nossos processos de vendas atuais seria muito benéfico.
Agradeço antecipadamente pela sua assistência.
Atenciosamente,
&lt;name&gt;
&lt;acc_num&gt;
&lt;tel_num&gt;</t>
        </is>
      </c>
      <c r="G138" s="1" t="inlineStr">
        <is>
          <t>Incident</t>
        </is>
      </c>
      <c r="H138" s="1" t="inlineStr">
        <is>
          <t>Assunto: Assistência com Canais Slack
Caro &lt;name&gt;,
Obrigado por entrar em contato conosco no Suporte ao Cliente da Tech Online Store. Para habilitar e usar efetivamente os canais Slack para engajamentos pré-venda, siga estes passos:
1. **Criar Canais**: Configure canais individuais para cada cliente ou projeto para centralizar a comunicação. Use convenções de nomenclatura claras para facilitar a navegação.
2. **Gerenciar Permissões**: Decida quem pode acessar cada canal para manter a confidencialidade. Use canais privados para discussões sensíveis.
3. **Utilizar Aplicativos e Integrações**: Integre ferramentas como aplicativos de CRM para acompanhar as interações. Isso pode simplificar o compartilhamento de informações e atualizações.
4. **Fixar Mensagens Importantes**: Fixe informações chave nos canais para fácil referência.
5. **Usar Tópicos**: Incentive o uso de tópicos para discussões detalhadas para manter os canais organizados.
6. **Agendar Check-ins Regulares**: Use lembretes e integrações de calendário para agendar reuniões e garantir o alinhamento da equipe.
Além disso, considere automatizar tarefas rotineiras com bots do Slack para conectar seus processos de vendas de forma integrada aos seus esforços de comunicação.
Deixe-nos saber se você precisar de mais assistência.
Atenciosamente,
Equipe de Suporte da Tech Online Store</t>
        </is>
      </c>
      <c r="I138" s="1" t="inlineStr">
        <is>
          <t>low</t>
        </is>
      </c>
      <c r="J138" s="1" t="inlineStr">
        <is>
          <t>['Customer Service', 'Product Support', 'Technical Guidance', 'Sales Inquiry', 'General Inquiry', 'Service Notification']</t>
        </is>
      </c>
      <c r="K138" s="1" t="inlineStr">
        <is>
          <t>pt</t>
        </is>
      </c>
      <c r="L138" s="1" t="n">
        <v>771</v>
      </c>
    </row>
    <row r="139" ht="16.5" customHeight="1">
      <c r="A139" s="1" t="n">
        <v>1161</v>
      </c>
      <c r="B139" s="3" t="inlineStr">
        <is>
          <t>Gerenciamento de Incidentes</t>
        </is>
      </c>
      <c r="C139" s="3" t="inlineStr">
        <is>
          <t>Gerenciamento de Ativos de TI</t>
        </is>
      </c>
      <c r="D139" s="1" t="inlineStr">
        <is>
          <t>Tela Sensível ao Toque Não Responsiva no Dispositivo</t>
        </is>
      </c>
      <c r="E139" s="1" t="inlineStr">
        <is>
          <t>Technical Support</t>
        </is>
      </c>
      <c r="F139" s="1" t="inlineStr">
        <is>
          <t>Olá, estou enfrentando problemas com a funcionalidade da tela sensível ao toque no meu Microsoft Surface Pro 7. Ela não responde, tornando a navegação extremamente difícil. Você pode me ajudar com a solução de problemas ou fornecer opções de reparo? Obrigado, &lt;name&gt;.</t>
        </is>
      </c>
      <c r="G139" s="1" t="inlineStr">
        <is>
          <t>Problem</t>
        </is>
      </c>
      <c r="H139" s="1" t="inlineStr">
        <is>
          <t>Olá &lt;name&gt;, lamento saber sobre o problema com a tela sensível ao toque do seu Microsoft Surface Pro 7. Por favor, tente reiniciar o seu dispositivo e certifique-se de que todos os drivers e atualizações do sistema estão atualizados. Você também pode tentar um desligamento de dois botões: pressione e segure os botões de energia e volume para cima por cerca de 15 segundos, depois solte ambos. Se o problema persistir, considere entrar em contato com o suporte da Microsoft ou visitar um centro de reparo certificado para mais assistência. Atenciosamente, [Seu Service Desk]</t>
        </is>
      </c>
      <c r="I139" s="1" t="inlineStr">
        <is>
          <t>medium</t>
        </is>
      </c>
      <c r="J139" s="1" t="inlineStr">
        <is>
          <t>['Technical Support', 'Product Support', 'Software Bug', 'Hardware Failure', 'Problem Resolution']</t>
        </is>
      </c>
      <c r="K139" s="1" t="inlineStr">
        <is>
          <t>pt</t>
        </is>
      </c>
      <c r="L139" s="1" t="n">
        <v>267</v>
      </c>
    </row>
    <row r="140" ht="16.5" customHeight="1">
      <c r="A140" s="1" t="n">
        <v>1182</v>
      </c>
      <c r="B140" s="3" t="inlineStr">
        <is>
          <t>Gerenciamento Financeiro</t>
        </is>
      </c>
      <c r="C140" s="3" t="inlineStr">
        <is>
          <t>Gerenciamento de Incidentes</t>
        </is>
      </c>
      <c r="D140" s="1" t="inlineStr">
        <is>
          <t>Problema de Discrepância de Cobrança</t>
        </is>
      </c>
      <c r="E140" s="1" t="inlineStr">
        <is>
          <t>Billing and Payments</t>
        </is>
      </c>
      <c r="F140" s="1" t="inlineStr">
        <is>
          <t>Caro Time de Suporte de Serviços de TI, estou escrevendo para relatar uma discrepância de cobrança que encontrei em relação às cobranças do meu recente serviço de nuvem AWS, especificamente relacionadas ao Serviço de Gerenciamento da AWS. Depois de revisar minhas faturas recentes, percebi que as cobranças aplicadas à minha conta, &lt;acc_num&gt;, parecem mais altas do que o esperado e não estão alinhadas com os detalhes de uso que eu previa. Eu as comparei minuciosamente com o histórico de cobrança e encontrei inconsistências que não consigo justificar. Isso levanta preocupações, já que esperava que algumas cobranças fossem diferentes com base no plano de implantação inicial ao qual consenti. Agradeceria se o departamento de cobrança pudesse investigar essa discrepância na sua conveniência mais próxima, pois isso causou algum inconveniente financeiro. Se necessário, sinta-se à vontade para me contatar pelo &lt;tel_num&gt; caso precise de detalhes adicionais para ajudar a resolver esta questão rapidamente. Obrigado pela sua atenção a este assunto. Espero sua resposta e uma resolução. Atenciosamente, &lt;name&gt;</t>
        </is>
      </c>
      <c r="G140" s="1" t="inlineStr">
        <is>
          <t>Incident</t>
        </is>
      </c>
      <c r="H140" s="1" t="inlineStr">
        <is>
          <t>Caro &lt;name&gt;,
Obrigado por nos contatar sobre a discrepância de cobrança com suas cobranças do Serviço de Gerenciamento da AWS. Pedimos desculpas por qualquer inconveniente que isso possa ter causado.
Encaminhei sua consulta para nosso departamento de cobrança para uma investigação mais aprofundada. Vamos revisar sua conta, &lt;acc_num&gt;, e as faturas associadas para identificar quaisquer inconsistências. Nossa equipe entrará em contato se precisar de mais informações.
Fique tranquilo, estamos tornando isso uma prioridade e trabalharemos para resolver o problema o mais rápido possível. Você será atualizado sobre as descobertas e a resolução por e-mail ou telefone em &lt;tel_num&gt;.
Obrigado pela sua paciência e compreensão.
Atenciosamente,
Time de Suporte de Serviços de TI</t>
        </is>
      </c>
      <c r="I140" s="1" t="inlineStr">
        <is>
          <t>medium</t>
        </is>
      </c>
      <c r="J140" s="1" t="inlineStr">
        <is>
          <t>['Billing Issue', 'Payment Processing', 'Account Assistance', 'Refund Request', 'Customer Service']</t>
        </is>
      </c>
      <c r="K140" s="1" t="inlineStr">
        <is>
          <t>pt</t>
        </is>
      </c>
      <c r="L140" s="1" t="n">
        <v>1110</v>
      </c>
    </row>
    <row r="141" ht="16.5" customHeight="1">
      <c r="A141" s="1" t="n">
        <v>1203</v>
      </c>
      <c r="B141" s="3" t="inlineStr">
        <is>
          <t>Gerenciamento de Incidentes</t>
        </is>
      </c>
      <c r="C141" s="3" t="inlineStr">
        <is>
          <t>Gerenciamento de Disponibilidade</t>
        </is>
      </c>
      <c r="D141" s="1" t="inlineStr">
        <is>
          <t>Assistência Imediata Necessária para Interrupção de Rede</t>
        </is>
      </c>
      <c r="E141" s="1" t="inlineStr">
        <is>
          <t>Service Outages and Maintenance</t>
        </is>
      </c>
      <c r="F141" s="1" t="inlineStr">
        <is>
          <t>Caro Suporte ao Cliente,
Atualmente estamos enfrentando um incidente de alta prioridade envolvendo nosso Roteador Cisco ISR4331, que está causando interrupções significativas no desempenho da nossa rede empresarial. Este problema levou a uma interrupção parcial afetando várias operações críticas. Solicitamos gentilmente sua atenção e expertise imediatas para resolver este problema o mais rápido possível.
Por favor, forneça orientação sobre os próximos passos para a resolução do problema ou confirme o envio de uma equipe técnica. Você pode me contatar na nossa linha direta: &lt;tel_num&gt; ou pelo e-mail &lt;email_address&gt;.
Obrigado pela sua resposta rápida.
Atenciosamente,
&lt;name&gt;
&lt;company_name&gt;</t>
        </is>
      </c>
      <c r="G141" s="1" t="inlineStr">
        <is>
          <t>Incident</t>
        </is>
      </c>
      <c r="H141" s="1" t="inlineStr">
        <is>
          <t>Caro &lt;name&gt;,
Obrigado por entrar em contato conosco sobre a interrupção da rede envolvendo seu Roteador Cisco ISR4331. Entendemos a urgência e o impacto deste problema.
Para começar a resolução do problema, por favor, assegure-se de que todas as conexões físicas estejam seguras e reinicie o roteador, se possível. Além disso, verifique se o firmware está atualizado. Se o problema persistir, iremos escalar a questão e providenciar uma equipe técnica para auxiliá-lo.
Por favor, mantenha-nos informados via e-mail ou pelo número de telefone direto fornecido. Nossa equipe está de prontidão para fornecer mais suporte e coordenar os passos necessários para a resolução.
Obrigado pela sua paciência e cooperação.
Atenciosamente,
Equipe de Suporte ao Cliente</t>
        </is>
      </c>
      <c r="I141" s="1" t="inlineStr">
        <is>
          <t>high</t>
        </is>
      </c>
      <c r="J141" s="1" t="inlineStr">
        <is>
          <t>['Network Issue', 'Service Disruption', 'Incident Report', 'Urgent Issue', 'Technical Support', 'Problem Resolution']</t>
        </is>
      </c>
      <c r="K141" s="1" t="inlineStr">
        <is>
          <t>pt</t>
        </is>
      </c>
      <c r="L141" s="1" t="n">
        <v>699</v>
      </c>
    </row>
    <row r="142" ht="16.5" customHeight="1">
      <c r="A142" s="1" t="n">
        <v>1205</v>
      </c>
      <c r="B142" s="3" t="inlineStr">
        <is>
          <t>Gerenciamento Financeiro</t>
        </is>
      </c>
      <c r="C142" s="3" t="inlineStr">
        <is>
          <t>Gerenciamento de Capacidade</t>
        </is>
      </c>
      <c r="D142" s="1" t="inlineStr">
        <is>
          <t>Problema de Faturamento Inconsistente com o AWS Management</t>
        </is>
      </c>
      <c r="E142" s="1" t="inlineStr">
        <is>
          <t>Customer Service</t>
        </is>
      </c>
      <c r="F142" s="1" t="inlineStr">
        <is>
          <t>Caro Equipe de Suporte ao Cliente,
Estou escrevendo para solicitar assistência com o faturamento inconsistente visto em nossa conta do AWS Management Service &lt;acc_num&gt;. Suspeitamos que a alocação subotimizada de recursos possa ser a causa e precisamos de orientação sobre estratégias eficientes de gerenciamento de custos. Sua ajuda oportuna para otimizar custos seria muito apreciada. Por favor, entre em contato comigo pelo &lt;tel_num&gt; ou e-mail &lt;email&gt;.
Obrigado,
&lt;name&gt;</t>
        </is>
      </c>
      <c r="G142" s="1" t="inlineStr">
        <is>
          <t>Incident</t>
        </is>
      </c>
      <c r="H142" s="1" t="inlineStr">
        <is>
          <t>Caro &lt;name&gt;,
Obrigado por entrar em contato sobre suas preocupações de faturamento da conta do AWS Management Service. Entendemos o quão importante é o gerenciamento eficiente de custos para suas operações. Nossa equipe investigará o assunto e oferecerá orientações sobre como otimizar a alocação de recursos para ajudar a reduzir custos. Entraremos em contato com você em breve pelo seu número de telefone ou e-mail fornecido para discutir mais.
Atenciosamente,
Equipe de Suporte ao Cliente</t>
        </is>
      </c>
      <c r="I142" s="1" t="inlineStr">
        <is>
          <t>low</t>
        </is>
      </c>
      <c r="J142" s="1" t="inlineStr">
        <is>
          <t>['Billing Issue', 'Technical Support', 'Account Assistance', 'Customer Service', 'General Inquiry', 'Performance Tuning', 'Technical Guidance']</t>
        </is>
      </c>
      <c r="K142" s="1" t="inlineStr">
        <is>
          <t>pt</t>
        </is>
      </c>
      <c r="L142" s="1" t="n">
        <v>474</v>
      </c>
    </row>
    <row r="143" ht="16.5" customHeight="1">
      <c r="A143" s="1" t="n">
        <v>1208</v>
      </c>
      <c r="B143" s="3" t="inlineStr">
        <is>
          <t>Solicitação de Serviço</t>
        </is>
      </c>
      <c r="C143" s="3" t="inlineStr">
        <is>
          <t>Gerenciamento de Capacidade</t>
        </is>
      </c>
      <c r="D143" s="1" t="inlineStr">
        <is>
          <t>Otimização de Rede e Assistência em Manutenção de Servidor</t>
        </is>
      </c>
      <c r="E143" s="1" t="inlineStr">
        <is>
          <t>Customer Service</t>
        </is>
      </c>
      <c r="F143" s="1" t="inlineStr">
        <is>
          <t>Prezado Time de Suporte ao Cliente,
Espero que esta mensagem os encontre bem. Estou entrando em contato para perguntar sobre conselhos sobre como otimizar o desempenho da rede e melhorar nossos processos de manutenção de servidor. Como um valioso cliente do seu Serviço de Consultoria de TI, estamos interessados em garantir que nossos sistemas funcionem de maneira eficiente e confiável.
Você poderia, por favor, fornecer orientação ou agendar uma consulta com um de seus especialistas? Nosso objetivo principal é melhorar toda a infraestrutura de TI enquanto minimizamos o tempo de inatividade.
Obrigado pela sua assistência.
Atenciosamente,
&lt;name&gt;
&lt;tel_num&gt;
&lt;acc_num&gt;</t>
        </is>
      </c>
      <c r="G143" s="1" t="inlineStr">
        <is>
          <t>Incident</t>
        </is>
      </c>
      <c r="H143" s="1" t="inlineStr">
        <is>
          <t>Prezado &lt;name&gt;,
Obrigado por entrar em contato conosco. Estamos felizes em ajudá-lo a otimizar o desempenho da sua rede e melhorar os processos de manutenção do servidor. Melhorar sua infraestrutura de TI é crucial, e nossos especialistas certamente podem apoiá-lo na realização desses objetivos.
Para fornecer uma orientação personalizada, recomendamos agendar uma consulta com nossa equipe. Por favor, informe-nos sua disponibilidade, e organizaremos um horário conveniente para uma discussão.
Sinta-se à vontade para nos contatar se tiver mais perguntas ou precisar de assistência imediata nesse meio tempo.
Atenciosamente,
Time de Suporte ao Cliente</t>
        </is>
      </c>
      <c r="I143" s="1" t="inlineStr">
        <is>
          <t>low</t>
        </is>
      </c>
      <c r="J143" s="1" t="inlineStr">
        <is>
          <t>['Technical Support', 'IT Support', 'Performance Tuning', 'System Maintenance', 'Technical Guidance', 'Service Recovery', 'General Inquiry']</t>
        </is>
      </c>
      <c r="K143" s="1" t="inlineStr">
        <is>
          <t>pt</t>
        </is>
      </c>
      <c r="L143" s="1" t="n">
        <v>675</v>
      </c>
    </row>
    <row r="144" ht="16.5" customHeight="1">
      <c r="A144" s="1" t="n">
        <v>1216</v>
      </c>
      <c r="B144" s="3" t="inlineStr">
        <is>
          <t>Solicitação de Serviço</t>
        </is>
      </c>
      <c r="C144" s="3" t="inlineStr">
        <is>
          <t>Gerenciamento Financeiro</t>
        </is>
      </c>
      <c r="D144" s="1" t="inlineStr">
        <is>
          <t>Solicitação de Assistência para Mudança de Configuração da AWS</t>
        </is>
      </c>
      <c r="E144" s="1" t="inlineStr">
        <is>
          <t>IT Support</t>
        </is>
      </c>
      <c r="F144" s="1" t="inlineStr">
        <is>
          <t>Prezado Equipe de Suporte ao Cliente,
Estou escrevendo para solicitar assistência com uma mudança de configuração para otimizar os custos da infraestrutura da AWS e melhorar a eficiência da implementação na nuvem. Atualmente, estamos usando seu Serviço de Gerenciamento da AWS e identificamos potenciais melhorias que poderiam beneficiar muito nossas operações. Você poderia, por favor, aconselhar sobre os melhores passos para iniciar esse processo? Sua resposta rápida seria muito apreciada.
Obrigado pelo seu contínuo apoio.
Atenciosamente,
&lt;name&gt;</t>
        </is>
      </c>
      <c r="G144" s="1" t="inlineStr">
        <is>
          <t>Change</t>
        </is>
      </c>
      <c r="H144" s="1" t="inlineStr">
        <is>
          <t>Prezado &lt;name&gt;,
Obrigado por entrar em contato sobre a mudança de configuração da AWS. Para otimizar seus custos e eficiência da AWS, recomendamos começar revisando a infraestrutura existente usando o AWS Cost Explorer e o Trusted Advisor. Uma vez que as áreas de melhoria são identificadas, considere implementar Instâncias Reservadas ou Planos de Economia para economia de custos. Para melhorar a eficiência da implementação, o AWS Elastic Beanstalk ou o EC2 Auto Scaling podem ser ferramentas valiosas.
Por favor, forneça detalhes sobre recursos ou áreas específicas que você deseja focar, e podemos oferecer recomendações mais personalizadas. Informe-nos se precisar de assistência para acessar alguma dessas ferramentas.
Atenciosamente,
Equipe de Suporte ao Cliente</t>
        </is>
      </c>
      <c r="I144" s="1" t="inlineStr">
        <is>
          <t>high</t>
        </is>
      </c>
      <c r="J144" s="1" t="inlineStr">
        <is>
          <t>['Technical Support', 'Product Support', 'IT Support', 'Service Notification', 'Performance Tuning', 'General Inquiry', 'Technical Guidance']</t>
        </is>
      </c>
      <c r="K144" s="1" t="inlineStr">
        <is>
          <t>pt</t>
        </is>
      </c>
      <c r="L144" s="1" t="n">
        <v>553</v>
      </c>
    </row>
    <row r="145" ht="16.5" customHeight="1">
      <c r="A145" s="1" t="n">
        <v>1221</v>
      </c>
      <c r="B145" s="3" t="inlineStr">
        <is>
          <t>Gerenciamento Financeiro</t>
        </is>
      </c>
      <c r="C145" s="3" t="inlineStr">
        <is>
          <t>Gerenciamento de Nível de Serviço</t>
        </is>
      </c>
      <c r="D145" s="1" t="inlineStr">
        <is>
          <t>Assistência de Faturamento Necessária</t>
        </is>
      </c>
      <c r="E145" s="1" t="inlineStr">
        <is>
          <t>Billing and Payments</t>
        </is>
      </c>
      <c r="F145" s="1" t="inlineStr">
        <is>
          <t>Caro Time de Suporte ao Cliente,
Espero que esta mensagem o encontre bem. Estou entrando em contato para solicitar assistência com um ajuste de faturamento relacionado ao nosso uso recente do Serviço de Gestão da AWS, fornecido através de sua estimada empresa de Serviços de TI. Eu represento &lt;Company&gt; e temos uma conta sob o número &lt;acc_num&gt; que está associada às nossas operações em infraestrutura AWS em andamento.
Ao revisar nosso uso e a declarações de faturamento subsequente do último trimestre, notamos certas discrepâncias que gostaríamos de esclarecer. Durante o último trimestre, nosso Serviço de Gestão da AWS foi utilizado para aprimorar vários aspectos de nossa infraestrutura operacional, no entanto, o faturamento parece mais alto do que inicialmente previsto.
O que eu apreciaria é uma revisão abrangente das cobranças vinculadas à nossa conta. Especificamente, o faturamento reflete cobranças que não foram discutidas ou previstas em nossa correspondência anterior sobre as taxas de uso esperadas e despesas associadas. Minha equipe realizou uma auditoria interna e encontrou diferenças nas projeções em relação aos valores cobrados na documentação de faturamento fornecida por você em &lt;date&gt;.
Seria extremamente benéfico se pudéssemos organizar uma desagregação detalhada dos itens cobrados, acompanhada de métricas de uso detalhadas e uma explicação por escrito para cada cobrança onde as discrepâncias foram notadas. Além disso, gostaria de perguntar se há algum desconto em andamento ou mecanismos de faturamento que se adequariam melhor aos nossos padrões de uso, mas que não foram aplicados à nossa conta. Sua orientação sobre quaisquer opções disponíveis para ajustes de faturamento sob o atual contrato de serviço seria muito apreciada.
Para uma rápida resolução desta questão, estou disponível para mais discussões assim que for conveniente para você. Sinta-se à vontade para entrar em contato comigo diretamente por email ou pelo meu número de telefone, &lt;tel_num&gt;, a qualquer momento durante o horário comercial. Alternativamente, meu colega &lt;name&gt; pode ser contatado na minha ausência para quaisquer esclarecimentos necessários.
Agradeço antecipadamente pela sua atenção a este assunto. Aguardo suas percepções e espero resolver essa discrepância de maneira oportuna. Estou ansioso pela sua resposta rápida.
Atenciosamente,
&lt;name&gt;
&lt;Position&gt;
&lt;Company&gt;
&lt;Address&gt;
&lt;Contact Information&gt;</t>
        </is>
      </c>
      <c r="G145" s="1" t="inlineStr">
        <is>
          <t>Request</t>
        </is>
      </c>
      <c r="H145" s="1" t="inlineStr">
        <is>
          <t>Caro &lt;name&gt;,
Obrigado por entrar em contato conosco sobre as discrepâncias de faturamento para o seu Serviço de Gestão da AWS sob o número da conta &lt;acc_num&gt;. Entendemos a importância de garantir a precisão do faturamento e estamos aqui para ajudar.
Para abordar suas preocupações, iremos iniciar uma revisão abrangente das cobranças em sua conta e fornecer uma desagregação detalhada dos itens cobrados, juntamente com métricas de uso e explicações para qualquer discrepância observada. Vamos também verificar se há descontos ou mecanismos de faturamento disponíveis que possam beneficiar seus padrões de uso.
Nossa equipe compilará os detalhes necessários e retornará a você em breve. Enquanto isso, sinta-se à vontade para entrar em contato comigo por email ou pelo número fornecido. Eu ou um dos meus colegas estaremos disponíveis para mais discussões, garantindo uma rápida resolução desta questão.
Obrigado pela sua paciência e compreensão.
Atenciosamente,
&lt;Customer Support Agent&gt;
&lt;Team de Suporte ao Cliente&gt;
&lt;Servico Empresa&gt;</t>
        </is>
      </c>
      <c r="I145" s="1" t="inlineStr">
        <is>
          <t>medium</t>
        </is>
      </c>
      <c r="J145" s="1" t="inlineStr">
        <is>
          <t>['Billing Issue', 'Customer Service', 'Account Assistance', 'Payment Processing', 'General Inquiry', 'Service Recovery']</t>
        </is>
      </c>
      <c r="K145" s="1" t="inlineStr">
        <is>
          <t>pt</t>
        </is>
      </c>
      <c r="L145" s="1" t="n">
        <v>2421</v>
      </c>
    </row>
    <row r="146" ht="16.5" customHeight="1">
      <c r="A146" s="1" t="n">
        <v>1222</v>
      </c>
      <c r="B146" s="3" t="inlineStr">
        <is>
          <t>Gerenciamento de Nível de Serviço</t>
        </is>
      </c>
      <c r="C146" s="3" t="inlineStr">
        <is>
          <t>Gerenciamento de Incidentes</t>
        </is>
      </c>
      <c r="D146" s="1" t="inlineStr">
        <is>
          <t>Solicitação de Alta Prioridade para Serviço de TI</t>
        </is>
      </c>
      <c r="E146" s="1" t="inlineStr">
        <is>
          <t>Customer Service</t>
        </is>
      </c>
      <c r="F146" s="1" t="inlineStr">
        <is>
          <t>Caro Time de Suporte da Empresa de Consultoria de TI, espero que esta mensagem o encontre bem. Estou escrevendo para expressar nossa necessidade urgente de uma administração de servidor aprimorada e soluções de TI abrangentes. Temos experimentado frequentes interrupções no sistema, que têm sido cada vez mais disruptivas para nossas operações. Além disso, nossa experiência com respostas de suporte atrasadas apenas agravou nossas preocupações. Quando optamos anteriormente por seu Serviço de Consultoria de TI, esperávamos um sistema de suporte contínuo e proativo para garantir operações comerciais suaves. No entanto, a consistência das interrupções recentes apresentou desafios significativos para nossas equipes. Como dependemos profundamente de seus serviços, solicitamos atenção imediata a esses assuntos. É imperativo para nós ter um tempo de atividade do sistema estável e ininterrupto. Além disso, uma resposta de suporte oportuna é crucial para mitigar riscos potenciais e garantir eficiência operacional. Pedimos gentilmente que você trate este pedido com alta prioridade. Um plano de ação rápido ou uma proposta de reunião seriam muito apreciados. Obrigado pela sua atenção rápida a este assunto. Aguardamos sua resposta o mais breve possível. Se você precisar discutir isso por telefone, por favor, avise-nos. Atenciosamente, &lt;name&gt;</t>
        </is>
      </c>
      <c r="G146" s="1" t="inlineStr">
        <is>
          <t>Request</t>
        </is>
      </c>
      <c r="H146" s="1" t="inlineStr">
        <is>
          <t>Caro &lt;name&gt;,
Obrigado por entrar em contato com suas preocupações, e peço desculpas pelos inconvenientes que você tem enfrentado. Entendemos a importância crítica de manter um tempo de atividade do sistema ininterrupto e a importância de respostas de suporte rápidas para operações comerciais suaves.
Nossa equipe já está priorizando seu pedido por uma administração de servidor aprimorada e soluções de TI abrangentes. Estamos comprometidos em resolver as interrupções do sistema que você enfrentou e garantiremos um sistema de suporte mais proativo daqui para frente.
Para abordar isso rapidamente, propomos agendar uma reunião na sua conveniência para discutir um plano de ação imediato adaptado às suas necessidades. Por favor, informe-nos uma data e hora preferenciais, e nós organizaremos isso.
Sua confiança contínua em nossos serviços é muito valorizada, e estamos dedicados a restaurar sua confiança por meio de uma resolução oportuna e eficiente desses problemas.
Aguardamos sua resposta rápida para que possamos tomar ações decisivas.
Atenciosamente,
&lt;Team Service Desk&gt;</t>
        </is>
      </c>
      <c r="I146" s="1" t="inlineStr">
        <is>
          <t>high</t>
        </is>
      </c>
      <c r="J146" s="1" t="inlineStr">
        <is>
          <t>['Urgent Issue', 'IT Support', 'Service Disruption', 'Support Request', 'System Maintenance', 'Technical Guidance', 'Problem Resolution']</t>
        </is>
      </c>
      <c r="K146" s="1" t="inlineStr">
        <is>
          <t>pt</t>
        </is>
      </c>
      <c r="L146" s="1" t="n">
        <v>1347</v>
      </c>
    </row>
    <row r="147" ht="16.5" customHeight="1">
      <c r="A147" s="1" t="n">
        <v>1226</v>
      </c>
      <c r="B147" s="3" t="inlineStr">
        <is>
          <t>Solicitação de Serviço</t>
        </is>
      </c>
      <c r="C147" s="3" t="inlineStr">
        <is>
          <t>Gerenciamento de Incidentes</t>
        </is>
      </c>
      <c r="D147" s="1" t="inlineStr">
        <is>
          <t>Assistência Necessária para Ativação do MacBook Air</t>
        </is>
      </c>
      <c r="E147" s="1" t="inlineStr">
        <is>
          <t>Product Support</t>
        </is>
      </c>
      <c r="F147" s="1" t="inlineStr">
        <is>
          <t>Olá Suporte da Loja Online Tech,
Espero que esta mensagem o encontre bem. Recentemente, comprei um MacBook Air M1 na sua loja e estou enfrentando dificuldades com o processo de ativação. Apesar de seguir as instruções fornecidas, não consigo ativar o dispositivo com sucesso. Certifiquei-me de que o dispositivo está conectado à internet e verifiquei novamente as credenciais do Apple ID, mas, infelizmente, ainda estou enfrentando problemas.
Você poderia, por favor, fornecer orientações ou dicas de solução de problemas que possam ajudar a resolver essa questão? Se necessário, estou disponível para uma ligação em &lt;tel_num&gt; para percorrer os passos. Além disso, por favor, me avise se houver atualizações ou downloads de software necessários para uma ativação adequada.
Obrigado pela sua assistência e rápida resposta a essa questão. Estou ansioso para usar meu novo MacBook Air M1 e espero ter isso resolvido de forma eficiente.
Atenciosamente,
&lt;name&gt;
&lt;address&gt;
&lt;city&gt;, &lt;state&gt; &lt;zip_code&gt;</t>
        </is>
      </c>
      <c r="G147" s="1" t="inlineStr">
        <is>
          <t>Request</t>
        </is>
      </c>
      <c r="H147" s="1" t="inlineStr">
        <is>
          <t>Olá,
Obrigado por entrar em contato com o Suporte da Loja Online Tech sobre o problema de ativação do seu MacBook Air M1. Sinto muito em saber das dificuldades que você está enfrentando.
Por favor, tente as seguintes etapas de solução de problemas:
1. Certifique-se de que seu MacBook Air está conectado a uma rede Wi-Fi estável.
2. Reinicie o dispositivo e tente a ativação novamente.
3. Verifique se há atualizações de software acessando 'Preferências do Sistema' e selecionando 'Atualização de Software'.
4. Verifique se as credenciais do seu Apple ID estão corretas fazendo login em outro dispositivo ou no site do Apple ID.
Se o problema persistir, considere tentar uma rede Wi-Fi diferente para eliminar problemas relacionados à rede.
Caso você precise de mais assistência, estou disponível para orientá-lo por telefone no horário que for conveniente para você. Basta nos avisar quando você está disponível.
Nosso objetivo é proporcionar uma experiência tranquila com seu novo MacBook Air e agradecemos sua paciência.
Atenciosamente,
Suporte da Loja Online Tech</t>
        </is>
      </c>
      <c r="I147" s="1" t="inlineStr">
        <is>
          <t>high</t>
        </is>
      </c>
      <c r="J147" s="1" t="inlineStr">
        <is>
          <t>['Product Support', 'Technical Support', 'Technical Guidance', 'Software Bug', 'Login Issue', 'Customer Service']</t>
        </is>
      </c>
      <c r="K147" s="1" t="inlineStr">
        <is>
          <t>pt</t>
        </is>
      </c>
      <c r="L147" s="1" t="n">
        <v>997</v>
      </c>
    </row>
    <row r="148" ht="16.5" customHeight="1">
      <c r="A148" s="1" t="n">
        <v>1234</v>
      </c>
      <c r="B148" s="3" t="inlineStr">
        <is>
          <t>Solicitação de Serviço</t>
        </is>
      </c>
      <c r="C148" s="3" t="inlineStr">
        <is>
          <t>Gerenciamento de Incidentes</t>
        </is>
      </c>
      <c r="D148" s="1" t="inlineStr">
        <is>
          <t>Assistência Necessária para Configuração Sem Fio</t>
        </is>
      </c>
      <c r="E148" s="1" t="inlineStr">
        <is>
          <t>Product Support</t>
        </is>
      </c>
      <c r="F148" s="1" t="inlineStr">
        <is>
          <t>Caro Time de Suporte ao Cliente,
Espero que esta mensagem o encontre bem. Estou entrando em contato para solicitar assistência na configuração da impressão sem fio na minha impressora HP DeskJet 3755. Estou enfrentando dificuldades em conectar a impressora à minha rede sem fio e ficaria muito grato pela sua orientação para resolver esse problema.
Tentei seguir as instruções fornecidas no manual do usuário, mas, infelizmente, não tive sucesso. Como dependo muito da impressão para fins pessoais e profissionais, é crucial que eu resolva este problema o mais rápido possível.
Você poderia, por favor, fornecer-me quaisquer passos de solução de problemas ou suporte remoto para me guiar durante o processo de configuração? Se houver requisitos ou configurações específicas que precisam ser feitas, por favor, me avise sobre elas também.
Obrigado pela sua atenção rápida a este assunto. Estou ansioso pela sua resposta e espero ter a impressão sem fio funcionando corretamente em breve.
Atenciosamente,
&lt;name&gt;</t>
        </is>
      </c>
      <c r="G148" s="1" t="inlineStr">
        <is>
          <t>Request</t>
        </is>
      </c>
      <c r="H148" s="1" t="inlineStr">
        <is>
          <t>Caro &lt;name&gt;,
Obrigado por entrar em contato. Vamos ajudá-lo a configurar sua HP DeskJet 3755 para impressão sem fio. Por favor, siga estes passos:
1. Certifique-se de que sua impressora esteja ligada e dentro do alcance do seu roteador Wi-Fi.
2. Na impressora, pressione e segure o botão Wireless até a luz começar a piscar.
3. Depois disso, pressione o botão WPS no seu roteador dentro de dois minutos.
4. Baixe e instale o aplicativo HP Smart no seu dispositivo a partir do site da HP ou da loja de aplicativos.
5. Abra o aplicativo HP Smart, selecione a impressora e siga as instruções na tela.
Se esses passos não resolverem o problema, por favor, nos avise e podemos organizar suporte remoto para ajudar mais. Certifique-se de que o firewall do seu dispositivo não está bloqueando a conexão.
Sinta-se à vontade para nos contatar se tiver alguma dúvida.
Atenciosamente,
Time de Suporte ao Cliente</t>
        </is>
      </c>
      <c r="I148" s="1" t="inlineStr">
        <is>
          <t>medium</t>
        </is>
      </c>
      <c r="J148" s="1" t="inlineStr">
        <is>
          <t>['Technical Support', 'Product Support', 'Printing Issue', 'Customer Service', 'Problem Resolution', 'Urgent Issue', 'Technical Guidance']</t>
        </is>
      </c>
      <c r="K148" s="1" t="inlineStr">
        <is>
          <t>pt</t>
        </is>
      </c>
      <c r="L148" s="1" t="n">
        <v>1015</v>
      </c>
    </row>
    <row r="149" ht="16.5" customHeight="1">
      <c r="A149" s="1" t="n">
        <v>1238</v>
      </c>
      <c r="B149" s="3" t="inlineStr">
        <is>
          <t>Solicitação de Serviço</t>
        </is>
      </c>
      <c r="C149" s="3" t="inlineStr">
        <is>
          <t>Gerenciamento de Ativos de TI</t>
        </is>
      </c>
      <c r="D149" s="1" t="inlineStr">
        <is>
          <t>Problema com Impressora Canon - Problema de Conexão Wifi</t>
        </is>
      </c>
      <c r="E149" s="1" t="inlineStr">
        <is>
          <t>Returns and Exchanges</t>
        </is>
      </c>
      <c r="F149" s="1" t="inlineStr">
        <is>
          <t>Caro Suporte ao Cliente,&lt;br&gt;&lt;br&gt;Espero que esta mensagem te encontre bem. Estou escrevendo para expressar meu problema com uma Canon PIXMA MG3620 comprada recentemente. A impressora está tendo dificuldade para se conectar via WiFi. Após seguir os passos de solução de problemas fornecidos no manual e várias tentativas de reiniciar o dispositivo, o problema persiste.&lt;br&gt;&lt;br&gt;Gostaria de iniciar um processo de devolução e solicitar uma substituição de acordo com a política da sua loja. Não consigo realizar minhas tarefas necessárias devido a essa falha. Por favor, informe-me sobre os próximos passos e qualquer documentação ou informação necessária que eu precise enviar. Você pode me contatar no meu endereço de e-mail ou pelo meu telefone em &lt;tel_num&gt;.&lt;br&gt;&lt;br&gt;Obrigado pela sua imediata atenção a este assunto. Espero resolver este problema rapidamente.&lt;br&gt;&lt;br&gt;Atenciosamente,&lt;br&gt;&lt;br&gt;&lt;name&gt;</t>
        </is>
      </c>
      <c r="G149" s="1" t="inlineStr">
        <is>
          <t>Problem</t>
        </is>
      </c>
      <c r="H149" s="1" t="inlineStr">
        <is>
          <t>Caro &lt;name&gt;,&lt;br&gt;&lt;br&gt;Obrigado por entrar em contato sobre o problema com sua Canon PIXMA MG3620. Pedimos desculpas pelo inconveniente causado.&lt;br&gt;&lt;br&gt;Para iniciar o processo de devolução e substituição, por favor, tenha seu recibo de compra e a embalagem original prontos. Podemos precisar de uma cópia do recibo para verificação. Gentileza preencher nosso Formulário de Solicitação de Devolução em nosso site, incluindo os detalhes da sua conta, número do pedido e a descrição do problema.&lt;br&gt;&lt;br&gt;Uma vez enviado, você receberá instruções sobre como devolver o produto para nós. Por favor, certifique-se de utilizar um método de envio rastreável. Após o recebimento e inspeção da impressora, enviaremos uma substituição conforme nossa política.&lt;br&gt;&lt;br&gt;Se você precisar de mais assistência, sinta-se à vontade para nos contatar a qualquer momento. Estamos comprometidos em resolver este assunto rapidamente para você.&lt;br&gt;&lt;br&gt;Obrigado pela sua paciência e compreensão.&lt;br&gt;&lt;br&gt;Atenciosamente,&lt;br&gt;Equipe de Suporte ao Cliente</t>
        </is>
      </c>
      <c r="I149" s="1" t="inlineStr">
        <is>
          <t>high</t>
        </is>
      </c>
      <c r="J149" s="1" t="inlineStr">
        <is>
          <t>['Returns and Exchanges', 'Product Support', 'Technical Support', 'Order Issue', 'Service Recovery', 'Problem Resolution']</t>
        </is>
      </c>
      <c r="K149" s="1" t="inlineStr">
        <is>
          <t>pt</t>
        </is>
      </c>
      <c r="L149" s="1" t="n">
        <v>895</v>
      </c>
    </row>
    <row r="150" ht="16.5" customHeight="1">
      <c r="A150" s="1" t="n">
        <v>1242</v>
      </c>
      <c r="B150" s="3" t="inlineStr">
        <is>
          <t>Gerenciamento de Incidentes</t>
        </is>
      </c>
      <c r="C150" s="3" t="inlineStr">
        <is>
          <t>Gerenciamento de Problemas</t>
        </is>
      </c>
      <c r="D150" s="1" t="inlineStr">
        <is>
          <t>Problema de quedas frequentes na conexão de rede</t>
        </is>
      </c>
      <c r="E150" s="1" t="inlineStr">
        <is>
          <t>Technical Support</t>
        </is>
      </c>
      <c r="F150" s="1" t="inlineStr">
        <is>
          <t>Caro time de suporte ao cliente,
Estou escrevendo para expressar minha preocupação em relação a um problema que estamos enfrentando com nosso roteador Cisco ISR4331. Temos lidado com quedas frequentes de conexão que estão impactando severamente a estabilidade de nossa rede. Este problema está ocorrendo há várias semanas e parece estar piorando progressivamente. Dependemos fortemente de nossa infraestrutura de rede para gerenciar as operações diárias, e essas interrupções estão causando contratempos significativos.
Apesar de nossos esforços para solucionar o problema internamente, não conseguimos identificar uma fonte definitiva ou uma solução alternativa para aliviar essas quedas. Garantimos que todo o firmware e software associados ao roteador estão atualizados, e todas as configurações parecem seguir as diretrizes recomendadas.
Notamos que os problemas de conexão muitas vezes coincidem com os horários de pico da atividade da rede, mas também ocorrem esporadicamente ao longo do dia. Infelizmente, substituir o hardware não é uma solução viável no momento devido a restrições orçamentárias e desafios logísticos.
Agradeceríamos muito sua assistência para resolver este problema o mais rápido possível. Se necessário, estamos abertos a agendar uma chamada ou sessão remota com sua equipe de suporte para diagnosticar melhor o problema. Por favor, nos avise como devemos proceder.
Obrigado pela sua compreensão e apoio.
Atenciosamente,
&lt;name&gt;
&lt;tel_num&gt;</t>
        </is>
      </c>
      <c r="G150" s="1" t="inlineStr">
        <is>
          <t>Problem</t>
        </is>
      </c>
      <c r="H150" s="1" t="inlineStr">
        <is>
          <t>Caro &lt;name&gt;,
Obrigado por entrar em contato conosco sobre os problemas que você está enfrentando com seu roteador Cisco ISR4331. Entendemos a importância de uma rede estável para suas operações e estamos aqui para ajudar.
Para lidar com as quedas de conexão, sugerimos que você tente os seguintes passos iniciais, se ainda não o fez:
1. Verifique se há problemas conhecidos com o provedor de internet durante a atividade de pico.
2. Revise os logs do roteador em busca de irregularidades ou erros que possam apontar para o problema.
3. Confirme se as configurações de largura de banda estão alinhadas com a demanda atual da sua rede.
4. Se não foi feito, realize uma reinicialização completa do roteador para limpar quaisquer problemas residuais.
Dada a natureza persistente do problema, seria benéfico agendar uma chamada ou uma sessão de diagnóstico remoto com nossa equipe técnica. Por favor, nos forneça alguns horários e datas adequados em que você estará disponível, para que possamos agendar isso assim que possível.
Estamos comprometidos em resolver esta questão rapidamente e garantir que sua rede funcione novamente sem problemas.
Aguardamos sua resposta.
Atenciosamente,
Agente do Service Desk</t>
        </is>
      </c>
      <c r="I150" s="1" t="inlineStr">
        <is>
          <t>medium</t>
        </is>
      </c>
      <c r="J150" s="1" t="inlineStr">
        <is>
          <t>['Network Issue', 'Technical Support', 'IT Support', 'Service Disruption', 'Problem Resolution']</t>
        </is>
      </c>
      <c r="K150" s="1" t="inlineStr">
        <is>
          <t>pt</t>
        </is>
      </c>
      <c r="L150" s="1" t="n">
        <v>1471</v>
      </c>
    </row>
    <row r="151" ht="16.5" customHeight="1">
      <c r="A151" s="1" t="n">
        <v>1262</v>
      </c>
      <c r="B151" s="3" t="inlineStr">
        <is>
          <t>Gerenciamento Financeiro</t>
        </is>
      </c>
      <c r="C151" s="3" t="inlineStr">
        <is>
          <t>Gerenciamento de Incidentes</t>
        </is>
      </c>
      <c r="D151" s="1" t="inlineStr">
        <is>
          <t>Solicitação Urgente de Suporte de Faturamento para AWS</t>
        </is>
      </c>
      <c r="E151" s="1" t="inlineStr">
        <is>
          <t>Billing and Payments</t>
        </is>
      </c>
      <c r="F151" s="1" t="inlineStr">
        <is>
          <t>Caro Suporte ao Cliente,
Espero que esta mensagem o encontre bem. Estou escrevendo a respeito de uma cobrança inesperada em nossa assinatura de Gerenciamento AWS, especificamente relacionada ao Serviço de Otimização de Custos. Nosso número de conta é &lt;acc_num&gt;. Você poderia, por favor, acelerar esta consulta? Sua rápida assistência seria muito apreciada.
Obrigado,
&lt;name&gt;
Número de Contato: &lt;tel_num&gt;</t>
        </is>
      </c>
      <c r="G151" s="1" t="inlineStr">
        <is>
          <t>Request</t>
        </is>
      </c>
      <c r="H151" s="1" t="inlineStr">
        <is>
          <t>Prezado &lt;name&gt;,
Obrigado por entrar em contato conosco. Entendemos a urgência em relação à cobrança inesperada em sua assinatura de Gerenciamento AWS relacionada ao Serviço de Otimização de Custos. Estamos atualmente investigando o problema com seu número de conta &lt;acc_num&gt;. Vamos acelerar sua consulta e temos como objetivo fornecer uma resolução o mais rápido possível. Caso precisemos de mais informações, entraremos em contato com você pelo &lt;tel_num&gt;. Sua paciência e compreensão são muito apreciadas.
Atenciosamente,
Equipe de Suporte ao Cliente</t>
        </is>
      </c>
      <c r="I151" s="1" t="inlineStr">
        <is>
          <t>high</t>
        </is>
      </c>
      <c r="J151" s="1" t="inlineStr">
        <is>
          <t>['Billing Issue', 'Customer Service', 'Urgent Issue', 'Account Assistance', 'Payment Processing', 'Problem Resolution', 'Service Notification']</t>
        </is>
      </c>
      <c r="K151" s="1" t="inlineStr">
        <is>
          <t>pt</t>
        </is>
      </c>
      <c r="L151" s="1" t="n">
        <v>404</v>
      </c>
    </row>
    <row r="152" ht="16.5" customHeight="1">
      <c r="A152" s="1" t="n">
        <v>1277</v>
      </c>
      <c r="B152" s="3" t="inlineStr">
        <is>
          <t>Gerenciamento de Incidentes</t>
        </is>
      </c>
      <c r="C152" s="3" t="inlineStr">
        <is>
          <t>Gerenciamento de Acesso</t>
        </is>
      </c>
      <c r="D152" s="1" t="inlineStr">
        <is>
          <t>Problema ao Mudar o Status no Projeto de Software Jira</t>
        </is>
      </c>
      <c r="E152" s="1" t="inlineStr">
        <is>
          <t>Customer Service</t>
        </is>
      </c>
      <c r="F152" s="1" t="inlineStr">
        <is>
          <t>Caro Time de Suporte ao Cliente,
Não consigo mudar o status do problema no meu projeto Jira Software 8.20. Parece que é necessária uma alteração na configuração de visualização administrativa. Por favor, me ajudem a resolver esse problema assim que possível.
Obrigado,
&lt;name&gt;
Número da Conta: &lt;acc_num&gt;
Telefone: &lt;tel_num&gt;</t>
        </is>
      </c>
      <c r="G152" s="1" t="inlineStr">
        <is>
          <t>Incident</t>
        </is>
      </c>
      <c r="H152" s="1" t="inlineStr">
        <is>
          <t>Caro &lt;name&gt;,
Obrigado por entrar em contato. Para mudar o status do problema no Jira, você pode precisar de permissões específicas. Por favor, certifique-se de que você tem a permissão 'Transitar Problemas' para o projeto. Se você ainda tiver problemas, entre em contato com seu Administrador Jira para revisar suas configurações.
Atenciosamente,
Time de Suporte ao Cliente</t>
        </is>
      </c>
      <c r="I152" s="1" t="inlineStr">
        <is>
          <t>medium</t>
        </is>
      </c>
      <c r="J152" s="1" t="inlineStr">
        <is>
          <t>['Technical Support', 'Product Support', 'Software Bug', 'Problem Resolution', 'Account Assistance']</t>
        </is>
      </c>
      <c r="K152" s="1" t="inlineStr">
        <is>
          <t>pt</t>
        </is>
      </c>
      <c r="L152" s="1" t="n">
        <v>324</v>
      </c>
    </row>
    <row r="153" ht="16.5" customHeight="1">
      <c r="A153" s="1" t="n">
        <v>1292</v>
      </c>
      <c r="B153" s="3" t="inlineStr">
        <is>
          <t>Gerenciamento de Incidentes</t>
        </is>
      </c>
      <c r="C153" s="3" t="inlineStr">
        <is>
          <t>Gerenciamento de Disponibilidade</t>
        </is>
      </c>
      <c r="D153" s="1" t="inlineStr">
        <is>
          <t>Problemas de Conectividade de Rede</t>
        </is>
      </c>
      <c r="E153" s="1" t="inlineStr">
        <is>
          <t>Technical Support</t>
        </is>
      </c>
      <c r="F153" s="1" t="inlineStr">
        <is>
          <t>Prezado Suporte ao Cliente,
Estou escrevendo para relatar um problema de conectividade de rede que estamos enfrentando com nosso Roteador Cisco ISR4331, impactando nossa rede empresarial segura e conexões de alto desempenho. O roteador, que é essencial para nossas operações diárias, tem interrompido conexões intermitentemente e afetado nossa produtividade geral. Reiniciamos o roteador e verificamos todas as conexões físicas, mas o problema persiste. Como esse dispositivo é crítico para garantir transferências de dados em alta velocidade em nossa rede, uma resolução rápida é necessária.
Você poderia, por favor, fornecer orientações ou arranjar um especialista técnico para nos ajudar a diagnosticar e resolver o problema? Qualquer conselho imediato para mitigar interrupções seria muito apreciado.
Obrigado pela sua atenção a este assunto. Posso ser contatado pelo &lt;tel_num&gt; ou por e-mail em &lt;email&gt;, caso você precise de mais detalhes.
Atenciosamente,
&lt;name&gt;
&lt;acc_num&gt;</t>
        </is>
      </c>
      <c r="G153" s="1" t="inlineStr">
        <is>
          <t>Problem</t>
        </is>
      </c>
      <c r="H153" s="1" t="inlineStr">
        <is>
          <t>Assunto: Assistência para Conectividade de Rede
Prezado &lt;name&gt;,
Obrigado por entrar em contato conosco sobre os problemas de conectividade com seu Roteador Cisco ISR4331. Entendemos o quão crítico isso é para suas operações.
Para ajudar a resolver isso rapidamente, por favor, tente os seguintes passos, se viável:
1. Certifique-se de que o firmware do roteador está atualizado.
2. Verifique se não há interrupções de serviço conhecidas em sua área que possam afetar a conectividade.
3. Verifique suas configurações em busca de alterações recentes que possam afetar o desempenho do dispositivo.
Se o problema persistir, recomendamos agendar uma sessão com um de nossos especialistas técnicos. Podemos arranjar um especialista para ajudá-lo remotamente ou presencialmente, dependendo de sua preferência e urgência da situação.
Por favor, confirme um horário adequado para um especialista entrar em contato com você. Enquanto isso, não hesite em nos contatar pelo &lt;tel_num&gt; ou por e-mail para qualquer suporte adicional que você possa precisar.
Nós priorizaremos sua solicitação para resolver os problemas de conectividade de forma eficaz e rápida.
Obrigado pela sua paciência e compreensão.
Atenciosamente,
Equipe de Suporte ao Cliente</t>
        </is>
      </c>
      <c r="I153" s="1" t="inlineStr">
        <is>
          <t>medium</t>
        </is>
      </c>
      <c r="J153" s="1" t="inlineStr">
        <is>
          <t>['Network Issue', 'Technical Support', 'Urgent Issue', 'Problem Resolution', 'Service Disruption', 'Product Support']</t>
        </is>
      </c>
      <c r="K153" s="1" t="inlineStr">
        <is>
          <t>pt</t>
        </is>
      </c>
      <c r="L153" s="1" t="n">
        <v>981</v>
      </c>
    </row>
    <row r="154" ht="16.5" customHeight="1">
      <c r="A154" s="1" t="n">
        <v>1295</v>
      </c>
      <c r="B154" s="3" t="inlineStr">
        <is>
          <t>Gerenciamento de Incidentes</t>
        </is>
      </c>
      <c r="C154" s="3" t="inlineStr">
        <is>
          <t>Gerenciamento de Disponibilidade</t>
        </is>
      </c>
      <c r="D154" s="1" t="inlineStr">
        <is>
          <t>Urgente: Queda do Servidor AWS</t>
        </is>
      </c>
      <c r="E154" s="1" t="inlineStr">
        <is>
          <t>Technical Support</t>
        </is>
      </c>
      <c r="F154" s="1" t="inlineStr">
        <is>
          <t>Prezado time de suporte de serviços de TI,
Estou escrevendo para informar que nosso servidor de distribuição para o Serviço de Gerenciamento do AWS caiu inesperadamente. Este incidente tem o potencial de causar uma interrupção prolongada em nossa infraestrutura de nuvem, o que pode impactar negativamente nossas operações e entrega de serviços. Portanto, precisamos de uma investigação imediata do problema para identificar e corrigir a causa raiz rapidamente.
Dada a natureza crítica de nossos serviços, restaurar a funcionalidade o mais rápido possível é primordial. Confio na experiência de sua equipe técnica para realizar uma análise detalhada e fornecer uma rápida resolução para evitar mais interrupções.
Por favor, priorizem este pedido e nos mantenham atualizados com quaisquer descobertas ou ações tomadas assim que possível. Sua atenção rápida a este assunto é muito apreciada. Obrigado pela sua cooperação.
Atenciosamente,
&lt;name&gt;
&lt;company_name&gt;
&lt;email_address&gt;
&lt;tel_num&gt;</t>
        </is>
      </c>
      <c r="G154" s="1" t="inlineStr">
        <is>
          <t>Incident</t>
        </is>
      </c>
      <c r="H154" s="1" t="inlineStr">
        <is>
          <t>Prezado &lt;name&gt;,
Obrigado por nos notificar sobre a queda do servidor AWS. Nossa equipe entende a urgência e está priorizando este incidente. Já começamos uma investigação detalhada para identificar a causa raiz e estamos implementando medidas para restaurar seus serviços o mais rápido possível.
Manteremos você atualizado com nosso progresso e quaisquer ações necessárias para evitar mais interrupções. Sua paciência e cooperação são apreciadas durante este período.
Atenciosamente,
Equipe de Suporte de Serviços de TI</t>
        </is>
      </c>
      <c r="I154" s="1" t="inlineStr">
        <is>
          <t>high</t>
        </is>
      </c>
      <c r="J154" s="1" t="inlineStr">
        <is>
          <t>['Service Outage', 'Technical Support', 'Incident Report', 'Urgent Issue', 'System Crash', 'Service Disruption']</t>
        </is>
      </c>
      <c r="K154" s="1" t="inlineStr">
        <is>
          <t>pt</t>
        </is>
      </c>
      <c r="L154" s="1" t="n">
        <v>987</v>
      </c>
    </row>
    <row r="155" ht="16.5" customHeight="1">
      <c r="A155" s="1" t="n">
        <v>1298</v>
      </c>
      <c r="B155" s="3" t="inlineStr">
        <is>
          <t>Gerenciamento de Problemas</t>
        </is>
      </c>
      <c r="C155" s="3" t="inlineStr">
        <is>
          <t>Gerenciamento de Mudanças</t>
        </is>
      </c>
      <c r="D155" s="1" t="inlineStr">
        <is>
          <t>Problema Recurrente de Travamento do Excel Após Atualização</t>
        </is>
      </c>
      <c r="E155" s="1" t="inlineStr">
        <is>
          <t>Technical Support</t>
        </is>
      </c>
      <c r="F155" s="1" t="inlineStr">
        <is>
          <t>Caro Suporte ao Cliente,
Estou escrevendo para relatar um problema contínuo que surgiu após a última atualização de software instalada em meu computador. Meu nome é &lt;name&gt;, e estou enfrentando erros frequentes de travamento especificamente com a aplicação Excel do Microsoft Office 365. Toda vez que tento abrir ou trabalhar dentro do Excel, a aplicação trava inesperadamente, impedindo-me de acessar dados e documentos importantes que preciso para tarefas diárias. Este problema parece persistir independentemente do arquivo de planilha que estou tentando abrir ou criar. Começou imediatamente após a instalação da atualização de software, razão pela qual suspeitamos que possa estar associado às recentes mudanças. Você poderia, por favor, fornecer orientações ou uma possível solução para resolver essa questão rapidamente? Eu dependo muito do Microsoft Office 365 para o meu trabalho e espero que esse problema seja resolvido o mais rápido possível. Entendendo a urgência de manter a produtividade, aguardo sua pronta resposta. Sinta-se à vontade para me contatar pelo &lt;tel_num&gt;.
Obrigado pelo seu apoio.
Atenciosamente,
&lt;name&gt;</t>
        </is>
      </c>
      <c r="G155" s="1" t="inlineStr">
        <is>
          <t>Incident</t>
        </is>
      </c>
      <c r="H155" s="1" t="inlineStr">
        <is>
          <t>Caro &lt;name&gt;,
Obrigado por entrar em contato conosco sobre o problema de travamento do Excel após sua recente atualização de software. Eu entendo o quão disruptivo isso pode ser e estou aqui para ajudar você a resolver rapidamente.
Primeiramente, tente reparar sua instalação do Office com estes passos:
1. Abra o Painel de Controle &gt; Programas &gt; Programas e Recursos.
2. Selecione Microsoft Office 365 e clique em Alterar.
3. Escolha a opção Reparação Rápida primeiro. Se isso não resolver o problema, tente a opção Reparação Online.
Se o problema persistir, por favor, garanta que tanto o Excel quanto o Windows estejam atualizados com os patches e atualizações mais recentes.
Como uma solução temporária, tente executar o Excel em Modo Seguro para ver se o problema está relacionado a complementos. Você pode fazer isso pressionando Ctrl enquanto inicia o Excel.
Para assistência adicional, recomendo verificar se o conflito da atualização surge de um Pacote de Serviço específico do Windows ou de qualquer mudança recente de hardware.
Sinta-se à vontade para entrar em contato por e-mail ou pelo seu método de contato direto se estas etapas não resolverem o problema. Estamos comprometidos em ajudá-lo a se reestabelecer rapidamente.
Obrigado pela sua paciência e compreensão.
Atenciosamente,
Agente do Serviço de Atendimento.</t>
        </is>
      </c>
      <c r="I155" s="1" t="inlineStr">
        <is>
          <t>high</t>
        </is>
      </c>
      <c r="J155" s="1" t="inlineStr">
        <is>
          <t>['Technical Support', 'Software Bug', 'Problem Resolution', 'Performance Tuning', 'Urgent Issue', 'Product Support']</t>
        </is>
      </c>
      <c r="K155" s="1" t="inlineStr">
        <is>
          <t>pt</t>
        </is>
      </c>
      <c r="L155" s="1" t="n">
        <v>1135</v>
      </c>
    </row>
    <row r="156" ht="16.5" customHeight="1">
      <c r="A156" s="1" t="n">
        <v>1304</v>
      </c>
      <c r="B156" s="3" t="inlineStr">
        <is>
          <t>Solicitação de Serviço</t>
        </is>
      </c>
      <c r="C156" s="3" t="inlineStr">
        <is>
          <t>Gerenciamento de Configuração</t>
        </is>
      </c>
      <c r="D156" s="1" t="inlineStr">
        <is>
          <t>Solicitação de Suporte para Configuração de Impressora Sem Fio</t>
        </is>
      </c>
      <c r="E156" s="1" t="inlineStr">
        <is>
          <t>Technical Support</t>
        </is>
      </c>
      <c r="F156" s="1" t="inlineStr">
        <is>
          <t>Olá, equipe de suporte de serviços de TI, espero que esta mensagem os encontre bem. Estou entrando em contato para solicitar assistência na configuração de uma conexão sem fio para uma nova impressora em nosso escritório. O modelo da impressora é HP DeskJet 3755, e ela foi comprada recentemente para ajudar a aliviar nossa carga de trabalho. Agradeceríamos sua orientação para garantir que ela se conecte perfeitamente com nossa configuração de rede existente e seja acessível a todos os funcionários. Precisamos resolver isso em breve, pois é essencial para nossas operações diárias, e evitar qualquer problema de conectividade é crucial. Se alguém puder nos guiar pelo processo ou até mesmo agendar uma sessão remota assim que possível, seria muito apreciado. Por favor, nos informe quais os passos que precisamos seguir ou qualquer configuração necessária. Estamos visando uma configuração sem complicações e não desejamos interromper nosso fluxo de trabalho regular. Agradecemos antecipadamente pelo seu apoio e rápida resposta a respeito deste problema. Esperamos ouvir de vocês em breve. Atenciosamente, &lt;name&gt;</t>
        </is>
      </c>
      <c r="G156" s="1" t="inlineStr">
        <is>
          <t>Request</t>
        </is>
      </c>
      <c r="H156" s="1" t="inlineStr">
        <is>
          <t>Olá &lt;name&gt;,
Obrigado por entrar em contato conosco. Podemos certamente ajudá-lo a configurar sua impressora HP DeskJet 3755 para conectividade sem fio. Aqui estão algumas etapas para começar:
1. **Ligue a Impressora**: Certifique-se de que sua impressora esteja conectada e ligada.
2. **Acesse as Configurações da Impressora**: No painel de controle da impressora, navegue até as configurações sem fio.
3. **Conectar ao Wi-Fi**: Selecione a rede Wi-Fi do seu escritório na lista de redes disponíveis e insira a senha quando solicitado.
4. **Instalar Drivers da Impressora**: Certifique-se de que os drivers necessários da impressora estejam instalados em todos os computadores que precisam de acesso. Você pode baixar os drivers no site de suporte da HP.
5. **Configurar Rede nos Computadores**: Em cada computador, vá até 'Dispositivos e Impressoras' no Painel de Controle, selecione 'Adicionar uma Impressora' e escolha sua HP DeskJet 3755 na rede.
Se essas etapas não resolverem seu problema, estamos disponíveis para agendar uma sessão remota assim que possível. Por favor, nos informe sua hora preferida para a sessão, e um de nossos técnicos irá ajudá-lo.
Estamos comprometidos em garantir que essa configuração não atrapalhe seu fluxo de trabalho. Por favor, mantenha-nos informados sobre seu progresso.
Obrigado por escolher nossos Serviços de TI.
Atenciosamente,
Equipe de Suporte de Serviços de TI</t>
        </is>
      </c>
      <c r="I156" s="1" t="inlineStr">
        <is>
          <t>low</t>
        </is>
      </c>
      <c r="J156" s="1" t="inlineStr">
        <is>
          <t>['Technical Support', 'IT Support', 'Network Issue', 'Product Support', 'Performance Tuning', 'Urgent Issue']</t>
        </is>
      </c>
      <c r="K156" s="1" t="inlineStr">
        <is>
          <t>pt</t>
        </is>
      </c>
      <c r="L156" s="1" t="n">
        <v>1117</v>
      </c>
    </row>
    <row r="157" ht="16.5" customHeight="1">
      <c r="A157" s="1" t="n">
        <v>1322</v>
      </c>
      <c r="B157" s="3" t="inlineStr">
        <is>
          <t>Gerenciamento de Incidentes</t>
        </is>
      </c>
      <c r="C157" s="3" t="inlineStr">
        <is>
          <t>Gerenciamento de Ativos de TI</t>
        </is>
      </c>
      <c r="D157" s="1" t="inlineStr">
        <is>
          <t>Problema com o Teclado</t>
        </is>
      </c>
      <c r="E157" s="1" t="inlineStr">
        <is>
          <t>Product Support</t>
        </is>
      </c>
      <c r="F157" s="1" t="inlineStr">
        <is>
          <t>Caro Suporte ao Cliente,
Espero que esta mensagem o encontre bem. Estou escrevendo para relatar um problema com o recurso de teclado destacável que estou enfrentando com meu Microsoft Surface Pro 7. Infelizmente, parece que o teclado não está funcionando como esperado, o que está afetando significativamente a usabilidade do dispositivo.
O problema se manifesta como o teclado desconectando aleatoriamente durante o uso, o que interrompe meu fluxo de trabalho e torna difícil completar tarefas com eficiência. Eu assegurei que todas as conexões estão seguras e tentei etapas básicas de solução de problemas, como reiniciar o dispositivo e atualizar o software, mas o problema persiste.
Agradeceria qualquer assistência adicional e orientação que você pudesse fornecer para resolver este problema prontamente. Se precisar de mais detalhes ou tiver soluções acionáveis, por favor me avise. Obrigado pela sua atenção a este assunto.
Atenciosamente,
&lt;name&gt;
&lt;email&gt;</t>
        </is>
      </c>
      <c r="G157" s="1" t="inlineStr">
        <is>
          <t>Incident</t>
        </is>
      </c>
      <c r="H157" s="1" t="inlineStr">
        <is>
          <t>Caro &lt;name&gt;,
Obrigado por entrar em contato conosco sobre o problema do teclado com seu Microsoft Surface Pro 7. Lamento saber sobre o inconveniente que isso está causando a você.
Aqui estão algumas etapas adicionais que você pode tentar para resolver o problema:
1. Certifique-se de que os drivers do seu dispositivo estão atualizados, especialmente aqueles relacionados ao Surface e ao firmware do teclado.
2. Tente realizar uma desligamento completo do seu Surface segurando o botão de energia por cerca de 30 segundos e, em seguida, reiniciando.
3. Verifique se há atualizações recentes via Windows Update que possam incluir correções essenciais para seu dispositivo.
Se essas etapas não resolverem o problema, recomendamos visitar um técnico de serviço certificado ou entrar em contato com o Suporte da Microsoft para obter assistência técnica adicional.
Por favor, nos avise se houver mais alguma coisa com que possamos ajudá-lo.
Atenciosamente,
Agente do Service Desk</t>
        </is>
      </c>
      <c r="I157" s="1" t="inlineStr">
        <is>
          <t>high</t>
        </is>
      </c>
      <c r="J157" s="1" t="inlineStr">
        <is>
          <t>['Technical Support', 'Hardware Failure', 'Product Support', 'Problem Resolution']</t>
        </is>
      </c>
      <c r="K157" s="1" t="inlineStr">
        <is>
          <t>pt</t>
        </is>
      </c>
      <c r="L157" s="1" t="n">
        <v>966</v>
      </c>
    </row>
    <row r="158" ht="16.5" customHeight="1">
      <c r="A158" s="1" t="n">
        <v>1337</v>
      </c>
      <c r="B158" s="3" t="inlineStr">
        <is>
          <t>Gerenciamento de Incidentes</t>
        </is>
      </c>
      <c r="C158" s="3" t="inlineStr">
        <is>
          <t>Gerenciamento de Problemas</t>
        </is>
      </c>
      <c r="D158" s="1" t="inlineStr">
        <is>
          <t>Problema com a Exibição do Ticket do Jira</t>
        </is>
      </c>
      <c r="E158" s="1" t="inlineStr">
        <is>
          <t>Technical Support</t>
        </is>
      </c>
      <c r="F158" s="1" t="inlineStr">
        <is>
          <t>Caro Suporte ao Cliente,
Espero que esta mensagem o encontre bem. Estou escrevendo para relatar um problema que estamos enfrentando com o Jira Software 8.20. Nossos tickets não estão sendo exibidos corretamente, causando problemas significativos de gerenciamento de projetos. Isso está afetando a produtividade da nossa equipe e a capacidade de gerenciar projetos de forma eficiente. Peço gentilmente assistência urgente para resolver essa questão, pois está interrompendo nossas operações diárias. Por favor, orientem sobre os próximos passos ou quaisquer modificações que possamos implementar de nossa parte.
Obrigado pela sua atenção imediata a este problema.
Atenciosamente,
&lt;name&gt;</t>
        </is>
      </c>
      <c r="G158" s="1" t="inlineStr">
        <is>
          <t>Problem</t>
        </is>
      </c>
      <c r="H158" s="1" t="inlineStr">
        <is>
          <t>Assunto: Re: Problema com a Exibição do Ticket do Jira
Caro &lt;name&gt;,
Obrigado por entrar em contato sobre o problema de exibição com o Jira Software 8.20. Entendemos a urgência dessa questão e seu impacto em sua equipe. Por favor, tente os seguintes passos:
1. Limpe o cache e os cookies do seu navegador e, em seguida, atualize o Jira.
2. Certifique-se de que todas as atualizações de sistema relevantes estejam instaladas.
3. Verifique se o problema persiste em uma janela de navegação anônima ou em outro navegador.
Se o problema continuar, por favor, forneça os IDs específicos dos tickets que estão causando problemas, junto com quaisquer mensagens de erro recebidas. Essas informações nos ajudarão a acelerar a resolução. Estamos comprometidos em resolver isso rapidamente para restaurar o fluxo de trabalho do seu projeto.
Obrigado pela sua paciência e compreensão.
Atenciosamente,
Equipe de Suporte ao Cliente</t>
        </is>
      </c>
      <c r="I158" s="1" t="inlineStr">
        <is>
          <t>medium</t>
        </is>
      </c>
      <c r="J158" s="1" t="inlineStr">
        <is>
          <t>['Technical Support', 'Urgent Issue', 'Software Bug', 'Problem Resolution', 'Product Support', 'Service Disruption', 'Customer Service', 'IT Support']</t>
        </is>
      </c>
      <c r="K158" s="1" t="inlineStr">
        <is>
          <t>pt</t>
        </is>
      </c>
      <c r="L158" s="1" t="n">
        <v>688</v>
      </c>
    </row>
    <row r="159" ht="16.5" customHeight="1">
      <c r="A159" s="1" t="n">
        <v>1349</v>
      </c>
      <c r="B159" s="3" t="inlineStr">
        <is>
          <t>Solicitação de Serviço</t>
        </is>
      </c>
      <c r="C159" s="3" t="inlineStr">
        <is>
          <t>Gerenciamento de Incidentes</t>
        </is>
      </c>
      <c r="D159" s="1" t="inlineStr">
        <is>
          <t>Consulta sobre Configuração de Impressão Sem Fio para Epson EcoTank ET-4760</t>
        </is>
      </c>
      <c r="E159" s="1" t="inlineStr">
        <is>
          <t>Customer Service</t>
        </is>
      </c>
      <c r="F159" s="1" t="inlineStr">
        <is>
          <t>Prezado Suporte ao Cliente,
Estou buscando sua assistência para configurar a funcionalidade de impressão sem fio na minha impressora Epson EcoTank ET-4760. Recentemente adquiri este produto e gostaria de garantir que ele esteja configurado corretamente para funcionar com vários dispositivos via Wi-Fi. Você poderia me fornecer instruções detalhadas passo a passo ou me direcionar a um recurso que possa ajudar? Além disso, qualquer dica para solucionar problemas comuns de conectividade seria apreciada. Obrigado pelo seu apoio.
Atenciosamente,
&lt;name&gt;</t>
        </is>
      </c>
      <c r="G159" s="1" t="inlineStr">
        <is>
          <t>Request</t>
        </is>
      </c>
      <c r="H159" s="1" t="inlineStr">
        <is>
          <t>Prezado &lt;name&gt;,
Para configurar a impressão sem fio para sua Epson EcoTank ET-4760, siga estas etapas: Conecte sua impressora ao Wi-Fi através do display da impressora, selecionando Configuração de Wi-Fi. Baixe e instale os drivers da impressora no site da Epson em cada dispositivo. Adicione a impressora nas configurações de impressora do seu dispositivo. Para problemas de conectividade, certifique-se de que seu roteador e a impressora estão próximos, verifique a estabilidade da rede e reinicie ambos os dispositivos, se necessário. Visite a página de suporte da Epson para mais recursos.
Atenciosamente,
Suporte ao Cliente</t>
        </is>
      </c>
      <c r="I159" s="1" t="inlineStr">
        <is>
          <t>low</t>
        </is>
      </c>
      <c r="J159" s="1" t="inlineStr">
        <is>
          <t>['Technical Support', 'Product Support', 'Customer Service', 'General Inquiry', 'Technical Guidance']</t>
        </is>
      </c>
      <c r="K159" s="1" t="inlineStr">
        <is>
          <t>pt</t>
        </is>
      </c>
      <c r="L159" s="1" t="n">
        <v>555</v>
      </c>
    </row>
    <row r="160" ht="16.5" customHeight="1">
      <c r="A160" s="1" t="n">
        <v>1354</v>
      </c>
      <c r="B160" s="3" t="inlineStr">
        <is>
          <t>Solicitação de Serviço</t>
        </is>
      </c>
      <c r="C160" s="3" t="inlineStr">
        <is>
          <t>Gerenciamento de Ativos de TI</t>
        </is>
      </c>
      <c r="D160" s="1" t="inlineStr">
        <is>
          <t>Consulta sobre o Upgrade do Dell XPS 13 9310</t>
        </is>
      </c>
      <c r="E160" s="1" t="inlineStr">
        <is>
          <t>Customer Service</t>
        </is>
      </c>
      <c r="F160" s="1" t="inlineStr">
        <is>
          <t>Olá,
Espero que esta mensagem o encontre bem. Estou considerando fazer o upgrade da RAM no meu Dell XPS 13 9310 e apreciaria sua orientação. Poderia, por favor, fornecer informações sobre a compatibilidade e os modelos disponíveis? Sua experiência e conselho sobre este assunto seriam imensamente úteis.
Obrigado.
Atenciosamente,
&lt;name&gt;</t>
        </is>
      </c>
      <c r="G160" s="1" t="inlineStr">
        <is>
          <t>Request</t>
        </is>
      </c>
      <c r="H160" s="1" t="inlineStr">
        <is>
          <t>Olá &lt;name&gt;, para o Dell XPS 13 9310, a RAM é soldada na placa-mãe e não pode ser atualizada. Confira o site da Dell ou entre em contato com o suporte deles para as informações e alternativas mais recentes. Se você tiver mais perguntas, fique à vontade para entrar em contato. Atenciosamente, Agente do Service Desk.</t>
        </is>
      </c>
      <c r="I160" s="1" t="inlineStr">
        <is>
          <t>low</t>
        </is>
      </c>
      <c r="J160" s="1" t="inlineStr">
        <is>
          <t>['Technical Support', 'Product Support', 'Technical Guidance', 'General Inquiry']</t>
        </is>
      </c>
      <c r="K160" s="1" t="inlineStr">
        <is>
          <t>pt</t>
        </is>
      </c>
      <c r="L160" s="1" t="n">
        <v>339</v>
      </c>
    </row>
    <row r="161" ht="16.5" customHeight="1">
      <c r="A161" s="1" t="n">
        <v>1359</v>
      </c>
      <c r="B161" s="3" t="inlineStr">
        <is>
          <t>Gerenciamento de Incidentes</t>
        </is>
      </c>
      <c r="C161" s="3" t="inlineStr">
        <is>
          <t>Gerenciamento de Ativos de TI</t>
        </is>
      </c>
      <c r="D161" s="1" t="inlineStr">
        <is>
          <t>Problema com a tela sensível ao toque do Surface Pro 7</t>
        </is>
      </c>
      <c r="E161" s="1" t="inlineStr">
        <is>
          <t>Product Support</t>
        </is>
      </c>
      <c r="F161" s="1" t="inlineStr">
        <is>
          <t>Caro Suporte ao Cliente da Tech Online Store,
Estou escrevendo para relatar um problema com meu Microsoft Surface Pro 7. Ocasionalmente, a tela sensível ao toque fica sem resposta, o que prejudica significativamente o uso eficaz. Por favor, ajudem a resolver esta questão. É essencial para minhas tarefas diárias, e ter um funcionamento otimizado é crucial.
Agradeceria qualquer passo de solução de problemas ou se o serviço for necessário. Meu número de conta é &lt;acc_num&gt;, e você pode me contatar pelo &lt;tel_num&gt;.
Obrigado pela sua atenção rápida a este problema. Aguardo sua assistência rápida.
Atenciosamente,
&lt;name&gt;</t>
        </is>
      </c>
      <c r="G161" s="1" t="inlineStr">
        <is>
          <t>Incident</t>
        </is>
      </c>
      <c r="H161" s="1" t="inlineStr">
        <is>
          <t>Caro &lt;name&gt;,
Obrigado por entrar em contato com o Suporte ao Cliente da Tech Online Store sobre seu problema com a tela sensível ao toque do Microsoft Surface Pro 7. Para solucionar, por favor, tente os seguintes passos:
1. Reinicie seu dispositivo.
2. Instale quaisquer atualizações do Windows pendentes.
3. Calibre a tela sensível ao toque através do Painel de Controle em Configurações do Tablet.
4. Execute o solucionador de problemas de Hardware e Dispositivos (Configurações &gt; Atualização e Segurança &gt; Solucionar Problemas).
Se o problema persistir, recomendamos realizar uma restauração de fábrica, garantindo que dados importantes estejam salvos. Caso esses passos não resolvam o problema, nossa equipe de serviço pode precisar avaliar o dispositivo pessoalmente.
Sinta-se à vontade para nos ligar em nossa linha de serviço para discutir opções de atendimento, mencionando seu número de conta &lt;acc_num&gt;. Temos como objetivo fornecer assistência rápida.
Atenciosamente,
Suporte ao Cliente da Tech Online Store</t>
        </is>
      </c>
      <c r="I161" s="1" t="inlineStr">
        <is>
          <t>medium</t>
        </is>
      </c>
      <c r="J161" s="1" t="inlineStr">
        <is>
          <t>['Technical Support', 'Product Support', 'Hardware Failure', 'Problem Resolution', 'Customer Service']</t>
        </is>
      </c>
      <c r="K161" s="1" t="inlineStr">
        <is>
          <t>pt</t>
        </is>
      </c>
      <c r="L161" s="1" t="n">
        <v>622</v>
      </c>
    </row>
    <row r="162" ht="16.5" customHeight="1">
      <c r="A162" s="1" t="n">
        <v>1373</v>
      </c>
      <c r="B162" s="3" t="inlineStr">
        <is>
          <t>Gerenciamento de Incidentes</t>
        </is>
      </c>
      <c r="C162" s="3" t="inlineStr">
        <is>
          <t>Gerenciamento de Disponibilidade</t>
        </is>
      </c>
      <c r="D162" s="1" t="inlineStr">
        <is>
          <t>Problema Urgente: O Colapso do Sistema de Tickets do Jira Software</t>
        </is>
      </c>
      <c r="E162" s="1" t="inlineStr">
        <is>
          <t>Product Support</t>
        </is>
      </c>
      <c r="F162" s="1" t="inlineStr">
        <is>
          <t>Prezado Time de Suporte ao Cliente,
Estou escrevendo para expressar minha preocupação em relação a um problema significativo que estamos enfrentando com a versão 8.20 do Jira Software durante nossas importantes reuniões de scrum. Esse problema está causando uma interrupção substancial em nosso processo de gerenciamento de projetos, e precisamos de assistência urgente para resolvê-lo.
Durante nossas recentes sessões de scrum, o sistema de tickets do Jira começou a travar inesperadamente, interrompendo nosso fluxo de trabalho e impedindo nossa capacidade de rastrear e gerenciar nossas tarefas de desenvolvimento de forma eficiente. Dado que essas reuniões são essenciais para planejar e monitorar nossos sprints, as interrupções recorrentes tornaram-se um grande obstáculo. Isso impacta a produtividade de nossa equipe e nos impede de fazer os ajustes necessários nos projetos a tempo.
Confiamos muito no Jira como nossa principal ferramenta para organizar nosso backlog e monitorar o progresso dos sprints. A incapacidade de acessar o sistema durante reuniões de planejamento chave nos atrasa em termos de entregas e afeta negativamente nosso cronograma. Além disso, a equipe acha desafiador colaborar sem a ajuda das abrangentes funcionalidades de rastreamento do Jira que passamos a depender.
Você poderia investigar essa questão com prioridade e fornecer qualquer solução ou alternativa disponível para mitigar a interrupção? Esperamos uma resolução oportuna e aguardamos sua rápida resposta. Nosso número de conta é &lt;acc_num&gt; se necessário para referência.
Obrigado pela sua imediata atenção a este assunto.
Atenciosamente,
&lt;name&gt;
&lt;tel_num&gt;</t>
        </is>
      </c>
      <c r="G162" s="1" t="inlineStr">
        <is>
          <t>Problem</t>
        </is>
      </c>
      <c r="H162" s="1" t="inlineStr">
        <is>
          <t>Prezado &lt;name&gt;,
Obrigado por entrar em contato sobre os problemas que você está enfrentando com a versão 8.20 do Jira Software. Pedimos desculpas pela interrupção que isso causou durante suas reuniões de scrum e entendemos quão crucial um fluxo de trabalho suave é para o seu gerenciamento de projetos.
Para resolver isso, vamos investigar prontamente o problema de travamento. Por favor, compartilhe quaisquer mensagens de erro ou cenários específicos que precedam o travamento. Enquanto isso, tente reiniciar o servidor ou verificar por quaisquer atualizações recentes ou conflitos de plugins.
Vamos acelerar este assunto. Detalhes da sua conta, &lt;acc_num&gt;, foram anotados para referência. Espere nossa rápida resposta com mais atualizações ou soluções.
Agradecemos sua paciência e compreensão.
Atenciosamente,
Equipe de Suporte ao Cliente</t>
        </is>
      </c>
      <c r="I162" s="1" t="inlineStr">
        <is>
          <t>high</t>
        </is>
      </c>
      <c r="J162" s="1" t="inlineStr">
        <is>
          <t>['Urgent Issue', 'System Crash', 'Service Disruption', 'Technical Support', 'Problem Resolution', 'Software Bug', 'Service Recovery']</t>
        </is>
      </c>
      <c r="K162" s="1" t="inlineStr">
        <is>
          <t>pt</t>
        </is>
      </c>
      <c r="L162" s="1" t="n">
        <v>1657</v>
      </c>
    </row>
    <row r="163" ht="16.5" customHeight="1">
      <c r="A163" s="1" t="n">
        <v>1390</v>
      </c>
      <c r="B163" s="3" t="inlineStr">
        <is>
          <t>Gerenciamento de Incidentes</t>
        </is>
      </c>
      <c r="C163" s="3" t="inlineStr">
        <is>
          <t>Gerenciamento de Problemas</t>
        </is>
      </c>
      <c r="D163" s="1" t="inlineStr">
        <is>
          <t>Problemas com Videoconferência no Zoom</t>
        </is>
      </c>
      <c r="E163" s="1" t="inlineStr">
        <is>
          <t>Technical Support</t>
        </is>
      </c>
      <c r="F163" s="1" t="inlineStr">
        <is>
          <t>Caro Equipe de Suporte da Tech Online Store,
Estou escrevendo para solicitar assistência com um problema recorrente que venho enfrentando durante sessões de videoconferência usando a aplicação Zoom versão 5.11.0, que comprei na sua loja. O problema afeta a sincronização de áudio e vídeo, causando atrasos e interrupções durante as chamadas. Certifiquei-me de que minha conexão de internet está estável e que o dispositivo atende a todos os requisitos necessários para rodar o Zoom de forma suave.
Agradeceria se você pudesse fornecer quaisquer passos de solução de problemas ou uma possível atualização para resolver esses problemas. Detalhes da minha conta são os seguintes: O Número da Conta é &lt;acc_num&gt;. Estou anexando um registro da minha chamada recente que pode ajudar a diagnosticar o problema. Por favor, aconselhe sobre os próximos passos que eu devo tomar. Você pode me contatar em &lt;email&gt; ou me ligar pelo telefone &lt;tel_num&gt;.
Obrigado pela sua atenção a este assunto.
Atenciosamente,
&lt;name&gt;</t>
        </is>
      </c>
      <c r="G163" s="1" t="inlineStr">
        <is>
          <t>Request</t>
        </is>
      </c>
      <c r="H163" s="1" t="inlineStr">
        <is>
          <t>Caro &lt;name&gt;,
Obrigado por entrar em contato conosco sobre os problemas de videoconferência no Zoom. Lamentamos saber sobre as dificuldades que você está enfrentando com a sincronização de áudio e vídeo.
Aqui estão alguns passos de solução de problemas que podem ajudar a resolver a questão:
1. Certifique-se de que sua aplicação Zoom está atualizada. A versão mais recente pode conter correções para problemas de sincronização.
2. Verifique as configurações de áudio e vídeo no Zoom para que correspondam à configuração do seu dispositivo.
3. Feche quaisquer aplicações desnecessárias que estejam rodando em segundo plano e que possam estar consumindo largura de banda.
4. Tente desinstalar e reinstalar o aplicativo Zoom para garantir um ponto de partida limpo.
5. Reinicie seu dispositivo e roteador para limpar quaisquer problemas temporários de conectividade.
Se esses passos não resolverem o problema, o registro de chamada anexado pode nos ajudar a analisar a questão mais a fundo. Certifique-se de que o arquivo de log está anexado corretamente e envie-o novamente, se necessário.
Nossa equipe de suporte irá revisar os detalhes e entrar em contato com você pelo seu e-mail ou número de telefone fornecido para mais assistência.
Obrigado pela sua paciência e compreensão.
Atenciosamente,
Equipe de Suporte da Tech Online Store</t>
        </is>
      </c>
      <c r="I163" s="1" t="inlineStr">
        <is>
          <t>high</t>
        </is>
      </c>
      <c r="J163" s="1" t="inlineStr">
        <is>
          <t>['Technical Support', 'Software Bug', 'Problem Resolution', 'Service Disruption', 'Product Support', 'General Inquiry', 'Customer Service']</t>
        </is>
      </c>
      <c r="K163" s="1" t="inlineStr">
        <is>
          <t>pt</t>
        </is>
      </c>
      <c r="L163" s="1" t="n">
        <v>1006</v>
      </c>
    </row>
    <row r="164" ht="16.5" customHeight="1">
      <c r="A164" s="1" t="n">
        <v>1420</v>
      </c>
      <c r="B164" s="3" t="inlineStr">
        <is>
          <t>Solicitação de Serviço</t>
        </is>
      </c>
      <c r="C164" s="3" t="inlineStr">
        <is>
          <t>Gerenciamento Financeiro</t>
        </is>
      </c>
      <c r="D164" s="1" t="inlineStr">
        <is>
          <t>Consulta sobre Pacotes de Consultoria e Preços</t>
        </is>
      </c>
      <c r="E164" s="1" t="inlineStr">
        <is>
          <t>Sales and Pre-Sales</t>
        </is>
      </c>
      <c r="F164" s="1" t="inlineStr">
        <is>
          <t>Caro Suporte ao Cliente,
Espero que este e-mail o encontre bem. Estou entrando em contato para perguntar sobre os diversos pacotes de consultoria e opções de preços que sua empresa oferece. Estamos considerando aprimorar nossa infraestrutura de TI e precisamos de ajuda profissional para manter nossos servidores de forma eficiente. Você poderia fornecer informações detalhadas sobre o que seus Serviços de Consultoria em TI abrangem, incluindo quaisquer planos disponíveis que sejam voltados para a manutenção de servidores e melhorias na infraestrutura de TI? Além disso, estamos interessados em compreender quaisquer custos associados ou descontos disponíveis.
Obrigado pela sua atenção a este assunto. Aguardo sua resposta rápida, pois isso nos ajudará muito a tomar uma decisão informada. Sinta-se à vontade para entrar em contato comigo caso precise de mais informações.
Atenciosamente,
&lt;name&gt;</t>
        </is>
      </c>
      <c r="G164" s="1" t="inlineStr">
        <is>
          <t>Request</t>
        </is>
      </c>
      <c r="H164" s="1" t="inlineStr">
        <is>
          <t>Caro &lt;name&gt;,
Obrigado por entrar em contato conosco a respeito de nossos pacotes de consultoria. Oferecemos uma gama de Serviços de Consultoria em TI projetados para aprimorar e manter sua infraestrutura de TI de forma eficiente, incluindo manutenção de servidores e melhorias na infraestrutura de TI.
Nossos pacotes são adaptados a várias necessidades e orçamentos, e fornecemos planos abrangentes, como:
- Pacote de Manutenção Básica: Cobre verificações e atualizações de servidores de rotina.
- Pacote de Suporte Padrão: Inclui manutenção juntamente com otimização de desempenho e avaliações de segurança.
- Pacote Personalizado Premium: Um plano sob medida que se alinha de perto às necessidades específicas de infraestrutura e às necessidades de suporte contínuo.
Os preços variam com base no nível de serviço e nos requisitos específicos da sua infraestrutura de TI. Também oferecemos descontos para contratos de longo prazo e pacotes de múltiplos serviços.
Por favor, nos avise se precisar de um orçamento personalizado ou de mais assistência na seleção do pacote certo para suas necessidades.
Aguardamos ansiosamente ajudá-lo a tomar a melhor decisão para suas melhorias em TI.
Atenciosamente,
Equipe de Suporte ao Cliente</t>
        </is>
      </c>
      <c r="I164" s="1" t="inlineStr">
        <is>
          <t>low</t>
        </is>
      </c>
      <c r="J164" s="1" t="inlineStr">
        <is>
          <t>['Customer Service', 'Sales Inquiry', 'IT Support', 'Technical Guidance', 'Consulting Services', 'Product Support', 'General Inquiry', 'Performance Tuning']</t>
        </is>
      </c>
      <c r="K164" s="1" t="inlineStr">
        <is>
          <t>pt</t>
        </is>
      </c>
      <c r="L164" s="1" t="n">
        <v>903</v>
      </c>
    </row>
    <row r="165" ht="16.5" customHeight="1">
      <c r="A165" s="1" t="n">
        <v>1426</v>
      </c>
      <c r="B165" s="3" t="inlineStr">
        <is>
          <t>Gerenciamento de Incidentes</t>
        </is>
      </c>
      <c r="C165" s="3" t="inlineStr">
        <is>
          <t>Gerenciamento de Disponibilidade</t>
        </is>
      </c>
      <c r="D165" s="1" t="inlineStr">
        <is>
          <t>Ação Imediata Necessária para Interrupção do Serviço AWS</t>
        </is>
      </c>
      <c r="E165" s="1" t="inlineStr">
        <is>
          <t>Service Outages and Maintenance</t>
        </is>
      </c>
      <c r="F165" s="1" t="inlineStr">
        <is>
          <t>A interrupção do serviço AWS está causando tempo de inatividade do aplicativo e requer assistência urgente.</t>
        </is>
      </c>
      <c r="G165" s="1" t="inlineStr">
        <is>
          <t>Incident</t>
        </is>
      </c>
      <c r="H165" s="1" t="inlineStr">
        <is>
          <t>Estamos monitorando a situação e abordando a interrupção do serviço AWS para trazer seu aplicativo de volta online. Manteremos você informado à medida que fizermos progressos. Obrigado pela sua compreensão.</t>
        </is>
      </c>
      <c r="I165" s="1" t="inlineStr">
        <is>
          <t>high</t>
        </is>
      </c>
      <c r="J165" s="1" t="inlineStr">
        <is>
          <t>['Service Outage', 'Urgent Issue', 'Technical Support', 'Incident Report', 'Service Disruption']</t>
        </is>
      </c>
      <c r="K165" s="1" t="inlineStr">
        <is>
          <t>pt</t>
        </is>
      </c>
      <c r="L165" s="1" t="n">
        <v>107</v>
      </c>
    </row>
    <row r="166" ht="16.5" customHeight="1">
      <c r="A166" s="1" t="n">
        <v>1432</v>
      </c>
      <c r="B166" s="3" t="inlineStr">
        <is>
          <t>Solicitação de Serviço</t>
        </is>
      </c>
      <c r="C166" s="3" t="inlineStr">
        <is>
          <t>Gerenciamento de Incidentes</t>
        </is>
      </c>
      <c r="D166" s="1" t="inlineStr">
        <is>
          <t>Assistência com Configuração da Samsung QLED</t>
        </is>
      </c>
      <c r="E166" s="1" t="inlineStr">
        <is>
          <t>Customer Service</t>
        </is>
      </c>
      <c r="F166" s="1" t="inlineStr">
        <is>
          <t>Caro Suporte ao Cliente,
Preciso de ajuda para configurar minha nova TV Smart Samsung QLED QN90A e conectá-la ao Wi-Fi. Você poderia, por favor, fornecer orientações ou recomendar etapas ou recursos específicos? Obrigado pela sua assistência.
Atenciosamente,
&lt;name&gt;</t>
        </is>
      </c>
      <c r="G166" s="1" t="inlineStr">
        <is>
          <t>Request</t>
        </is>
      </c>
      <c r="H166" s="1" t="inlineStr">
        <is>
          <t>Caro &lt;name&gt;,
Para configurar sua TV Smart Samsung QLED QN90A e conectá-la ao Wi-Fi, siga estas etapas:
1. Ligue sua TV e siga as instruções de configuração na tela.
2. Vá para Configurações &gt; Geral &gt; Rede.
3. Selecione Configurações de Rede &gt; Sem Fio.
4. Escolha sua rede Wi-Fi, insira a senha e conecte.
Para instruções detalhadas, visite o site de suporte da Samsung ou consulte o manual do usuário. Se você encontrar algum problema, fique à vontade para nos contatar.
Atenciosamente,
Equipe de Suporte ao Cliente</t>
        </is>
      </c>
      <c r="I166" s="1" t="inlineStr">
        <is>
          <t>medium</t>
        </is>
      </c>
      <c r="J166" s="1" t="inlineStr">
        <is>
          <t>['Technical Support', 'Product Support', 'General Inquiry', 'Problem Resolution']</t>
        </is>
      </c>
      <c r="K166" s="1" t="inlineStr">
        <is>
          <t>pt</t>
        </is>
      </c>
      <c r="L166" s="1" t="n">
        <v>267</v>
      </c>
    </row>
    <row r="167" ht="16.5" customHeight="1">
      <c r="A167" s="1" t="n">
        <v>1443</v>
      </c>
      <c r="B167" s="3" t="inlineStr">
        <is>
          <t>Solicitação de Serviço</t>
        </is>
      </c>
      <c r="C167" s="3" t="inlineStr">
        <is>
          <t>Gerenciamento de Ativos de TI</t>
        </is>
      </c>
      <c r="D167" s="1" t="inlineStr">
        <is>
          <t>Solicitação de Troca: Problema com a Tela Touchscreen do Dell XPS 13 9310</t>
        </is>
      </c>
      <c r="E167" s="1" t="inlineStr">
        <is>
          <t>Returns and Exchanges</t>
        </is>
      </c>
      <c r="F167" s="1" t="inlineStr">
        <is>
          <t>Caro Suporte ao Cliente, estou enfrentando problemas com a tela touchscreen do Dell XPS 13 9310 adquirido em sua loja. Solicito assistência para troca. Meu número do pedido é &lt;order_num&gt;. Obrigado, &lt;name&gt;, &lt;tel_num&gt;.</t>
        </is>
      </c>
      <c r="G167" s="1" t="inlineStr">
        <is>
          <t>Change</t>
        </is>
      </c>
      <c r="H167" s="1" t="inlineStr">
        <is>
          <t>Caro &lt;name&gt;,
Obrigado por entrar em contato sobre o problema da tela touchscreen com seu Dell XPS 13 9310. Pedimos desculpas pelo inconveniente. Para prosseguir com a troca, por favor, visite nossa loja ou entre em contato com nosso serviço de atendimento ao cliente com seu número do pedido &lt;order_num&gt; para mais assistência. Nossa equipe ficará feliz em ajudar. Informe-nos se houver algo mais que possamos fazer para ajudar.
Atenciosamente,
Equipe de Suporte ao Cliente</t>
        </is>
      </c>
      <c r="I167" s="1" t="inlineStr">
        <is>
          <t>medium</t>
        </is>
      </c>
      <c r="J167" s="1" t="inlineStr">
        <is>
          <t>['Returns and Exchanges', 'Product Support', 'Customer Service', 'Hardware Failure', 'Order Issue', 'Technical Support']</t>
        </is>
      </c>
      <c r="K167" s="1" t="inlineStr">
        <is>
          <t>pt</t>
        </is>
      </c>
      <c r="L167" s="1" t="n">
        <v>216</v>
      </c>
    </row>
    <row r="168" ht="16.5" customHeight="1">
      <c r="A168" s="1" t="n">
        <v>1461</v>
      </c>
      <c r="B168" s="3" t="inlineStr">
        <is>
          <t>Gerenciamento de Incidentes</t>
        </is>
      </c>
      <c r="C168" s="3" t="inlineStr">
        <is>
          <t>Gerenciamento de Problemas</t>
        </is>
      </c>
      <c r="D168" s="1" t="inlineStr">
        <is>
          <t>Erro SQL recorrente impactando a recuperação de dados para projetos</t>
        </is>
      </c>
      <c r="E168" s="1" t="inlineStr">
        <is>
          <t>IT Support</t>
        </is>
      </c>
      <c r="F168" s="1" t="inlineStr">
        <is>
          <t>Caro Time de Suporte dos Serviços de TI,
Estou escrevendo para relatar um problema que um de nossos clientes, &lt;name&gt;, está enfrentando com o PostgreSQL 14.3. Eles identificaram erros SQL recorrentes ao tentar acessar o banco de dados, o que está impactando significativamente sua capacidade de recuperar dados para vários projetos críticos. Este problema está causando interrupções consideráveis em suas operações diárias, e eles estão buscando uma resolução imediata.
O cliente relata que os erros SQL são imprevisíveis, mas se tornaram mais frequentes nas últimas semanas. Esses problemas surgem durante a execução de consultas de dados, interrompendo o progresso nas tarefas essenciais para a conclusão do projeto. Revisamos suas configurações atuais e garantimos que estão alinhadas com os parâmetros padrão recomendados para desempenho otimizado.
Por favor, aconselhe sobre os próximos passos que devemos tomar para solucionar e resolver este problema persistente. Agradeceríamos imensamente qualquer assistência acelerada que você puder fornecer para minimizar o impacto na produtividade de nosso cliente.
Obrigado pela sua atenção imediata a este assunto.
Atenciosamente,
&lt;name&gt;
&lt;name&gt;@company.com
&lt;tel_num&gt;</t>
        </is>
      </c>
      <c r="G168" s="1" t="inlineStr">
        <is>
          <t>Problem</t>
        </is>
      </c>
      <c r="H168" s="1" t="inlineStr">
        <is>
          <t>Caro &lt;name&gt;,
Obrigado por nos trazer esse problema à nossa atenção. Para resolver os erros SQL recorrentes que seu cliente está enfrentando com o PostgreSQL 14.3, aqui estão alguns passos imediatos que você pode seguir:
1. **Verifique os Logs:** Revise os logs do PostgreSQL para quaisquer mensagens de erro ou padrões que possam indicar a causa raiz dos erros.
2. **Atualize o Software:** Certifique-se de que o PostgreSQL esteja atualizado com o último patch para eliminar quaisquer bugs conhecidos que possam estar causando o problema.
3. **Revise as Consultas:** Analise as consultas SQL que estão sendo executadas para identificar quaisquer ineficiências ou áreas problemáticas que possam ser otimizadas.
4. **Monitoramento de Recursos:** Monitore o uso de recursos do servidor (CPU, memória, disco) para garantir que não seja um problema de capacidade causando as interrupções.
5. **Executar Comandos de Diagnóstico:** Use ferramentas como ‘EXPLAIN’ para obter insights sobre o desempenho das consultas.
6. **Verificações de Integridade do Banco de Dados:** Execute verificações de integridade para garantir que o banco de dados esteja consistente e não haja corrupções.
Se essas ações não resolverem o problema, forneça-nos mensagens de erro específicas e logs. Podemos então oferecer mais assistência ou escalar a questão a um especialista. Entendemos a urgência e o impacto nas operações do seu cliente e priorizaremos isso para restaurar a funcionalidade o mais rápido possível.
Obrigado pela sua cooperação e paciência.
Atenciosamente,
Equipe de Suporte dos Serviços de TI</t>
        </is>
      </c>
      <c r="I168" s="1" t="inlineStr">
        <is>
          <t>medium</t>
        </is>
      </c>
      <c r="J168" s="1" t="inlineStr">
        <is>
          <t>['Technical Support', 'IT Support', 'Software Bug', 'Urgent Issue', 'Problem Resolution', 'Service Disruption', 'Database Issue']</t>
        </is>
      </c>
      <c r="K168" s="1" t="inlineStr">
        <is>
          <t>pt</t>
        </is>
      </c>
      <c r="L168" s="1" t="n">
        <v>1220</v>
      </c>
    </row>
    <row r="169" ht="16.5" customHeight="1">
      <c r="A169" s="1" t="n">
        <v>1462</v>
      </c>
      <c r="B169" s="3" t="inlineStr">
        <is>
          <t>Gerenciamento de Incidentes</t>
        </is>
      </c>
      <c r="C169" s="3" t="inlineStr">
        <is>
          <t>Gerenciamento de Disponibilidade</t>
        </is>
      </c>
      <c r="D169" s="1" t="inlineStr">
        <is>
          <t>Assistência Urgente Necessária: Interruptão de Serviço da AWS</t>
        </is>
      </c>
      <c r="E169" s="1" t="inlineStr">
        <is>
          <t>Service Outages and Maintenance</t>
        </is>
      </c>
      <c r="F169" s="1" t="inlineStr">
        <is>
          <t>Caro Time de Suporte ao Cliente de Serviços de TI,
Espero que esta mensagem encontre você bem. Estou escrevendo para informá-los sobre uma interrupção inesperada no serviço que estamos enfrentando com o AWS Management Service. Nosso sistema de monitoramento da AWS indicou uma interrupção inesperada nos serviços, o que está afetando significativamente nossa acessibilidade na nuvem e nossa produtividade geral. Esta situação está impactando nossas operações, e estamos em grande necessidade de sua expertise técnica para nos ajudar a resolver esses desafios o mais cedo possível.
Você poderia, por favor, acelerar essa questão e nos fornecer a assistência necessária para restaurar as operações normais? Dependemos muito da AWS para nossas atividades diárias, e qualquer tempo de inatividade afeta severamente nosso fluxo de trabalho e entrega de serviços. Agradecemos sua pronta atenção a este assunto e aguardamos seu rápido apoio para restaurar a funcionalidade total.
Sinta-se à vontade para me contatar pelo &lt;tel_num&gt; ou me enviar um e-mail para qualquer discussão ou esclarecimento adicional. Obrigado pela sua imediata atenção e suporte.
Atenciosamente,
&lt;name&gt;</t>
        </is>
      </c>
      <c r="G169" s="1" t="inlineStr">
        <is>
          <t>Incident</t>
        </is>
      </c>
      <c r="H169" s="1" t="inlineStr">
        <is>
          <t>Caro &lt;name&gt;,
Obrigado por nos contatar. Entendemos a urgência da interrupção de serviço que está afetando suas operações da AWS. Nossa equipe técnica já está trabalhando para identificar a causa raiz e priorizará a restauração da funcionalidade total do seu AWS Management Service o mais rápido possível.
Agradecemos sua paciência e manteremos você atualizado sobre o progresso. Se você tiver mais perguntas ou precisar de assistência adicional, não hesite em nos contatar pelo &lt;tel_num&gt;.
Atenciosamente,
Equipe de Suporte ao Cliente de Serviços de TI</t>
        </is>
      </c>
      <c r="I169" s="1" t="inlineStr">
        <is>
          <t>medium</t>
        </is>
      </c>
      <c r="J169" s="1" t="inlineStr">
        <is>
          <t>['Service Outage', 'Technical Support', 'Urgent Issue', 'Product Support', 'Incident Report', 'Service Recovery']</t>
        </is>
      </c>
      <c r="K169" s="1" t="inlineStr">
        <is>
          <t>pt</t>
        </is>
      </c>
      <c r="L169" s="1" t="n">
        <v>1173</v>
      </c>
    </row>
    <row r="170" ht="16.5" customHeight="1">
      <c r="A170" s="1" t="n">
        <v>1484</v>
      </c>
      <c r="B170" s="3" t="inlineStr">
        <is>
          <t>Gerenciamento Financeiro</t>
        </is>
      </c>
      <c r="C170" s="3" t="inlineStr">
        <is>
          <t>Gerenciamento de Capacidade</t>
        </is>
      </c>
      <c r="D170" s="1" t="inlineStr">
        <is>
          <t>Problema de Cobrança Inconsistente com o AWS Management</t>
        </is>
      </c>
      <c r="E170" s="1" t="inlineStr">
        <is>
          <t>Customer Service</t>
        </is>
      </c>
      <c r="F170" s="1" t="inlineStr">
        <is>
          <t>Caro Time de Suporte ao Cliente,
Estou escrevendo para solicitar assistência com a cobrança inconsistente vista na nossa conta do AWS Management Service &lt;acc_num&gt;. Suspeitamos que uma alocação de recursos subótima possa ser a causa e precisamos de orientação sobre estratégias eficientes de gerenciamento de custos. Sua ajuda oportuna para otimizar os custos seria muito apreciada. Por favor, entre em contato comigo pelo &lt;tel_num&gt; ou e-mail &lt;email&gt;.
Obrigado,
&lt;name&gt;</t>
        </is>
      </c>
      <c r="G170" s="1" t="inlineStr">
        <is>
          <t>Incident</t>
        </is>
      </c>
      <c r="H170" s="1" t="inlineStr">
        <is>
          <t>Caro &lt;name&gt;,
Obrigado por entrar em contato sobre suas preocupações com a cobrança na conta do AWS Management Service. Entendemos o quanto a gestão eficiente de custos é importante para suas operações. Nossa equipe investigará o assunto e oferecerá orientação sobre a otimização da alocação de recursos para ajudar a reduzir custos. Entraremos em contato em breve pelo seu número de telefone ou e-mail fornecido para discutir mais.
Atenciosamente,
Time de Suporte ao Cliente</t>
        </is>
      </c>
      <c r="I170" s="1" t="inlineStr">
        <is>
          <t>low</t>
        </is>
      </c>
      <c r="J170" s="1" t="inlineStr">
        <is>
          <t>['Billing Issue', 'Customer Service', 'Account Assistance', 'Technical Guidance', 'Problem Resolution']</t>
        </is>
      </c>
      <c r="K170" s="1" t="inlineStr">
        <is>
          <t>pt</t>
        </is>
      </c>
      <c r="L170" s="1" t="n">
        <v>470</v>
      </c>
    </row>
    <row r="171" ht="16.5" customHeight="1">
      <c r="A171" s="1" t="n">
        <v>1486</v>
      </c>
      <c r="B171" s="3" t="inlineStr">
        <is>
          <t>Gerenciamento de Incidentes</t>
        </is>
      </c>
      <c r="C171" s="3" t="inlineStr">
        <is>
          <t>Gerenciamento de Problemas</t>
        </is>
      </c>
      <c r="D171" s="1" t="inlineStr">
        <is>
          <t>Problema ao Criar Tickets no Jira</t>
        </is>
      </c>
      <c r="E171" s="1" t="inlineStr">
        <is>
          <t>Technical Support</t>
        </is>
      </c>
      <c r="F171" s="1" t="inlineStr">
        <is>
          <t>Caro Suporte ao Cliente, estou enfrentando um problema com o Jira Software 8.20, onde a tela congela ao tentar enviar formulários para novos tickets. Isso está afetando severamente nossa eficiência de fluxo de trabalho. Você poderia, por favor, fornecer uma solução ou alternativa para resolver esse problema rapidamente? Sua atenção imediata para restaurar nossa capacidade de criar tickets de maneira eficiente seria muito apreciada. Obrigado pelo seu apoio. Atenciosamente, &lt;name&gt;</t>
        </is>
      </c>
      <c r="G171" s="1" t="inlineStr">
        <is>
          <t>Incident</t>
        </is>
      </c>
      <c r="H171" s="1" t="inlineStr">
        <is>
          <t>Caro &lt;name&gt;,
Obrigado por entrar em contato sobre o problema com o Jira Software 8.20. Por favor, siga os seguintes passos para resolver o problema de congelamento da tela:
1. Limpe o cache e os cookies do seu navegador e reinicie-o.
2. Certifique-se de que seu navegador esteja atualizado.
3. Tente usar um navegador ou dispositivo diferente para ver se o problema persiste.
4. Desative as extensões do navegador que possam interferir no Jira.
5. Verifique se há atualizações ou patches disponíveis para o Jira Software.
Se o problema continuar, por favor, forneça mensagens de erro específicas, logs ou capturas de tela, e nós o ajudaremos mais. 
Sua rápida retomada da eficiência do fluxo de trabalho é nossa prioridade.
Atenciosamente,
Equipe de Suporte ao Cliente</t>
        </is>
      </c>
      <c r="I171" s="1" t="inlineStr">
        <is>
          <t>low</t>
        </is>
      </c>
      <c r="J171" s="1" t="inlineStr">
        <is>
          <t>['Technical Support', 'Software Bug', 'Problem Resolution', 'Urgent Issue', 'General Inquiry']</t>
        </is>
      </c>
      <c r="K171" s="1" t="inlineStr">
        <is>
          <t>pt</t>
        </is>
      </c>
      <c r="L171" s="1" t="n">
        <v>483</v>
      </c>
    </row>
    <row r="172" ht="16.5" customHeight="1">
      <c r="A172" s="1" t="n">
        <v>1487</v>
      </c>
      <c r="B172" s="3" t="inlineStr">
        <is>
          <t>Gerenciamento de Incidentes</t>
        </is>
      </c>
      <c r="C172" s="3" t="inlineStr">
        <is>
          <t>Gerenciamento de Problemas</t>
        </is>
      </c>
      <c r="D172" s="1" t="inlineStr">
        <is>
          <t>Urgente: Problema de Inicialização do Dell XPS 13</t>
        </is>
      </c>
      <c r="E172" s="1" t="inlineStr">
        <is>
          <t>IT Support</t>
        </is>
      </c>
      <c r="F172" s="1" t="inlineStr">
        <is>
          <t>O usuário relata um problema persistente de inicialização no Dell XPS 13 9310. Necessita de suporte urgente de TI para resolução.</t>
        </is>
      </c>
      <c r="G172" s="1" t="inlineStr">
        <is>
          <t>Incident</t>
        </is>
      </c>
      <c r="H172" s="1" t="inlineStr">
        <is>
          <t>Nossa equipe de tecnologia está trabalhando nisso. Aguarde um acompanhamento em breve para resolver seu problema.</t>
        </is>
      </c>
      <c r="I172" s="1" t="inlineStr">
        <is>
          <t>medium</t>
        </is>
      </c>
      <c r="J172" s="1" t="inlineStr">
        <is>
          <t>['IT Support', 'Urgent Issue', 'Hardware Failure', 'Technical Support', 'Problem Resolution']</t>
        </is>
      </c>
      <c r="K172" s="1" t="inlineStr">
        <is>
          <t>pt</t>
        </is>
      </c>
      <c r="L172" s="1" t="n">
        <v>129</v>
      </c>
    </row>
    <row r="173" ht="16.5" customHeight="1">
      <c r="A173" s="1" t="n">
        <v>1497</v>
      </c>
      <c r="B173" s="3" t="inlineStr">
        <is>
          <t>Gerenciamento de Incidentes</t>
        </is>
      </c>
      <c r="C173" s="3" t="inlineStr">
        <is>
          <t>Gerenciamento de Problemas</t>
        </is>
      </c>
      <c r="D173" s="1" t="inlineStr">
        <is>
          <t>Assistência Urgente Necessária</t>
        </is>
      </c>
      <c r="E173" s="1" t="inlineStr">
        <is>
          <t>Technical Support</t>
        </is>
      </c>
      <c r="F173" s="1" t="inlineStr">
        <is>
          <t>Caro Suporte de Serviços de TI,
Estamos enfrentando bugs significativos na interface do usuário e problemas de desempenho em nossa aplicação web JavaScript React. Isso está afetando criticamente nossas operações, e precisamos de uma resolução rápida. Por favor, priorize este assunto, pois impacta o cronograma atual do nosso projeto. Conecte-se urgentemente.
Atenciosamente,
&lt;name&gt;
&lt;tel_num&gt;
&lt;acc_num&gt;</t>
        </is>
      </c>
      <c r="G173" s="1" t="inlineStr">
        <is>
          <t>Request</t>
        </is>
      </c>
      <c r="H173" s="1" t="inlineStr">
        <is>
          <t>Caro &lt;name&gt;,
Obrigado por entrar em contato conosco sobre os bugs na interface do usuário e os problemas de desempenho em sua aplicação web JavaScript React. Entendemos a urgência e o impacto no cronograma do seu projeto. Nossa equipe priorizará este assunto e se conectará com você o mais rápido possível para resolver os problemas. Se você tiver informações adicionais ou logs de erro que possam nos ajudar, sinta-se à vontade para compartilhá-los.
Atenciosamente,
Suporte de Serviços de TI</t>
        </is>
      </c>
      <c r="I173" s="1" t="inlineStr">
        <is>
          <t>high</t>
        </is>
      </c>
      <c r="J173" s="1" t="inlineStr">
        <is>
          <t>['Urgent Issue', 'Software Bug', 'Performance Tuning', 'Technical Support', 'Problem Resolution', 'Product Support']</t>
        </is>
      </c>
      <c r="K173" s="1" t="inlineStr">
        <is>
          <t>pt</t>
        </is>
      </c>
      <c r="L173" s="1" t="n">
        <v>404</v>
      </c>
    </row>
    <row r="174" ht="16.5" customHeight="1">
      <c r="A174" s="1" t="n">
        <v>1512</v>
      </c>
      <c r="B174" s="3" t="inlineStr">
        <is>
          <t>Gerenciamento de Incidentes</t>
        </is>
      </c>
      <c r="C174" s="3" t="inlineStr">
        <is>
          <t>Gerenciamento de Disponibilidade</t>
        </is>
      </c>
      <c r="D174" s="1" t="inlineStr">
        <is>
          <t>Alta Prioridade: Falha no Serviço do Zoom</t>
        </is>
      </c>
      <c r="E174" s="1" t="inlineStr">
        <is>
          <t>Service Outages and Maintenance</t>
        </is>
      </c>
      <c r="F174" s="1" t="inlineStr">
        <is>
          <t>Caro Suporte ao Cliente da Tech Online Store,
Estou escrevendo para informar sobre um incidente de alta prioridade que está afetando atualmente o aplicativo Zoom, versão 5.11.0. No momento, os usuários estão enfrentando uma falha crítica no serviço, particularmente impactando os recursos de videoconferência que são amplamente utilizados para reuniões essenciais e comunicações. Essa interrupção está causando grande inconveniente e afetando nosso fluxo de trabalho.
Como o Zoom é uma parte crucial das nossas operações comerciais, é imperativo receber assistência rápida e uma atualização sobre este problema. Dependemos bastante do seu funcionamento confiável e apreciaríamos qualquer informação sobre quando o serviço deve retornar ao normal.
Por favor, escalone este problema para a equipe apropriada para uma resolução rápida. Estou disponível para qualquer informação adicional que você possa precisar para acelerar este processo. Para correspondência imediata, posso ser contatado pelo &lt;tel_num&gt; ou através deste endereço de e-mail. Aguardando uma resposta rápida.
Obrigado pela sua atenção a este assunto urgente.
Atenciosamente,
&lt;name&gt;
&lt;acc_num&gt;</t>
        </is>
      </c>
      <c r="G174" s="1" t="inlineStr">
        <is>
          <t>Incident</t>
        </is>
      </c>
      <c r="H174" s="1" t="inlineStr">
        <is>
          <t>Caro &lt;name&gt;,
Obrigado por entrar em contato conosco sobre a falha no serviço do Zoom que está impactando a versão 5.11.0. Entendemos a natureza crítica dessa interrupção e o inconveniente que está causando nas suas operações comerciais.
Nossa equipe técnica está ciente do problema e está trabalhando ativamente com o suporte do Zoom para abordar e resolver a falha o mais rápido possível. Estamos monitorando a situação de perto e forneceremos atualizações sobre o progresso e um cronograma esperado para a restauração do serviço.
Seu caso foi escalonado para garantir atenção rápida. Para qualquer informação adicional ou assistência, sinta-se à vontade para nos contatar pelo &lt;tel_num&gt; ou responder a este e-mail. Agradecemos sua paciência e compreensão enquanto trabalhamos para restaurar a plena funcionalidade.
Obrigado pela sua cooperação.
Atenciosamente,
Suporte ao Cliente da Tech Online Store</t>
        </is>
      </c>
      <c r="I174" s="1" t="inlineStr">
        <is>
          <t>high</t>
        </is>
      </c>
      <c r="J174" s="1" t="inlineStr">
        <is>
          <t>['Service Outage', 'Urgent Issue', 'Incident Report', 'Problem Resolution', 'Service Disruption', 'Technical Support', 'Software Bug', 'Customer Service']</t>
        </is>
      </c>
      <c r="K174" s="1" t="inlineStr">
        <is>
          <t>pt</t>
        </is>
      </c>
      <c r="L174" s="1" t="n">
        <v>1161</v>
      </c>
    </row>
    <row r="175" ht="16.5" customHeight="1">
      <c r="A175" s="1" t="n">
        <v>1518</v>
      </c>
      <c r="B175" s="3" t="inlineStr">
        <is>
          <t>Gerenciamento de Incidentes</t>
        </is>
      </c>
      <c r="C175" s="3" t="inlineStr">
        <is>
          <t>Gerenciamento de Problemas</t>
        </is>
      </c>
      <c r="D175" s="1" t="inlineStr">
        <is>
          <t>Problema com Atualizações de Tarefas Scrum</t>
        </is>
      </c>
      <c r="E175" s="1" t="inlineStr">
        <is>
          <t>Technical Support</t>
        </is>
      </c>
      <c r="F175" s="1" t="inlineStr">
        <is>
          <t>Caro Atendimento ao Cliente,
Estou escrevendo para informá-lo sobre um ticket criado em relação a um problema recorrente de sincronização de backlog que está impedindo atualizações de tarefas scrum no Jira Software 8.20. Esse problema causa atrasos significativos em nosso fluxo de trabalho de gerenciamento de projetos, afetando a colaboração e a eficiência da equipe. Precisamos de uma resolução urgente ou orientação sobre como mitigar essas interrupções. Nossas equipes dependem fortemente da funcionalidade consistente do Jira para manter o andamento de nossos projetos. Por favor, atribua um representante dedicado para nos ajudar a diagnosticar e resolver esse problema de software.
Obrigado pela sua atenção rápida a este assunto.
Atenciosamente,
&lt;name&gt;</t>
        </is>
      </c>
      <c r="G175" s="1" t="inlineStr">
        <is>
          <t>Incident</t>
        </is>
      </c>
      <c r="H175" s="1" t="inlineStr">
        <is>
          <t>Caro &lt;name&gt;,
Obrigado por entrar em contato sobre o problema de sincronização de backlog no Jira Software 8.20. Entendemos a importância de resolver isso rapidamente para garantir um gerenciamento de projetos sem problemas e colaboração da equipe.
Nossa equipe de suporte está atualmente investigando o problema que você descreveu e estamos comprometidos em fornecer orientação para mitigar as interrupções. Um representante dedicado foi designado para ajudá-lo a diagnosticar e resolver esse problema de software. Eles entrarão em contato em breve para reunir mais informações e fornecer o suporte necessário.
Obrigado pela sua paciência e cooperação.
Atenciosamente,
Equipe de Atendimento ao Cliente</t>
        </is>
      </c>
      <c r="I175" s="1" t="inlineStr">
        <is>
          <t>medium</t>
        </is>
      </c>
      <c r="J175" s="1" t="inlineStr">
        <is>
          <t>['Technical Support', 'Software Bug', 'Problem Resolution', 'Urgent Issue', 'Service Disruption', 'Product Support', 'Technical Guidance']</t>
        </is>
      </c>
      <c r="K175" s="1" t="inlineStr">
        <is>
          <t>pt</t>
        </is>
      </c>
      <c r="L175" s="1" t="n">
        <v>765</v>
      </c>
    </row>
    <row r="176" ht="16.5" customHeight="1">
      <c r="A176" s="1" t="n">
        <v>1536</v>
      </c>
      <c r="B176" s="3" t="inlineStr">
        <is>
          <t>Gerenciamento de Incidentes</t>
        </is>
      </c>
      <c r="C176" s="3" t="inlineStr">
        <is>
          <t>Gerenciamento de Problemas</t>
        </is>
      </c>
      <c r="D176" s="1" t="inlineStr">
        <is>
          <t>Problema de Conectividade da Canon PIXMA MG3620</t>
        </is>
      </c>
      <c r="E176" s="1" t="inlineStr">
        <is>
          <t>IT Support</t>
        </is>
      </c>
      <c r="F176" s="1" t="inlineStr">
        <is>
          <t>Caro Time de Suporte ao Cliente,&lt;br&gt;&lt;br&gt;Espero que esta mensagem o encontre bem. Estou escrevendo para abordar um problema que encontrei com a impressora Canon PIXMA MG3620 comprada sob minha conta, &lt;acc_num&gt;. Liguei anteriormente sobre um problema de conectividade e gostaria de dar seguimento, pois o problema persiste. Apesar da minha rede estar estável, a impressora continua a aparecer como offline. Tentei seguir os passos de solução de problemas fornecidos, incluindo reiniciar meu roteador e impressora, verificar as configurações da rede e garantir que os drivers corretos estão instalados, mas sem sucesso.&lt;br&gt;&lt;br&gt;Esse problema contínuo afeta severamente minha capacidade de realizar tarefas diárias, uma vez que essa impressora é fundamental para meu trabalho. Qualquer assistência que você puder fornecer seria muito apreciada. Espero que você possa me orientar em direção a uma solução assim que possível.&lt;br&gt;&lt;br&gt;Caso você precise entrar em contato comigo diretamente, meu número de telefone é &lt;tel_num&gt;. Obrigado pela sua atenção a este assunto. Aguardando sua resposta rápida.&lt;br&gt;&lt;br&gt;Atenciosamente,&lt;br&gt;&lt;name&gt;</t>
        </is>
      </c>
      <c r="G176" s="1" t="inlineStr">
        <is>
          <t>Incident</t>
        </is>
      </c>
      <c r="H176" s="1" t="inlineStr">
        <is>
          <t>Caro &lt;name&gt;,&lt;br&gt;&lt;br&gt;Obrigado por entrar em contato conosco sobre o problema de conectividade com sua Canon PIXMA MG3620. Lamento saber que o problema persiste e por qualquer inconveniente que isso possa estar causando a você.&lt;br&gt;&lt;br&gt;Para resolver este problema, por favor, tente os seguintes passos adicionais:&lt;br&gt;1. Certifique-se de que o firmware da sua impressora está atualizado. Você pode verificar se há atualizações no site oficial da Canon.&lt;br&gt;2. Reconfigure a configuração wireless na impressora. Às vezes, restabelecer a conexão Wi-Fi pode resolver problemas de conectividade.&lt;br&gt;3. Verifique se a impressora está selecionada como padrão em seu dispositivo.&lt;br&gt;4. Desative qualquer VPN ou firewall que possa estar afetando a conexão como teste.&lt;br&gt;&lt;br&gt;Se esses passos não funcionarem, por favor, nos avise. Podemos agendar um técnico de serviço para ajudá-lo ainda mais ou explorar outras soluções.&lt;br&gt;&lt;br&gt;Sinta-se à vontade para entrar em contato conosco a qualquer momento, ou responda a este e-mail para continuar o suporte.&lt;br&gt;&lt;br&gt;Obrigado pela sua paciência.&lt;br&gt;&lt;br&gt;Atenciosamente,&lt;br&gt;Equipe de Suporte ao Cliente</t>
        </is>
      </c>
      <c r="I176" s="1" t="inlineStr">
        <is>
          <t>low</t>
        </is>
      </c>
      <c r="J176" s="1" t="inlineStr">
        <is>
          <t>['Technical Support', 'Product Support', 'Software Bug', 'Network Issue', 'Problem Resolution']</t>
        </is>
      </c>
      <c r="K176" s="1" t="inlineStr">
        <is>
          <t>pt</t>
        </is>
      </c>
      <c r="L176" s="1" t="n">
        <v>1124</v>
      </c>
    </row>
    <row r="177" ht="16.5" customHeight="1">
      <c r="A177" s="1" t="n">
        <v>1553</v>
      </c>
      <c r="B177" s="3" t="inlineStr">
        <is>
          <t>Gerenciamento Financeiro</t>
        </is>
      </c>
      <c r="C177" s="3" t="inlineStr">
        <is>
          <t>Gerenciamento de Incidentes</t>
        </is>
      </c>
      <c r="D177" s="1" t="inlineStr">
        <is>
          <t>Solicitação para Investigar Discrepância na Faturação do Serviço AWS</t>
        </is>
      </c>
      <c r="E177" s="1" t="inlineStr">
        <is>
          <t>Billing and Payments</t>
        </is>
      </c>
      <c r="F177" s="1" t="inlineStr">
        <is>
          <t>Caro Time de Suporte ao Cliente,
Espero que esta mensagem o encontre bem. Estou escrevendo para chamar sua atenção para uma cobrança inesperada em nossa fatura recente associada ao Serviço de Gerenciamento AWS. A discrepância foi notada no último ciclo de faturamento, afetando o número da conta &lt;acc_num&gt;. Ao revisar a fatura, parece que houve uma cobrança incomum que se desviou significativamente dos nossos custos antecipados com base nos padrões de uso regulares.
Não fizemos nenhuma alteração substancial em nossos serviços ou níveis de uso que justificariam tal aumento. Assim, solicitamos gentilmente uma investigação detalhada sobre o que pode ter causado essa cobrança inesperada. Por favor, nos avise se houver atualizações ou mudanças nos procedimentos ou nas cobranças de serviços relacionadas aos Serviços de Gerenciamento AWS que possam justificar essa discrepância.
Além disso, agradeceríamos orientação sobre ações corretivas ou ajustes necessários para evitar discrepâncias futuras. Se necessário, fique à vontade para entrar em contato comigo diretamente pelo &lt;tel_num&gt; para quaisquer detalhes adicionais que você possa precisar neste processo de revisão. Agradecemos antecipadamente pela sua pronta atenção a este assunto.
Atenciosamente,
&lt;name&gt;</t>
        </is>
      </c>
      <c r="G177" s="1" t="inlineStr">
        <is>
          <t>Incident</t>
        </is>
      </c>
      <c r="H177" s="1" t="inlineStr">
        <is>
          <t>Caro &lt;name&gt;,
Obrigado por entrar em contato conosco a respeito do problema de faturamento com seu Serviço de Gerenciamento AWS. Entendemos sua preocupação com as cobranças inesperadas e estamos aqui para ajudar.
Iniciaremos uma investigação sobre a discrepância em seu número de conta &lt;acc_num&gt; e avaliaremos se há atualizações nos procedimentos ou mudanças nas cobranças de serviços que possam justificar o custo inesperado. Pode ficar tranquilo, nosso objetivo é resolver essa questão rapidamente.
Por favor, nos dê algum tempo para revisar seu histórico de faturamento de forma completa. Voltaremos a você com nossas descobertas e quaisquer ações corretivas necessárias para evitar discrepâncias futuras.
Enquanto isso, se você tiver informações adicionais ou perguntas, fique à vontade para entrar em contato conosco diretamente pelo customer.service@email.com ou através do seu número de telefone registrado.
Agradecemos pela sua paciência e cooperação.
Atenciosamente,
Equipe de Suporte ao Cliente</t>
        </is>
      </c>
      <c r="I177" s="1" t="inlineStr">
        <is>
          <t>medium</t>
        </is>
      </c>
      <c r="J177" s="1" t="inlineStr">
        <is>
          <t>['Billing Issue', 'Customer Service', 'Problem Resolution', 'Account Assistance', 'Payment Processing', 'Service Recovery', 'Refund Request']</t>
        </is>
      </c>
      <c r="K177" s="1" t="inlineStr">
        <is>
          <t>pt</t>
        </is>
      </c>
      <c r="L177" s="1" t="n">
        <v>1270</v>
      </c>
    </row>
    <row r="178" ht="16.5" customHeight="1">
      <c r="A178" s="1" t="n">
        <v>1565</v>
      </c>
      <c r="B178" s="3" t="inlineStr">
        <is>
          <t>Gerenciamento de Incidentes</t>
        </is>
      </c>
      <c r="C178" s="3" t="inlineStr">
        <is>
          <t>Gerenciamento de Disponibilidade</t>
        </is>
      </c>
      <c r="D178" s="1" t="inlineStr">
        <is>
          <t>Problema no Roteador Cisco ISR4331</t>
        </is>
      </c>
      <c r="E178" s="1" t="inlineStr">
        <is>
          <t>Technical Support</t>
        </is>
      </c>
      <c r="F178" s="1" t="inlineStr">
        <is>
          <t>Prezados Suporte ao Cliente, nosso Roteador Cisco ISR4331 está apresentando defeito, impactando severamente a conectividade da internet durante os horários de pico do negócio. Assistência imediata é necessária para resolver este problema. Obrigado, &lt;name&gt;.</t>
        </is>
      </c>
      <c r="G178" s="1" t="inlineStr">
        <is>
          <t>Problem</t>
        </is>
      </c>
      <c r="H178" s="1" t="inlineStr">
        <is>
          <t>Prezado(a) &lt;name&gt;, 
Entendemos a urgência do problema com seu Roteador Cisco ISR4331 que está afetando sua conectividade com a internet. Para agilizar a resolução, por favor, forneça detalhes específicos sobre a falha, incluindo quaisquer mensagens de erro ou luzes indicadoras. Enquanto isso, tente reiniciar o roteador, se isso ainda não tiver sido feito. Nossa equipe técnica está pronta para ajudar assim que mais informações estiverem disponíveis.
Atenciosamente, 
Equipe de Suporte ao Cliente</t>
        </is>
      </c>
      <c r="I178" s="1" t="inlineStr">
        <is>
          <t>high</t>
        </is>
      </c>
      <c r="J178" s="1" t="inlineStr">
        <is>
          <t>['Technical Support', 'Hardware Failure', 'Network Issue', 'Urgent Issue', 'Problem Resolution']</t>
        </is>
      </c>
      <c r="K178" s="1" t="inlineStr">
        <is>
          <t>pt</t>
        </is>
      </c>
      <c r="L178" s="1" t="n">
        <v>256</v>
      </c>
    </row>
    <row r="179" ht="16.5" customHeight="1">
      <c r="A179" s="1" t="n">
        <v>1573</v>
      </c>
      <c r="B179" s="3" t="inlineStr">
        <is>
          <t>Solicitação de Serviço</t>
        </is>
      </c>
      <c r="C179" s="3" t="inlineStr">
        <is>
          <t>Gerenciamento de Incidentes</t>
        </is>
      </c>
      <c r="D179" s="1" t="inlineStr">
        <is>
          <t>Assistência Necessária para Configuração Sem Fio do Canon PIXMA MG3620</t>
        </is>
      </c>
      <c r="E179" s="1" t="inlineStr">
        <is>
          <t>Product Support</t>
        </is>
      </c>
      <c r="F179" s="1" t="inlineStr">
        <is>
          <t>Caro Suporte ao Cliente,
Estou escrevendo para solicitar assistência na configuração do recurso sem fio da minha nova impressora Canon PIXMA MG3620, que comprei recentemente em sua loja. Ao tentar configurar a conexão sem fio, encontrei algumas dificuldades que não consegui resolver usando o manual fornecido ou recursos online.
Segui os passos iniciais, garantindo que a impressora estivesse ligada e dentro do alcance do roteador, mas a impressora não conseguiu se conectar à minha rede sem fio. Além disso, certifiquei-me de que minhas credenciais de rede estavam inseridas corretamente e que minha rede estava funcionando corretamente com outros dispositivos.
Apesar dessas verificações, a impressora mostra repetidamente um erro de conexão. Eu apreciaria muito qualquer orientação que você pudesse fornecer ou qualquer dica de solução de problemas específica para este modelo. Se houver necessidade de agendar uma chamada ou discutir o processo mais detalhadamente, por favor, me avise, e ficarei feliz em fornecer meus dados de contato.
Obrigado pela sua atenção a este assunto. Aguardo sua resposta rapidamente.
Atenciosamente,
&lt;name&gt; 
Conta do Cliente: &lt;acc_num&gt;</t>
        </is>
      </c>
      <c r="G179" s="1" t="inlineStr">
        <is>
          <t>Request</t>
        </is>
      </c>
      <c r="H179" s="1" t="inlineStr">
        <is>
          <t>Caro &lt;name&gt;,
Obrigado por entrar em contato conosco sobre a configuração sem fio da sua impressora Canon PIXMA MG3620. Entendo a frustração causada por problemas de conexão e estou aqui para ajudar.
Primeiramente, certifique-se de que o firmware da sua impressora está atualizado. Às vezes, firmware desatualizado pode causar problemas de conectividade. Você pode verificar atualizações no site oficial da Canon.
Em seguida, tente redefinir as configurações sem fio da impressora e reattemptar a configuração usando o método de Botão WPS, se o seu roteador suportar. Este método frequentemente pode resolver problemas de conectividade de forma mais eficaz.
Aqui está um breve guia:
1. Pressione e segure o botão Wi-Fi na impressora até que a luz POWER pisque.
2. Pressione o botão Color e, em seguida, o botão Wi-Fi.
3. Certifique-se de que a luz Wi-Fi esteja piscando e o botão Power esteja aceso.
4. Pressione e segure o botão WPS no seu roteador dentro de dois minutos.
Se esse método não funcionar, considere tentar um método diferente, como configurar via aplicativo Canon PRINT em um smartphone ou através das configurações de Wi-Fi do seu computador usando um cabo USB para a configuração inicial.
Se esses passos não forem bem-sucedidos ou se você precisar de orientação mais detalhada, por favor, me avise, e poderei agendar uma chamada com um técnico. Fique à vontade para responder a este e-mail com quaisquer outras perguntas ou para agendar uma chamada.
Estamos aqui para assisti-lo em cada etapa do caminho.
Atenciosamente,
Equipe de Suporte ao Cliente</t>
        </is>
      </c>
      <c r="I179" s="1" t="inlineStr">
        <is>
          <t>low</t>
        </is>
      </c>
      <c r="J179" s="1" t="inlineStr">
        <is>
          <t>['Technical Support', 'Product Support', 'Customer Service', 'General Inquiry']</t>
        </is>
      </c>
      <c r="K179" s="1" t="inlineStr">
        <is>
          <t>pt</t>
        </is>
      </c>
      <c r="L179" s="1" t="n">
        <v>1177</v>
      </c>
    </row>
    <row r="180" ht="16.5" customHeight="1">
      <c r="A180" s="1" t="n">
        <v>1577</v>
      </c>
      <c r="B180" s="3" t="inlineStr">
        <is>
          <t>Solicitação de Serviço</t>
        </is>
      </c>
      <c r="C180" s="3" t="inlineStr">
        <is>
          <t>Gerenciamento de Mudanças</t>
        </is>
      </c>
      <c r="D180" s="1" t="inlineStr">
        <is>
          <t>Solicitação de Campos Personalizados Adicionais no Jira</t>
        </is>
      </c>
      <c r="E180" s="1" t="inlineStr">
        <is>
          <t>Customer Service</t>
        </is>
      </c>
      <c r="F180" s="1" t="inlineStr">
        <is>
          <t>Caro Suporte ao Cliente,
Temos utilizado o Jira Software 8.20 para nossos fins de gerenciamento de projetos e estamos ansiosos para melhorar nossa eficiência de fluxo de trabalho. Para isso, gostaríamos de solicitar a incorporação de campos personalizados adicionais no software, pois acreditamos que essas alterações aumentariam a captura de dados e agilizariam nossas operações.
Por favor, informe-nos sobre a viabilidade da integração desses campos personalizados e forneça qualquer informação suplementar ou etapas essenciais para a execução deste pedido. Aguardamos ansiosamente sua assistência na implementação dessas modificações necessárias.
Obrigado e melhores cumprimentos,
&lt;name&gt;
&lt;acc_num&gt;</t>
        </is>
      </c>
      <c r="G180" s="1" t="inlineStr">
        <is>
          <t>Change</t>
        </is>
      </c>
      <c r="H180" s="1" t="inlineStr">
        <is>
          <t>Caro &lt;name&gt;,
Obrigado pela sua consulta. A adição de campos personalizados no Jira Software 8.20 é, de fato, possível e pode aumentar significativamente a eficiência do fluxo de trabalho. Você pode criar e gerenciar campos personalizados por meio das configurações de administração do Jira.
Aqui estão os passos principais a seguir:
1. Acesse a Administração do Jira.
2. Vá para Problemas &gt; Campos Personalizados.
3. Clique em "Criar campo personalizado" e escolha o tipo de campo desejado.
4. Preencha as informações relevantes e vincule-a às telas adequadas.
Por favor, note que permissões administrativas podem ser necessárias para fazer essas mudanças. Caso você precise de mais orientações ou personalizações específicas além das opções padrão, não hesite em entrar em contato, e ficaremos felizes em ajudá-lo ou conectá-lo com nossa equipe de suporte técnico.
Melhores cumprimentos,
Equipe de Suporte ao Cliente</t>
        </is>
      </c>
      <c r="I180" s="1" t="inlineStr">
        <is>
          <t>medium</t>
        </is>
      </c>
      <c r="J180" s="1" t="inlineStr">
        <is>
          <t>['Technical Support', 'Product Support', 'Feature Request', 'Software Bug', 'Documentation Request', 'Problem Resolution', 'Customer Feedback']</t>
        </is>
      </c>
      <c r="K180" s="1" t="inlineStr">
        <is>
          <t>pt</t>
        </is>
      </c>
      <c r="L180" s="1" t="n">
        <v>704</v>
      </c>
    </row>
    <row r="181" ht="16.5" customHeight="1">
      <c r="A181" s="1" t="n">
        <v>1595</v>
      </c>
      <c r="B181" s="3" t="inlineStr">
        <is>
          <t>Gerenciamento de Mudanças</t>
        </is>
      </c>
      <c r="C181" s="3" t="inlineStr">
        <is>
          <t>Solicitação de Serviço</t>
        </is>
      </c>
      <c r="D181" s="1" t="inlineStr">
        <is>
          <t>Solicitação Urgente para Modificação de Ticket Jira</t>
        </is>
      </c>
      <c r="E181" s="1" t="inlineStr">
        <is>
          <t>Technical Support</t>
        </is>
      </c>
      <c r="F181" s="1" t="inlineStr">
        <is>
          <t>Caro Suporte ao Cliente,
Espero que esta mensagem o encontre bem. Estou entrando em contato com um pedido urgente para modificar a configuração de categorização de tickets em nosso Jira Software 8.20 para uma gestão de projetos aprimorada. Essa modificação é de alta prioridade e melhorará significativamente o fluxo de trabalho da nossa equipe. Por favor, informe como vocês podem nos ajudar a agilizar esse processo.
Obrigado pela sua atenção imediata.
Atenciosamente,
&lt;name&gt;
&lt;acc_num&gt;
&lt;tel_num&gt;</t>
        </is>
      </c>
      <c r="G181" s="1" t="inlineStr">
        <is>
          <t>Change</t>
        </is>
      </c>
      <c r="H181" s="1" t="inlineStr">
        <is>
          <t>Caro &lt;name&gt;,
Obrigado por entrar em contato conosco sobre a solicitação urgente para modificar a configuração de categorização de tickets em seu Jira Software 8.20. Entendemos a prioridade de melhorar o fluxo de trabalho da sua equipe. Nossa equipe está pronta para ajudá-lo com essa modificação. Por favor, forneça detalhes adicionais ou requisitos específicos, se houver, para agilizar o processo de forma eficaz. Assim que tivermos essas informações, poderemos prosseguir com os passos necessários para implementar as alterações desejadas.
Sinta-se à vontade para entrar em contato se tiver alguma dúvida ou precisar de mais assistência.
Atenciosamente,
Equipe de Suporte ao Cliente</t>
        </is>
      </c>
      <c r="I181" s="1" t="inlineStr">
        <is>
          <t>high</t>
        </is>
      </c>
      <c r="J181" s="1" t="inlineStr">
        <is>
          <t>['Urgent Issue', 'Technical Support', 'Product Support', 'Problem Resolution', 'Service Notification']</t>
        </is>
      </c>
      <c r="K181" s="1" t="inlineStr">
        <is>
          <t>pt</t>
        </is>
      </c>
      <c r="L181" s="1" t="n">
        <v>500</v>
      </c>
    </row>
    <row r="182" ht="16.5" customHeight="1">
      <c r="A182" s="1" t="n">
        <v>1600</v>
      </c>
      <c r="B182" s="3" t="inlineStr">
        <is>
          <t>Gerenciamento de Incidentes</t>
        </is>
      </c>
      <c r="C182" s="3" t="inlineStr">
        <is>
          <t>Gerenciamento de Disponibilidade</t>
        </is>
      </c>
      <c r="D182" s="1" t="inlineStr">
        <is>
          <t>Assistência Urgente Necessária para Problemas de Serviço da AWS</t>
        </is>
      </c>
      <c r="E182" s="1" t="inlineStr">
        <is>
          <t>Service Outages and Maintenance</t>
        </is>
      </c>
      <c r="F182" s="1" t="inlineStr">
        <is>
          <t>Caro Equipe de Suporte ao Cliente,
Espero que esta mensagem o encontre bem. Estamos enfrentando interrupções inesperadas nos serviços do AWS Management Service. É imperativo que esses problemas sejam resolvidos prontamente para minimizar quaisquer potenciais interrupções nos negócios. Além disso, apreciaríamos quaisquer recomendações que você possa ter para otimizar o desempenho da nossa infraestrutura em andamento para evitar ocorrências futuras. Nossas operações de TI dependem fortemente da eficácia desses serviços. Por favor, entre em contato comigo pelo &lt;tel_num&gt; ou me envie um e-mail para &lt;name&gt;@example.com para uma discussão posterior. Obrigado pela sua atenção imediata a este assunto.
Atenciosamente,
&lt;name&gt;
&lt;acc_num&gt;</t>
        </is>
      </c>
      <c r="G182" s="1" t="inlineStr">
        <is>
          <t>Change</t>
        </is>
      </c>
      <c r="H182" s="1" t="inlineStr">
        <is>
          <t>Caro &lt;name&gt;,
Obrigado por entrar em contato. Entendemos a urgência em resolver os problemas do AWS Management Service que você está enfrentando. Nossa equipe técnica já está investigando a interrupção e trabalhando rapidamente em direção a uma resolução.
Para otimização e medidas preventivas, recomendamos agendar uma consulta com nossos especialistas em AWS, que podem fornecer conselhos sob medida para suas necessidades de infraestrutura. Entraremos em contato com você em breve pelo número de telefone e e-mail fornecidos para discutir mais detalhes e opções de suporte.
Obrigado pela sua paciência e compreensão.
Atenciosamente,
Equipe de Suporte ao Cliente</t>
        </is>
      </c>
      <c r="I182" s="1" t="inlineStr">
        <is>
          <t>high</t>
        </is>
      </c>
      <c r="J182" s="1" t="inlineStr">
        <is>
          <t>['Service Disruption', 'Urgent Issue', 'Technical Support', 'Performance Tuning', 'IT Support', 'Incident Report']</t>
        </is>
      </c>
      <c r="K182" s="1" t="inlineStr">
        <is>
          <t>pt</t>
        </is>
      </c>
      <c r="L182" s="1" t="n">
        <v>736</v>
      </c>
    </row>
    <row r="183" ht="16.5" customHeight="1">
      <c r="A183" s="1" t="n">
        <v>1606</v>
      </c>
      <c r="B183" s="3" t="inlineStr">
        <is>
          <t>Solicitação de Serviço</t>
        </is>
      </c>
      <c r="C183" s="3" t="inlineStr">
        <is>
          <t>Gerenciamento de Incidentes</t>
        </is>
      </c>
      <c r="D183" s="1" t="inlineStr">
        <is>
          <t>Solicitação de Assistência: Problema de Configuração Sem Fio para Impressora HP</t>
        </is>
      </c>
      <c r="E183" s="1" t="inlineStr">
        <is>
          <t>Product Support</t>
        </is>
      </c>
      <c r="F183" s="1" t="inlineStr">
        <is>
          <t>Olá equipe de suporte ao cliente, estou enfrentando dificuldades para configurar a conexão sem fio para a impressora compacta HP DeskJet 3755 que comprei. Eu me certifiquei de que todos os passos necessários foram seguidos, mas o problema persiste e não consigo avançar. Por favor, forneça orientação sobre como resolver esse problema com sucesso. Obrigado pela sua assistência. Atenciosamente, &lt;name&gt;.</t>
        </is>
      </c>
      <c r="G183" s="1" t="inlineStr">
        <is>
          <t>Incident</t>
        </is>
      </c>
      <c r="H183" s="1" t="inlineStr">
        <is>
          <t>Olá &lt;name&gt;, certifique-se de que sua impressora e roteador estejam próximos, ambos estejam ligados e o Wi-Fi esteja ativado. Conecte sua impressora à rede usando o aplicativo HP Smart. Se os problemas persistirem, reinicie ambos os dispositivos. Além disso, verifique o site de suporte da HP para atualizações de software. Entre em contato conosco se o problema continuar. Atenciosamente, Equipe de Suporte ao Cliente.</t>
        </is>
      </c>
      <c r="I183" s="1" t="inlineStr">
        <is>
          <t>low</t>
        </is>
      </c>
      <c r="J183" s="1" t="inlineStr">
        <is>
          <t>['Technical Support', 'Product Support', 'Hardware Failure', 'System Maintenance', 'Problem Resolution']</t>
        </is>
      </c>
      <c r="K183" s="1" t="inlineStr">
        <is>
          <t>pt</t>
        </is>
      </c>
      <c r="L183" s="1" t="n">
        <v>402</v>
      </c>
    </row>
    <row r="184" ht="16.5" customHeight="1">
      <c r="A184" s="1" t="n">
        <v>1614</v>
      </c>
      <c r="B184" s="3" t="inlineStr">
        <is>
          <t>Gerenciamento de Incidentes</t>
        </is>
      </c>
      <c r="C184" s="3" t="inlineStr">
        <is>
          <t>Gerenciamento de Disponibilidade</t>
        </is>
      </c>
      <c r="D184" s="1" t="inlineStr">
        <is>
          <t>Problema de Interrupção Urgente</t>
        </is>
      </c>
      <c r="E184" s="1" t="inlineStr">
        <is>
          <t>Service Outages and Maintenance</t>
        </is>
      </c>
      <c r="F184" s="1" t="inlineStr">
        <is>
          <t>Caro Suporte ao Cliente,
Estou escrevendo para alertá-lo sobre uma interrupção de alta prioridade que está impactando a infraestrutura da nuvem AWS implantada através do nosso Serviço de Gerenciamento AWS. Essa interrupção está causando interrupções significativas de serviço em múltiplas aplicações, afetando fortemente nossas operações. Atenção imediata é necessária para remediar esta situação. Precisamos de atualizações sobre o progresso deste problema e quaisquer cronogramas potenciais para resolução. Por favor, forneça quaisquer ações necessárias que devemos tomar do nosso lado. Assistência ou orientação adicional durante essa interrupção seriam muito apreciadas. Obrigado por sua pronta atenção.
Atenciosamente,
&lt;name&gt;</t>
        </is>
      </c>
      <c r="G184" s="1" t="inlineStr">
        <is>
          <t>Incident</t>
        </is>
      </c>
      <c r="H184" s="1" t="inlineStr">
        <is>
          <t>Caro &lt;name&gt;,
Obrigado por trazer esse problema urgente à nossa atenção. Entendemos o impacto crítico que essa interrupção da AWS está tendo em suas operações. Nossa equipe técnica está ativamente investigando a situação para identificar a causa raiz e implementar uma resolução o mais rápido possível.
Nós o manteremos atualizado com relatórios de progresso e um cronograma estimado para resolução assim que tivermos mais detalhes. Enquanto isso, por favor, assegure que suas configurações de rede e credenciais de acesso estejam seguras. Sinta-se à vontade para entrar em contato se encontrar quaisquer problemas específicos que possam precisar de nossa assistência adicional.
Sua paciência e cooperação são muito apreciadas enquanto trabalhamos para resolver este problema.
Atenciosamente,
Equipe de Suporte ao Cliente</t>
        </is>
      </c>
      <c r="I184" s="1" t="inlineStr">
        <is>
          <t>high</t>
        </is>
      </c>
      <c r="J184" s="1" t="inlineStr">
        <is>
          <t>['Service Outage', 'Urgent Issue', 'Technical Support', 'Incident Report', 'Service Disruption', 'Problem Resolution', 'Account Security']</t>
        </is>
      </c>
      <c r="K184" s="1" t="inlineStr">
        <is>
          <t>pt</t>
        </is>
      </c>
      <c r="L184" s="1" t="n">
        <v>732</v>
      </c>
    </row>
    <row r="185" ht="16.5" customHeight="1">
      <c r="A185" s="1" t="n">
        <v>1627</v>
      </c>
      <c r="B185" s="3" t="inlineStr">
        <is>
          <t>Gerenciamento de Problemas</t>
        </is>
      </c>
      <c r="C185" s="3" t="inlineStr">
        <is>
          <t>Gerenciamento de Mudanças</t>
        </is>
      </c>
      <c r="D185" s="1" t="inlineStr">
        <is>
          <t>Problemas com as funcionalidades de refatoração do IntelliJ IDEA 2024.1</t>
        </is>
      </c>
      <c r="E185" s="1" t="inlineStr">
        <is>
          <t>Technical Support</t>
        </is>
      </c>
      <c r="F185" s="1" t="inlineStr">
        <is>
          <t>Caro time de suporte ao cliente,
Espero que esta mensagem o encontre bem. Estou escrevendo para expressar minha preocupação em relação a alguns problemas que venho enfrentando ao usar o IntelliJ IDEA 2024.1, especificamente relacionados às funcionalidades de refatoração para o desenvolvimento de código Java. Parece que essas funcionalidades não estão funcionando conforme o esperado, causando interrupções no meu fluxo de trabalho. Tenho encontrado problemas onde certas ações de refatoração estão incompletas ou não são executadas, levando a resultados inesperados no meu código. Esses problemas têm sido persistentes e estão prejudicando significativamente minha produtividade.
Agradeceria qualquer orientação ou solução que você pudesse oferecer para resolver este assunto. Se houver atualizações ou patches disponíveis, por favor, informe os passos necessários para aplicá-los. Além disso, se houver soluções conhecidas, ficaria grato por qualquer documentação ou materiais de suporte que pudessem me ajudar a navegar por esta situação.
Obrigado pela sua atenção a esta questão e aguardo sua resposta rápida.
Atenciosamente,
&lt;name&gt;
&lt;tel_num&gt;
&lt;acc_num&gt;</t>
        </is>
      </c>
      <c r="G185" s="1" t="inlineStr">
        <is>
          <t>Incident</t>
        </is>
      </c>
      <c r="H185" s="1" t="inlineStr">
        <is>
          <t>Caro &lt;name&gt;,
Obrigado por entrar em contato conosco sobre os problemas com as funcionalidades de refatoração do IntelliJ IDEA 2024.1. Entendemos a importância de um processo de desenvolvimento tranquilo e pedimos desculpas pelo inconveniente causado.
Para resolver esses problemas, certifique-se de que você instalou as atualizações ou patches mais recentes, pois isso muitas vezes resolve problemas conhecidos. Você pode verificar atualizações no menu Ajuda em 'Verificar atualizações' no IntelliJ IDEA.
Se o problema persistir, considere tentar as seguintes soluções alternativas:
1. Recrie o projeto do zero, o que pode resolver algumas inconsistências.
2. Redefina os caches do IntelliJ IDEA selecionando 'Invalidar caches / Reiniciar' no menu Arquivo.
3. Certifique-se de que os plugins estão atualizados, pois plugins desatualizados às vezes afetam funcionalidades principais.
Para documentação detalhada e mais assistência, visite nossa página de suporte ou entre em contato com nossa equipe de suporte técnico para ajuda personalizada.
Valorizamos seu feedback e buscamos melhorar sua experiência com nosso software. Por favor, nos avise se essas soluções ajudarem ou se você precisar de mais assistência.
Atenciosamente,
Equipe de Suporte ao Cliente
&lt;company_name&gt;</t>
        </is>
      </c>
      <c r="I185" s="1" t="inlineStr">
        <is>
          <t>medium</t>
        </is>
      </c>
      <c r="J185" s="1" t="inlineStr">
        <is>
          <t>['Technical Support', 'Product Support', 'Software Bug', 'Problem Resolution', 'Documentation Request', 'Customer Feedback']</t>
        </is>
      </c>
      <c r="K185" s="1" t="inlineStr">
        <is>
          <t>pt</t>
        </is>
      </c>
      <c r="L185" s="1" t="n">
        <v>1162</v>
      </c>
    </row>
    <row r="186" ht="16.5" customHeight="1">
      <c r="A186" s="1" t="n">
        <v>1629</v>
      </c>
      <c r="B186" s="3" t="inlineStr">
        <is>
          <t>Solicitação de Serviço</t>
        </is>
      </c>
      <c r="C186" s="3" t="inlineStr">
        <is>
          <t>Gerenciamento Financeiro</t>
        </is>
      </c>
      <c r="D186" s="1" t="inlineStr">
        <is>
          <t>Consulta sobre compra em grande quantidade do MacBook Air M1</t>
        </is>
      </c>
      <c r="E186" s="1" t="inlineStr">
        <is>
          <t>Sales and Pre-Sales</t>
        </is>
      </c>
      <c r="F186" s="1" t="inlineStr">
        <is>
          <t>Caro Suporte ao Cliente,
Estou entrando em contato para perguntar sobre a possibilidade de comprar várias unidades do MacBook Air M1 para uso corporativo da nossa empresa. Estamos interessados em entender as opções disponíveis para preços em grande quantidade e quaisquer descontos potenciais que vocês possam oferecer para grandes pedidos.
Você pode fornecer mais detalhes sobre o seu programa de compras corporativas e quaisquer termos ou requisitos específicos envolvidos? Sua assistência em acelerar esta consulta seria muito apreciada.
Aguardando sua resposta rápida.
Atenciosamente,
&lt;name&gt;
&lt;company_name&gt;</t>
        </is>
      </c>
      <c r="G186" s="1" t="inlineStr">
        <is>
          <t>Request</t>
        </is>
      </c>
      <c r="H186" s="1" t="inlineStr">
        <is>
          <t>Caro &lt;name&gt;,
Obrigado por entrar em contato conosco em relação ao seu interesse em comprar várias unidades do MacBook Air M1 para uso corporativo. Oferecemos um programa de compras corporativas que inclui opções para preços em grande quantidade e possíveis descontos em grandes pedidos.
Por favor, forneça a quantidade estimada que você pretende comprar para que possamos lhe dar mais detalhes específicos sobre o preço e os termos. Nossa equipe também pode precisar de informações sobre sua empresa para aprovação dentro do programa corporativo.
Sinta-se à vontade para entrar em contato a qualquer momento para mais informações. Nosso objetivo é processar tais consultas rapidamente e trabalharemos para atender às necessidades da sua empresa prontamente.
Atenciosamente,
Equipe de Suporte ao Cliente</t>
        </is>
      </c>
      <c r="I186" s="1" t="inlineStr">
        <is>
          <t>medium</t>
        </is>
      </c>
      <c r="J186" s="1" t="inlineStr">
        <is>
          <t>['Sales Inquiry', 'Customer Service', 'Product Support', 'Bulk Purchase Inquiry', 'Account Assistance', 'Order Issue']</t>
        </is>
      </c>
      <c r="K186" s="1" t="inlineStr">
        <is>
          <t>pt</t>
        </is>
      </c>
      <c r="L186" s="1" t="n">
        <v>615</v>
      </c>
    </row>
    <row r="187" ht="16.5" customHeight="1">
      <c r="A187" s="1" t="n">
        <v>1641</v>
      </c>
      <c r="B187" s="3" t="inlineStr">
        <is>
          <t>Gerenciamento de Incidentes</t>
        </is>
      </c>
      <c r="C187" s="3" t="inlineStr">
        <is>
          <t>Gerenciamento de Disponibilidade</t>
        </is>
      </c>
      <c r="D187" s="1" t="inlineStr">
        <is>
          <t>Interrupção do Serviço de Gerenciamento da AWS</t>
        </is>
      </c>
      <c r="E187" s="1" t="inlineStr">
        <is>
          <t>Service Outages and Maintenance</t>
        </is>
      </c>
      <c r="F187" s="1" t="inlineStr">
        <is>
          <t>Prezado Suporte ao Cliente, Estou escrevendo para informá-lo de que o Serviço de Gerenciamento da AWS está atualmente passando por uma interrupção significativa. Manutenção imediata é necessária para restaurar nossas operações em nuvem de forma eficaz. Essa situação afetou nossa produtividade e requer atenção urgente para minimizar a interrupção. Por favor, priorize este problema e forneça um tempo estimado para resolução. Sua resposta rápida será muito apreciada. Obrigado pela sua compreensão e atenção a este assunto crítico. Atenciosamente, &lt;name&gt;</t>
        </is>
      </c>
      <c r="G187" s="1" t="inlineStr">
        <is>
          <t>Change</t>
        </is>
      </c>
      <c r="H187" s="1" t="inlineStr">
        <is>
          <t>Assunto: Re: Interrupção do Serviço de Gerenciamento da AWS
Prezado &lt;name&gt;,
Obrigado por entrar em contato conosco a respeito da interrupção do Serviço de Gerenciamento da AWS. Entendemos a urgência desta questão e o impacto que ela tem em suas operações. Nossa equipe técnica já está ciente da situação e está trabalhando diligentemente para restaurar o serviço normal.
Embora eu atualmente não tenha uma estimativa específica para resolução, por favor, tenha certeza de que estamos priorizando esta interrupção e o manteremos informado com quaisquer atualizações. Agradecemos sua paciência e compreensão enquanto trabalhamos para resolver esse problema prontamente.
Atenciosamente,
Suporte ao Cliente</t>
        </is>
      </c>
      <c r="I187" s="1" t="inlineStr">
        <is>
          <t>high</t>
        </is>
      </c>
      <c r="J187" s="1" t="inlineStr">
        <is>
          <t>['Service Outage', 'Urgent Issue', 'Technical Support', 'Systems Maintenance', 'Incident Report', 'Service Recovery']</t>
        </is>
      </c>
      <c r="K187" s="1" t="inlineStr">
        <is>
          <t>pt</t>
        </is>
      </c>
      <c r="L187" s="1" t="n">
        <v>555</v>
      </c>
    </row>
    <row r="188" ht="16.5" customHeight="1">
      <c r="A188" s="1" t="n">
        <v>1647</v>
      </c>
      <c r="B188" s="3" t="inlineStr">
        <is>
          <t>Solicitação de Serviço</t>
        </is>
      </c>
      <c r="C188" s="3" t="inlineStr">
        <is>
          <t>Gerenciamento de Acesso</t>
        </is>
      </c>
      <c r="D188" s="1" t="inlineStr">
        <is>
          <t>Solicitação de Mudança de Permissões de Acesso</t>
        </is>
      </c>
      <c r="E188" s="1" t="inlineStr">
        <is>
          <t>Technical Support</t>
        </is>
      </c>
      <c r="F188" s="1" t="inlineStr">
        <is>
          <t>Caro Equipe de Suporte ao Cliente, Espero que esta mensagem o encontre bem. Atualmente, usamos o Jira Software 8.20 para gerenciar nossos projetos e aprimorar a colaboração da equipe. No entanto, estamos enfrentando desafios devido às permissões de acesso atuais, que limitam nossa eficiência significativamente. Portanto, solicito gentilmente uma revisão e possível mudança nas permissões de acesso para alinhar melhor com nossas necessidades de gerenciamento de projetos. Você poderia nos informar como podemos prosseguir com este pedido? Sua assistência nesse assunto é muito apreciada. Agradecemos sua pronta atenção a esta solicitação. Atenciosamente, &lt;name&gt;</t>
        </is>
      </c>
      <c r="G188" s="1" t="inlineStr">
        <is>
          <t>Change</t>
        </is>
      </c>
      <c r="H188" s="1" t="inlineStr">
        <is>
          <t>Caro &lt;name&gt;,
Obrigado por entrar em contato sobre as permissões de acesso no Jira Software 8.20. Entendemos a importância de ter permissões apropriadas para um gerenciamento de projetos eficiente. Para prosseguir, por favor, forneça-nos detalhes específicos sobre as mudanças de acesso que você deseja. Assim que tivermos essas informações, nossa equipe poderá revisar sua solicitação e orientá-lo sobre as opções possíveis ou fazer os ajustes necessários. Estamos aqui para ajudá-lo com uma resolução rápida.
Atenciosamente,  Equipe de Suporte ao Cliente</t>
        </is>
      </c>
      <c r="I188" s="1" t="inlineStr">
        <is>
          <t>high</t>
        </is>
      </c>
      <c r="J188" s="1" t="inlineStr">
        <is>
          <t>['Technical Support', 'Account Assistance', 'Problem Resolution', 'Service Notification', 'Documentation Request', 'Technical Guidance']</t>
        </is>
      </c>
      <c r="K188" s="1" t="inlineStr">
        <is>
          <t>pt</t>
        </is>
      </c>
      <c r="L188" s="1" t="n">
        <v>663</v>
      </c>
    </row>
    <row r="189" ht="16.5" customHeight="1">
      <c r="A189" s="1" t="n">
        <v>1651</v>
      </c>
      <c r="B189" s="3" t="inlineStr">
        <is>
          <t>Gerenciamento de Incidentes</t>
        </is>
      </c>
      <c r="C189" s="3" t="inlineStr">
        <is>
          <t>Gerenciamento de Acesso</t>
        </is>
      </c>
      <c r="D189" s="1" t="inlineStr">
        <is>
          <t>Problemas de Login com o Office 365</t>
        </is>
      </c>
      <c r="E189" s="1" t="inlineStr">
        <is>
          <t>Product Support</t>
        </is>
      </c>
      <c r="F189" s="1" t="inlineStr">
        <is>
          <t>Caro Suporte ao Cliente da Tech Online Store,
Estou escrevendo para relatar um problema de login com a minha conta do Microsoft Office 365. Não consigo acessar meus e-mails e serviços em nuvem devido a esse problema, o que tem afetado meu trabalho. Verifiquei minhas credenciais e estão corretas. Apesar disso, o problema persiste.
Você poderia, por favor, me ajudar a resolver essa questão com urgência? Meu nome de usuário da conta é &lt;name&gt;, e meu número de conta é &lt;acc_num&gt;. Além disso, se necessário, sinta-se à vontade para me contatar pelo &lt;tel_num&gt;.
Obrigado pela sua atenção rápida a este problema.
Atenciosamente,
&lt;name&gt;</t>
        </is>
      </c>
      <c r="G189" s="1" t="inlineStr">
        <is>
          <t>Request</t>
        </is>
      </c>
      <c r="H189" s="1" t="inlineStr">
        <is>
          <t>Caro &lt;name&gt;,
Obrigado por entrar em contato com o Suporte ao Cliente da Tech Online Store sobre o seu problema de login do Office 365. Eu entendo a urgência e inconveniência que isso está causando.
Primeiro, por favor, tente limpar o cache e os cookies do seu navegador, ou tente fazer login usando um navegador ou dispositivo diferente. Certifique-se de que as opções de preenchimento automático não estão populando informações incorretas.
Se o problema persistir, recomendo redefinir sua senha através do processo de Recuperação de Conta da Microsoft. Se isso não resolver o problema, pode haver uma interrupção temporária do serviço ou um problema específico da sua conta.
Anotei os detalhes da sua conta, mas, por razões de segurança, não os compartilhe mais. Podemos exigir uma verificação adicional, que iremos guiá-lo de forma segura.
Se necessário, você também pode entrar em contato diretamente com o Suporte da Microsoft para uma resolução mais imediata através do seu centro de administração do Office 365, dada a natureza crítica da sua conta.
Por favor, me avise como esses passos prosseguem ou se for necessário mais assistência.
Atenciosamente,
Suporte ao Cliente da Tech Online Store</t>
        </is>
      </c>
      <c r="I189" s="1" t="inlineStr">
        <is>
          <t>high</t>
        </is>
      </c>
      <c r="J189" s="1" t="inlineStr">
        <is>
          <t>['Login Issue', 'Account Assistance', 'Urgent Issue', 'IT Support', 'Service Disruption']</t>
        </is>
      </c>
      <c r="K189" s="1" t="inlineStr">
        <is>
          <t>pt</t>
        </is>
      </c>
      <c r="L189" s="1" t="n">
        <v>634</v>
      </c>
    </row>
    <row r="190" ht="16.5" customHeight="1">
      <c r="A190" s="1" t="n">
        <v>1658</v>
      </c>
      <c r="B190" s="3" t="inlineStr">
        <is>
          <t>Solicitação de Serviço</t>
        </is>
      </c>
      <c r="C190" s="3" t="inlineStr">
        <is>
          <t>Gerenciamento de Ativos de TI</t>
        </is>
      </c>
      <c r="D190" s="1" t="inlineStr">
        <is>
          <t>Solicitação de troca do Dell XPS 13 com defeito</t>
        </is>
      </c>
      <c r="E190" s="1" t="inlineStr">
        <is>
          <t>Returns and Exchanges</t>
        </is>
      </c>
      <c r="F190" s="1" t="inlineStr">
        <is>
          <t>Caro Suporte ao Cliente da Tech Online Store,
Espero que esta mensagem o encontre bem. Estou escrevendo para informá-lo sobre um problema com um Dell XPS 13 modelo 9310, recentemente adquirido, sob o número de conta &lt;acc_num&gt;. O laptop tem apresentado falhas frequentes e problemas de desempenho, que suspeito serem devido a uma falha de hardware. Diante destes problemas não resolvidos, gostaria de solicitar uma troca do dispositivo com defeito.
Adquirido há duas semanas, o laptop começou a apresentar sinais de instabilidade logo no início, interrompendo meu trabalho com quedas ocorrendo diariamente. Tentei os passos padrão de solução de problemas sem sucesso. Portanto, acredito que uma troca por uma nova unidade é a melhor solução neste momento.
Por favor, me avise sobre os passos necessários para processar essa troca. Sinta-se à vontade para entrar em contato comigo pelo meu número &lt;tel_num&gt;.
Obrigado pela atenção a este assunto.
Atenciosamente,
&lt;name&gt;</t>
        </is>
      </c>
      <c r="G190" s="1" t="inlineStr">
        <is>
          <t>Incident</t>
        </is>
      </c>
      <c r="H190" s="1" t="inlineStr">
        <is>
          <t>Caro &lt;name&gt;,
Obrigado por entrar em contato e nos informar sobre os problemas com seu Dell XPS 13 modelo 9310. Pedimos desculpas pelo inconveniente que isso causou.
Para prosseguir com a troca, certifique-se de que o laptop está dentro da nossa política de devolução de duas semanas. Como você está relatando dentro desse período, você é elegível para uma troca. Gentileza seguir estes passos:
1. Confirme os detalhes da sua conta e a condição do dispositivo, que deve estar intacta com todos os acessórios originais.
2. Envie um e-mail de solicitação de devolução ou use o portal de devoluções em nosso site.
3. Embale o laptop de forma segura e use o rótulo pré-pago enviado para seu e-mail pelo nosso departamento de devoluções.
Assim que recebermos a unidade com defeito, processaremos a troca e enviaremos um substituto prontamente.
Se você tiver qualquer problema ou precisar de mais assistência, entre em contato conosco por e-mail ou pelo telefone &lt;tel_num&gt;.
Obrigado pela sua paciência e compreensão.
Atenciosamente,
Suporte ao Cliente da Tech Online Store</t>
        </is>
      </c>
      <c r="I190" s="1" t="inlineStr">
        <is>
          <t>medium</t>
        </is>
      </c>
      <c r="J190" s="1" t="inlineStr">
        <is>
          <t>['Returns and Exchanges', 'Product Replacement', 'Hardware Failure', 'Problem Resolution', 'Customer Service']</t>
        </is>
      </c>
      <c r="K190" s="1" t="inlineStr">
        <is>
          <t>pt</t>
        </is>
      </c>
      <c r="L190" s="1" t="n">
        <v>972</v>
      </c>
    </row>
    <row r="191" ht="16.5" customHeight="1">
      <c r="A191" s="1" t="n">
        <v>1660</v>
      </c>
      <c r="B191" s="3" t="inlineStr">
        <is>
          <t>Solicitação de Serviço</t>
        </is>
      </c>
      <c r="C191" s="3" t="inlineStr">
        <is>
          <t>Gerenciamento de Ativos de TI</t>
        </is>
      </c>
      <c r="D191" s="1" t="inlineStr">
        <is>
          <t>Conexão Sem Fio Defeituosa da Canon PIXMA MG3620</t>
        </is>
      </c>
      <c r="E191" s="1" t="inlineStr">
        <is>
          <t>Returns and Exchanges</t>
        </is>
      </c>
      <c r="F191" s="1" t="inlineStr">
        <is>
          <t>Caro Suporte da Loja Online de Tecnologia,
Recentemente comprei uma impressora Canon PIXMA MG3620 na sua loja, mas, infelizmente, encontrei um problema com sua conexão sem fio. A impressora frequentemente desconecta do Wi-Fi, tornando impossível o uso. Tentei várias etapas de solução de problemas, mas sem sucesso. Você poderia me ajudar a processar a troca ou unidade de substituição?
Meu número de conta é &lt;acc_num&gt;. Você pode me contatar pelo &lt;tel_num&gt; se mais informações forem necessárias.
Obrigado pela sua assistência.
Atenciosamente,
&lt;name&gt;</t>
        </is>
      </c>
      <c r="G191" s="1" t="inlineStr">
        <is>
          <t>Incident</t>
        </is>
      </c>
      <c r="H191" s="1" t="inlineStr">
        <is>
          <t>Caro &lt;name&gt;,
Obrigado por entrar em contato. Lamentamos saber sobre os problemas com sua impressora Canon PIXMA MG3620. Dadas as etapas de solução de problemas que você já realizou, recomendamos facilitar uma troca ou substituição. Iniciamos o processo em seu nome. Por favor, aguarde um e-mail com mais instruções em breve.
Se alguma informação adicional for necessária, entraremos em contato pelo &lt;tel_num&gt;.
Obrigado pela sua paciência e compreensão.
Atenciosamente,
Suporte da Loja Online de Tecnologia</t>
        </is>
      </c>
      <c r="I191" s="1" t="inlineStr">
        <is>
          <t>medium</t>
        </is>
      </c>
      <c r="J191" s="1" t="inlineStr">
        <is>
          <t>['Product Support', 'Returns and Exchanges', 'Technical Support', 'Order Issue', 'Service Recovery']</t>
        </is>
      </c>
      <c r="K191" s="1" t="inlineStr">
        <is>
          <t>pt</t>
        </is>
      </c>
      <c r="L191" s="1" t="n">
        <v>553</v>
      </c>
    </row>
    <row r="192" ht="16.5" customHeight="1">
      <c r="A192" s="1" t="n">
        <v>1661</v>
      </c>
      <c r="B192" s="3" t="inlineStr">
        <is>
          <t>Solicitação de Serviço</t>
        </is>
      </c>
      <c r="C192" s="3" t="inlineStr">
        <is>
          <t>Gerenciamento de Acesso</t>
        </is>
      </c>
      <c r="D192" s="1" t="inlineStr">
        <is>
          <t>Solicitação de Alterações nas Permissões de Acesso</t>
        </is>
      </c>
      <c r="E192" s="1" t="inlineStr">
        <is>
          <t>Product Support</t>
        </is>
      </c>
      <c r="F192" s="1" t="inlineStr">
        <is>
          <t>Caro Suporte ao Cliente,
Espero que esta mensagem o encontre bem. Estou escrevendo para solicitar uma alteração nas permissões de acesso ao Google Drive para as ferramentas de colaboração de dados comerciais da nossa equipe sob o pacote Google Workspace Business Standard. Atualmente, há problemas com o compartilhamento de arquivos e restrições que impedem nossa produtividade. Você poderia, por favor, revisar nossa conta &lt;acc_num&gt; para garantir que todas as permissões necessárias estejam configuradas adequadamente? Sua assistência rápida seria muito apreciada. O Dr. &lt;name&gt; pode ser contatado pelo &lt;tel_num&gt; para mais esclarecimentos.
Obrigado pela sua assistência.
Atenciosamente,
Dr. &lt;name&gt;</t>
        </is>
      </c>
      <c r="G192" s="1" t="inlineStr">
        <is>
          <t>Change</t>
        </is>
      </c>
      <c r="H192" s="1" t="inlineStr">
        <is>
          <t>Assunto: Re: Solicitação de Alterações nas Permissões de Acesso
Caro Dr. &lt;name&gt;,
Obrigado por entrar em contato conosco sobre os problemas com suas permissões de acesso ao Google Drive sob o pacote Google Workspace Business Standard. Entendemos quão importante é uma colaboração contínua para sua equipe. Vamos revisar sua conta &lt;acc_num&gt; para garantir que todas as permissões estejam configuradas corretamente e abordar quaisquer restrições atuais.
Nossa equipe técnica começará a avaliação e ajustes em breve e manteremos você atualizado sobre o progresso. Se informações adicionais forem necessárias, podemos entrar em contato com o Dr. &lt;name&gt; pelo &lt;tel_num&gt; para esclarecimentos.
Obrigado por trazer este assunto à nossa atenção.
Atenciosamente,
Equipe de Suporte ao Cliente</t>
        </is>
      </c>
      <c r="I192" s="1" t="inlineStr">
        <is>
          <t>medium</t>
        </is>
      </c>
      <c r="J192" s="1" t="inlineStr">
        <is>
          <t>['Technical Support', 'Account Assistance', 'Product Support', 'General Inquiry', 'Service Notification', 'Problem Resolution', 'Urgent Issue']</t>
        </is>
      </c>
      <c r="K192" s="1" t="inlineStr">
        <is>
          <t>pt</t>
        </is>
      </c>
      <c r="L192" s="1" t="n">
        <v>701</v>
      </c>
    </row>
    <row r="193" ht="16.5" customHeight="1">
      <c r="A193" s="1" t="n">
        <v>1667</v>
      </c>
      <c r="B193" s="3" t="inlineStr">
        <is>
          <t>Gerenciamento de Incidentes</t>
        </is>
      </c>
      <c r="C193" s="3" t="inlineStr">
        <is>
          <t>Gerenciamento de Problemas</t>
        </is>
      </c>
      <c r="D193" s="1" t="inlineStr">
        <is>
          <t>Problema na Impressora Epson</t>
        </is>
      </c>
      <c r="E193" s="1" t="inlineStr">
        <is>
          <t>Product Support</t>
        </is>
      </c>
      <c r="F193" s="1" t="inlineStr">
        <is>
          <t>Caro Time de Suporte da Tech Online Store, Estou entrando em contato com vocês sobre um problema com a impressora Epson EcoTank ET-4760 que comprei em sua loja online. Recentemente, ela tem mostrado consistentemente um erro de 'atolamento de papel' em seu display, mesmo que não pareça haver realmente um atolamento ou qualquer obstrução no caminho do papel. Este erro persiste e está impedindo a conclusão de qualquer trabalho de impressão, o que está impactando significativamente minha capacidade de realizar tarefas de trabalho essenciais com eficiência. Poderiam, por favor, fornecer orientações sobre como solucionar esse problema ou sugerir um curso de ação adequado? Se necessário, estou preparado para realizar quaisquer verificações ou ajustes de manutenção básica conforme necessário. Se isso não resolver o problema, eu apreciaria quaisquer recomendações sobre como proceder com possíveis reparos ou uma reclamação de garantia. Agradeço pela atenção a este assunto. Espero ouvir da sua equipe em breve sobre esta questão urgente, uma vez que esta impressora é fundamental para minhas operações diárias. Atenciosamente, &lt;name&gt;.</t>
        </is>
      </c>
      <c r="G193" s="1" t="inlineStr">
        <is>
          <t>Incident</t>
        </is>
      </c>
      <c r="H193" s="1" t="inlineStr">
        <is>
          <t>Caro &lt;name&gt;, 
Obrigado por entrar em contato conosco sobre o problema com sua impressora Epson EcoTank ET-4760. Entendemos o quão importante isso é para a sua eficiência no trabalho.
Para resolver o erro de 'atolamento de papel' que você está enfrentando, por favor, tente os seguintes passos de solução de problemas:
1. Desligue a impressora e desconecte-a da fonte de energia por alguns minutos antes de reiniciá-la.
2. Remova qualquer papel das bandejas de entrada e saída e verifique se há pequenos detritos ou obstruções no caminho do papel minuciosamente.
3. Abra a tampa da impressora e inspecione gentilmente toda a área dos rolos em busca de pedaços de papel que possam não ser facilmente visíveis.
4. Certifique-se de que as configurações do tipo e tamanho do papel na impressora estão corretamente configuradas para o papel que você está usando.
Se o problema persistir após esses passos, talvez você precise redefinir a impressora. Consulte o manual da impressora para orientações sobre como fazer uma redefinição de fábrica.
Caso nenhuma dessas soluções resolva o problema, recomendo iniciar uma reclamação de garantia ou entrar em contato com o suporte da Epson para serviços de reparo. Você pode iniciar o processo de reclamação de garantia diretamente em nosso site ou entrando em contato com nossa equipe de atendimento ao cliente.
Por favor, nos avise se precisar de mais assistência. Estamos aqui para ajudar você a retornar às suas tarefas essenciais com tranquilidade.
Atenciosamente,
Equipe de Suporte da Tech Online Store</t>
        </is>
      </c>
      <c r="I193" s="1" t="inlineStr">
        <is>
          <t>low</t>
        </is>
      </c>
      <c r="J193" s="1" t="inlineStr">
        <is>
          <t>['Product Support', 'Technical Support', 'Hardware Failure', 'Urgent Issue', 'Warranty Claim', 'Problem Resolution', 'Service Recovery']</t>
        </is>
      </c>
      <c r="K193" s="1" t="inlineStr">
        <is>
          <t>pt</t>
        </is>
      </c>
      <c r="L193" s="1" t="n">
        <v>1138</v>
      </c>
    </row>
    <row r="194" ht="16.5" customHeight="1">
      <c r="A194" s="1" t="n">
        <v>1674</v>
      </c>
      <c r="B194" s="3" t="inlineStr">
        <is>
          <t>Solicitação de Serviço</t>
        </is>
      </c>
      <c r="C194" s="3" t="inlineStr">
        <is>
          <t>Gerenciamento de Incidentes</t>
        </is>
      </c>
      <c r="D194" s="1" t="inlineStr">
        <is>
          <t>Assistência Necessária: Configuração da Epson EcoTank ET-4760</t>
        </is>
      </c>
      <c r="E194" s="1" t="inlineStr">
        <is>
          <t>Customer Service</t>
        </is>
      </c>
      <c r="F194" s="1" t="inlineStr">
        <is>
          <t>Caro Suporte ao Cliente,
Espero que esta mensagem o encontre bem. Estou entrando em contato para solicitar assistência na configuração da minha nova impressora sem fio Epson EcoTank ET-4760 para conectar com minha nova rede doméstica. Após várias tentativas de configurar a impressora usando as instruções de configuração fornecidas, não consigo conectar o dispositivo com sucesso à minha rede Wi-Fi.
O processo parece encontrar problemas durante a etapa de configuração da rede. Certifiquei-me de que estou seguindo as instruções conforme descrito no manual do usuário, e minha rede Wi-Fi está funcionando corretamente com outros dispositivos. No entanto, a impressora não reconhece nem se conecta à rede como esperado.
Diante desses desafios, eu apreciaria qualquer orientação ou conselho de solução de problemas que você pudesse fornecer para resolver esse problema. Especificamente, gostaria de saber se existem armadilhas comuns das quais eu deva estar ciente ao configurar este modelo, ou se atualizações de software adicionais ou configurações são geralmente necessárias para um desempenho ideal.
Além disso, se houver uma opção para uma sessão de suporte ao vivo ou um tutorial detalhado, eu estaria aberto a agendar um horário com um técnico para uma assistência mais personalizada.
Muito obrigado pela sua atenção a este assunto. Aguardo sua resposta rápida.
Atenciosamente,
&lt;name&gt;</t>
        </is>
      </c>
      <c r="G194" s="1" t="inlineStr">
        <is>
          <t>Request</t>
        </is>
      </c>
      <c r="H194" s="1" t="inlineStr">
        <is>
          <t>Caro &lt;name&gt;,
Obrigado por entrar em contato e peço desculpas pelo inconveniente que você está enfrentando ao configurar sua Epson EcoTank ET-4760.
Aqui estão algumas etapas de solução de problemas que você pode tentar:
1. Certifique-se de que sua impressora e roteador não estão muito distantes, idealmente a 1,8-3 metros para a configuração inicial.
2. Verifique se sua rede Wi-Fi está usando uma conexão de 2,4GHz, pois muitas impressoras têm problemas com redes de 5GHz.
3. Reinicie sua impressora, roteador e computador para redefinir as conexões de rede.
4. Certifique-se de que não há restrições de rede ou firewalls impedindo a impressora de se conectar à rede sem fio.
5. Acesse as configurações de rede da impressora manualmente para verificar o nome SSID e a entrada de senha.
6. Atualize o firmware da sua impressora visitando o site oficial de suporte da Epson para garantir compatibilidade ideal com sua rede.
Se essas etapas não resolverem o problema, recomendo fortemente agendar uma sessão de suporte ao vivo para uma assistência mais prática. Você pode entrar em contato com nossa linha de suporte para agendar um horário conveniente para um técnico ajudá-lo ainda mais.
Por favor, me avise se você precisar dos detalhes de contato ou de mais assistência!
Atenciosamente,
Equipe de Suporte ao Cliente</t>
        </is>
      </c>
      <c r="I194" s="1" t="inlineStr">
        <is>
          <t>low</t>
        </is>
      </c>
      <c r="J194" s="1" t="inlineStr">
        <is>
          <t>['Technical Support', 'Product Support', 'Hardware Failure', 'System Maintenance', 'Problem Resolution', 'Technical Guidance']</t>
        </is>
      </c>
      <c r="K194" s="1" t="inlineStr">
        <is>
          <t>pt</t>
        </is>
      </c>
      <c r="L194" s="1" t="n">
        <v>1398</v>
      </c>
    </row>
    <row r="195" ht="16.5" customHeight="1">
      <c r="A195" s="1" t="n">
        <v>1685</v>
      </c>
      <c r="B195" s="3" t="inlineStr">
        <is>
          <t>Gerenciamento de Mudanças</t>
        </is>
      </c>
      <c r="C195" s="3" t="inlineStr">
        <is>
          <t>Gerenciamento de Incidentes</t>
        </is>
      </c>
      <c r="D195" s="1" t="inlineStr">
        <is>
          <t>Mudança de Configuração Urgente</t>
        </is>
      </c>
      <c r="E195" s="1" t="inlineStr">
        <is>
          <t>IT Support</t>
        </is>
      </c>
      <c r="F195" s="1" t="inlineStr">
        <is>
          <t>Prezado Suporte ao Cliente de Serviços de TI, Precisamos urgentemente mudar a configuração do servidor e atualizar nosso sistema nos projetos em andamento de consultoria em soluções de TI. Isso é de alta prioridade devido a requisitos urgentes. O produto afetado é o Serviço de Consultoria em TI. Obrigado, &lt;name&gt;.</t>
        </is>
      </c>
      <c r="G195" s="1" t="inlineStr">
        <is>
          <t>Change</t>
        </is>
      </c>
      <c r="H195" s="1" t="inlineStr">
        <is>
          <t>Prezado &lt;name&gt;,
Obrigado por entrar em contato. Entendemos a urgência do seu pedido. Nossa equipe priorizará as mudanças na configuração do servidor para o seu projeto de Serviço de Consultoria em TI. Por favor, aguarde uma atualização em breve.
Atenciosamente,
Suporte ao Cliente de Serviços de TI</t>
        </is>
      </c>
      <c r="I195" s="1" t="inlineStr">
        <is>
          <t>high</t>
        </is>
      </c>
      <c r="J195" s="1" t="inlineStr">
        <is>
          <t>['Technical Support', 'IT Support', 'Urgent Issue', 'Problem Resolution', 'Service Disruption', 'Planned Change']</t>
        </is>
      </c>
      <c r="K195" s="1" t="inlineStr">
        <is>
          <t>pt</t>
        </is>
      </c>
      <c r="L195" s="1" t="n">
        <v>314</v>
      </c>
    </row>
    <row r="196" ht="16.5" customHeight="1">
      <c r="A196" s="1" t="n">
        <v>1703</v>
      </c>
      <c r="B196" s="3" t="inlineStr">
        <is>
          <t>Solicitação de Serviço</t>
        </is>
      </c>
      <c r="C196" s="3" t="inlineStr">
        <is>
          <t>Gerenciamento Financeiro</t>
        </is>
      </c>
      <c r="D196" s="1" t="inlineStr">
        <is>
          <t>Assistência Necessária para Gerenciamento da AWS</t>
        </is>
      </c>
      <c r="E196" s="1" t="inlineStr">
        <is>
          <t>Customer Service</t>
        </is>
      </c>
      <c r="F196" s="1" t="inlineStr">
        <is>
          <t>Prezado Time de Suporte ao Cliente,
Espero que esta mensagem os encontre bem. Estou entrando em contato para buscar assistência com os Serviços de Gerenciamento da AWS fornecidos por sua empresa. Tenho utilizado esses serviços há algum tempo, mas atualmente estou enfrentando desafios na otimização de custos e na alocação eficiente de recursos na nuvem. Como esses aspectos são críticos para nossas operações, gostaria de perguntar sobre quaisquer estratégias ou soluções disponíveis que pudessem nos ajudar a gerenciar esses aspectos de forma mais eficaz.
Além disso, estou interessado em entender se existem recursos ou ferramentas adicionais dentro do seu Serviço de Gerenciamento da AWS que poderiam facilitar um melhor monitoramento e gerenciamento de nossos recursos. Sua experiência e orientação nesse assunto seriam extremamente valiosas.
Você poderia fornecer informações ou agendar uma consulta na sua primeira oportunidade? Além disso, se houver alguma informação ou dado específico que você necessite de nossa parte para melhor auxiliá-lo, por favor, me avise.
Obrigado pela sua atenção a este assunto. Aguardo sua pronta resposta. Você pode me contatar por e-mail ou no meu telefone &lt;tel_num&gt; para qualquer discussão adicional.
Atenciosamente,
&lt;name&gt;
&lt;company_name&gt;</t>
        </is>
      </c>
      <c r="G196" s="1" t="inlineStr">
        <is>
          <t>Request</t>
        </is>
      </c>
      <c r="H196" s="1" t="inlineStr">
        <is>
          <t>Caro &lt;name&gt;,
Obrigado por entrar em contato sobre os Serviços de Gerenciamento da AWS. Para atender suas necessidades de otimização de custos e alocação eficiente de recursos na nuvem, recomendamos uma consulta personalizada onde poderemos discutir várias estratégias e ferramentas, incluindo serviços potenciais da AWS, como Cost Explorer e Trusted Advisor.
Também oferecemos recursos de monitoramento avançados dentro do nosso serviço que podem ser benéficos. Posso agendar uma consulta na sua conveniência para explorar essas opções mais a fundo. Por favor, nos informe um horário adequado para você.
Em preparação para nossa discussão, quaisquer detalhes de uso ou objetivos específicos que você puder compartilhar irão aprimorar nossa capacidade de fornecer soluções precisas. Você pode nos contatar através deste e-mail ou pelo seu número de telefone fornecido &lt;tel_num&gt;.
Aguardamos ansiosos por ajudá-lo mais.
Atenciosamente,
Equipe de Suporte ao Cliente</t>
        </is>
      </c>
      <c r="I196" s="1" t="inlineStr">
        <is>
          <t>medium</t>
        </is>
      </c>
      <c r="J196" s="1" t="inlineStr">
        <is>
          <t>['Technical Support', 'Product Support', 'General Inquiry', 'Service Recovery', 'Technical Guidance', 'Account Assistance', 'Routine Request', 'Performance Tuning']</t>
        </is>
      </c>
      <c r="K196" s="1" t="inlineStr">
        <is>
          <t>pt</t>
        </is>
      </c>
      <c r="L196" s="1" t="n">
        <v>1285</v>
      </c>
    </row>
    <row r="197" ht="16.5" customHeight="1">
      <c r="A197" s="1" t="n">
        <v>1713</v>
      </c>
      <c r="B197" s="3" t="inlineStr">
        <is>
          <t>Solicitação de Serviço</t>
        </is>
      </c>
      <c r="C197" s="3" t="inlineStr">
        <is>
          <t>Gerenciamento Financeiro</t>
        </is>
      </c>
      <c r="D197" s="1" t="inlineStr">
        <is>
          <t>Solicitação de Mudança de Faturamento para o Google Workspace</t>
        </is>
      </c>
      <c r="E197" s="1" t="inlineStr">
        <is>
          <t>Billing and Payments</t>
        </is>
      </c>
      <c r="F197" s="1" t="inlineStr">
        <is>
          <t>Olá Atendimento ao Cliente da Tech Online Store,
Espero que esta mensagem o encontre bem. Estou escrevendo para solicitar uma mudança de faturamento relacionada à minha assinatura do Google Workspace Business Standard, associada ao número da conta &lt;acc_num&gt;. Gostaria de explorar opções para atualizar meu plano atual. Você poderia, por favor, fornecer informações detalhadas sobre os planos disponíveis, especialmente focando nas melhorias em recursos e detalhes de preços? Além disso, estou interessado em entender quaisquer descontos ou promoções potenciais que possam se aplicar caso eu escolha um nível diferente.
Para sua referência, meu nome completo é &lt;name&gt; e você pode me contatar pelo &lt;tel_num&gt; caso precise de alguma verificação adicional ou mais informações. Garantir que haja uma interrupção mínima durante essa transição é importante, então sua assistência rápida seria apreciada.
Muito obrigado pela sua ajuda nesta questão. Aguardo sua resposta com as informações necessárias para tomar uma decisão informada.
Atenciosamente,
&lt;name&gt;</t>
        </is>
      </c>
      <c r="G197" s="1" t="inlineStr">
        <is>
          <t>Change</t>
        </is>
      </c>
      <c r="H197" s="1" t="inlineStr">
        <is>
          <t>Olá,
Obrigado por entrar em contato conosco sobre sua assinatura do Google Workspace Business Standard. Temos o prazer de ajudá-lo a explorar as opções de atualização disponíveis.
Atualmente, existem vários níveis de plano que oferecem recursos aprimorados, como armazenamento aumentado, opções avançadas de segurança e suporte premium. Para informações detalhadas sobre esses planos, incluindo preços e recursos, enviaremos um guia abrangente por e-mail em breve.
Além disso, periodicamente oferecemos promoções e descontos para níveis específicos; estas também serão incluídas no pacote de informações. Nosso objetivo é fornecer as opções mais adequadas para suas necessidades, garantindo uma transição suave com interrupções mínimas.
Se forem necessárias mais verificações ou informações, entraremos em contato usando o número de telefone que você forneceu. Agradecemos sua paciência e resposta rápida.
Obrigado por nos escolher para apoiar suas necessidades empresariais. Por favor, fique atento ao nosso follow-up detalhado.
Atenciosamente,
Atendimento ao Cliente da Tech Online Store</t>
        </is>
      </c>
      <c r="I197" s="1" t="inlineStr">
        <is>
          <t>medium</t>
        </is>
      </c>
      <c r="J197" s="1" t="inlineStr">
        <is>
          <t>['Customer Service', 'Billing Issue', 'Sales Inquiry', 'Product Support', 'Account Assistance', 'Service Notification']</t>
        </is>
      </c>
      <c r="K197" s="1" t="inlineStr">
        <is>
          <t>pt</t>
        </is>
      </c>
      <c r="L197" s="1" t="n">
        <v>1053</v>
      </c>
    </row>
    <row r="198" ht="16.5" customHeight="1">
      <c r="A198" s="1" t="n">
        <v>1718</v>
      </c>
      <c r="B198" s="3" t="inlineStr">
        <is>
          <t>Gerenciamento de Incidentes</t>
        </is>
      </c>
      <c r="C198" s="3" t="inlineStr">
        <is>
          <t>Gerenciamento de Problemas</t>
        </is>
      </c>
      <c r="D198" s="1" t="inlineStr">
        <is>
          <t>Urgente: problema com Dell XPS 13 9310</t>
        </is>
      </c>
      <c r="E198" s="1" t="inlineStr">
        <is>
          <t>Technical Support</t>
        </is>
      </c>
      <c r="F198" s="1" t="inlineStr">
        <is>
          <t>Caro Suporte da Tech Online Store,
Estou enfrentando um problema com meu Dell XPS 13 9310, que ocasionalmente congela e interrompe meu fluxo de trabalho. Você poderia me ajudar a diagnosticar e resolver esse problema?
Obrigado,
&lt;name&gt;
Número da Conta: &lt;acc_num&gt;
Telefone: &lt;tel_num&gt;</t>
        </is>
      </c>
      <c r="G198" s="1" t="inlineStr">
        <is>
          <t>Incident</t>
        </is>
      </c>
      <c r="H198" s="1" t="inlineStr">
        <is>
          <t>Caro &lt;name&gt;,
Lamentamos saber sobre o problema com seu Dell XPS 13 9310. Por favor, tente atualizar o BIOS do seu sistema e os drivers no site de suporte da Dell. Se o problema persistir, responda a este e-mail e nós ajudaremos mais.
Atenciosamente,
Suporte da Tech Online Store</t>
        </is>
      </c>
      <c r="I198" s="1" t="inlineStr">
        <is>
          <t>low</t>
        </is>
      </c>
      <c r="J198" s="1" t="inlineStr">
        <is>
          <t>['Technical Support', 'Hardware Failure', 'Problem Resolution', 'Customer Service', 'Urgent Issue']</t>
        </is>
      </c>
      <c r="K198" s="1" t="inlineStr">
        <is>
          <t>pt</t>
        </is>
      </c>
      <c r="L198" s="1" t="n">
        <v>283</v>
      </c>
    </row>
    <row r="199" ht="16.5" customHeight="1">
      <c r="A199" s="1" t="n">
        <v>1723</v>
      </c>
      <c r="B199" s="3" t="inlineStr">
        <is>
          <t>Solicitação de Serviço</t>
        </is>
      </c>
      <c r="C199" s="3" t="inlineStr">
        <is>
          <t>Gerenciamento de Ativos de TI</t>
        </is>
      </c>
      <c r="D199" s="1" t="inlineStr">
        <is>
          <t>Consulta sobre a compra do Microsoft Surface Pro 7</t>
        </is>
      </c>
      <c r="E199" s="1" t="inlineStr">
        <is>
          <t>Customer Service</t>
        </is>
      </c>
      <c r="F199" s="1" t="inlineStr">
        <is>
          <t>Caro Suporte ao Cliente,
Estou interessado em comprar o Microsoft Surface Pro 7 na sua loja. Você poderia, por favor, me fornecer detalhes sobre as opções de garantia disponíveis e os métodos de entrega? Além disso, apreciaria qualquer informação sobre os tempos de entrega esperados para a minha área. Aguardo sua pronta resposta com as informações necessárias para a compra.
Obrigado.
Atenciosamente,
&lt;name&gt;</t>
        </is>
      </c>
      <c r="G199" s="1" t="inlineStr">
        <is>
          <t>Request</t>
        </is>
      </c>
      <c r="H199" s="1" t="inlineStr">
        <is>
          <t>Caro &lt;name&gt;,
Obrigado pelo seu interesse no Microsoft Surface Pro 7. Nossa loja oferece uma garantia padrão de um ano, com planos de garantia estendida opcionais disponíveis. Em relação à entrega, oferecemos opções de envio expresso e padrão. Os tempos de entrega dependem da sua localização, mas normalmente variam de 3 a 7 dias úteis para o expresso e de 5 a 10 dias úteis para o padrão. Para uma estimativa precisa, forneça seu código postal. Se precisar de mais assistência ou desejar prosseguir com a sua compra, por favor, nos avise.
Atenciosamente,
Equipe de Suporte ao Cliente</t>
        </is>
      </c>
      <c r="I199" s="1" t="inlineStr">
        <is>
          <t>medium</t>
        </is>
      </c>
      <c r="J199" s="1" t="inlineStr">
        <is>
          <t>['Sales Inquiry', 'Product Support', 'Warranty Claim', 'Shipping Inquiry', 'Customer Service', 'Returns and Exchanges']</t>
        </is>
      </c>
      <c r="K199" s="1" t="inlineStr">
        <is>
          <t>pt</t>
        </is>
      </c>
      <c r="L199" s="1" t="n">
        <v>413</v>
      </c>
    </row>
    <row r="200" ht="16.5" customHeight="1">
      <c r="A200" s="1" t="n">
        <v>1741</v>
      </c>
      <c r="B200" s="3" t="inlineStr">
        <is>
          <t>Gerenciamento de Incidentes</t>
        </is>
      </c>
      <c r="C200" s="3" t="inlineStr">
        <is>
          <t>Gerenciamento de Problemas</t>
        </is>
      </c>
      <c r="D200" s="1" t="inlineStr">
        <is>
          <t>Problemas com a Impressora Epson EcoTank ET-4760</t>
        </is>
      </c>
      <c r="E200" s="1" t="inlineStr">
        <is>
          <t>Returns and Exchanges</t>
        </is>
      </c>
      <c r="F200" s="1" t="inlineStr">
        <is>
          <t>Caro time de suporte ao cliente,
Espero que esta mensagem os encontre bem. Estou escrevendo para expressar minhas preocupações em relação à impressora Epson EcoTank ET-4760 que comprei em sua loja. Inicialmente, a impressora funcionou excelentemente, mas no último mês, encontrei problemas substanciais que afetam sua funcionalidade.
Primeiramente, a impressora apresentou taxas anormais de consumo de tinta. Os níveis de tinta se esgotam muito mais rápido em comparação com minhas experiências anteriores e não aumentei meu volume típico de impressão. Em segundo lugar, a conectividade Wi-Fi tornou-se errática, tornando desafiador executar trabalhos de impressão de forma eficiente. Às vezes, ela falha em se conectar à rede, exigindo múltiplas reinicializações para restabelecer a conexão.
Eu gentilmente solicito orientações sobre como solucionar esses problemas ou, se necessário, devolver o produto para reparo ou substituição.
Obrigado pela atenção a este assunto. Por favor, me avise como devo proceder.
Atenciosamente,
&lt;name&gt;
&lt;tel_num&gt;
&lt;acc_num&gt;</t>
        </is>
      </c>
      <c r="G200" s="1" t="inlineStr">
        <is>
          <t>Problem</t>
        </is>
      </c>
      <c r="H200" s="1" t="inlineStr">
        <is>
          <t>Caro(a) &lt;name&gt;,
Obrigado por entrar em contato conosco a respeito dos problemas com sua impressora Epson EcoTank ET-4760. Pedimos desculpas por qualquer inconveniente que isso tenha causado.
Para resolver o problema de consumo de tinta, por favor, certifique-se de que o firmware da sua impressora esteja atualizado e faça uma verificação do bico do cabeçote de impressão, pois entupimentos podem aumentar o uso de tinta. Para problemas de conectividade Wi-Fi, tente mover a impressora mais perto do seu roteador e redefinir as configurações de rede na impressora.
Se esses passos de solução de problemas não resolverem os problemas, estamos aqui para ajudar. Você pode considerar trazer a impressora para que nossos técnicos possam diagnosticá-la ou podemos discutir opções em relação a reparo ou substituição.
Por favor, entre em contato conosco assim que possível para organizar os próximos passos.
Obrigado pela sua compreensão.
Atenciosamente,
Time de Suporte ao Cliente</t>
        </is>
      </c>
      <c r="I200" s="1" t="inlineStr">
        <is>
          <t>medium</t>
        </is>
      </c>
      <c r="J200" s="1" t="inlineStr">
        <is>
          <t>['Product Support', 'Technical Support', 'Hardware Failure', 'Problem Resolution', 'Warranty Claim', 'Customer Service', 'Technical Guidance', 'Return and Exchanges']</t>
        </is>
      </c>
      <c r="K200" s="1" t="inlineStr">
        <is>
          <t>pt</t>
        </is>
      </c>
      <c r="L200" s="1" t="n">
        <v>1061</v>
      </c>
    </row>
    <row r="201" ht="16.5" customHeight="1">
      <c r="A201" s="1" t="n">
        <v>1746</v>
      </c>
      <c r="B201" s="3" t="inlineStr">
        <is>
          <t>Solicitação de Serviço</t>
        </is>
      </c>
      <c r="C201" s="3" t="inlineStr">
        <is>
          <t>Gerenciamento Financeiro</t>
        </is>
      </c>
      <c r="D201" s="1" t="inlineStr">
        <is>
          <t>Solicitação para Atualizar Informações de Faturamento para Conformidade</t>
        </is>
      </c>
      <c r="E201" s="1" t="inlineStr">
        <is>
          <t>Billing and Payments</t>
        </is>
      </c>
      <c r="F201" s="1" t="inlineStr">
        <is>
          <t>Caro Suporte ao Cliente,
Estou escrevendo para solicitar uma atualização nas nossas informações de faturamento para o Serviço de Consultoria em TI. Devido às nossas novas políticas de pagamento corporativo, é crucial que nossos registros permaneçam em conformidade. Atualmente, nossa conta &lt;acc_num&gt; pode precisar de modificações para se alinhar com as mudanças recentes nas políticas. Por favor, informe-nos sobre os passos ou documentos necessários para prosseguir. Sinta-se à vontade para me contatar pelo &lt;tel_num&gt; se precisar de mais esclarecimentos. Sua assistência rápida com esta atualização será muito apreciada.
Obrigado,
&lt;name&gt;</t>
        </is>
      </c>
      <c r="G201" s="1" t="inlineStr">
        <is>
          <t>Change</t>
        </is>
      </c>
      <c r="H201" s="1" t="inlineStr">
        <is>
          <t>Caro &lt;name&gt;,
Obrigado por entrar em contato. Para atualizar suas informações de faturamento para a conta &lt;acc_num&gt;, por favor, forneça ao nosso departamento de faturamento os detalhes de pagamento atualizados e quaisquer documentos relevantes que reflitam as mudanças recentes nas políticas. Você pode enviar isso por e-mail ou através do nosso portal de faturamento seguro. Se precisar de formulários específicos ou orientação adicional, sinta-se à vontade para contatar nossa equipe de suporte. Nosso objetivo é garantir a conformidade de forma tranquila. Não hesite em nos contatar pelo &lt;tel_num&gt; para mais esclarecimentos.
Atenciosamente,
Equipe de Suporte ao Cliente</t>
        </is>
      </c>
      <c r="I201" s="1" t="inlineStr">
        <is>
          <t>medium</t>
        </is>
      </c>
      <c r="J201" s="1" t="inlineStr">
        <is>
          <t>['Billing Issue', 'Customer Service', 'Account Assistance', 'Payment Processing', 'General Inquiry', 'Documentation Request', 'Routine Request']</t>
        </is>
      </c>
      <c r="K201" s="1" t="inlineStr">
        <is>
          <t>pt</t>
        </is>
      </c>
      <c r="L201" s="1" t="n">
        <v>641</v>
      </c>
    </row>
    <row r="202" ht="16.5" customHeight="1">
      <c r="A202" s="1" t="n">
        <v>1777</v>
      </c>
      <c r="B202" s="3" t="inlineStr">
        <is>
          <t>Gerenciamento de Incidentes</t>
        </is>
      </c>
      <c r="C202" s="3" t="inlineStr">
        <is>
          <t>Gerenciamento de Disponibilidade</t>
        </is>
      </c>
      <c r="D202" s="1" t="inlineStr">
        <is>
          <t>Urgente: Interrupção do Serviço de Nuvem Requer Atenção Imediata</t>
        </is>
      </c>
      <c r="E202" s="1" t="inlineStr">
        <is>
          <t>Technical Support</t>
        </is>
      </c>
      <c r="F202" s="1" t="inlineStr">
        <is>
          <t>Caro Suporte ao Cliente,
Meu nome é &lt;name&gt; e estou enfrentando um sério problema com o Serviço de Gestão da AWS. Nossas instâncias da AWS pararam de funcionar de repente, causando uma séria interrupção em nossos serviços de nuvem. Este problema é urgente e requer resolução imediata, pois está impactando nossas operações.
É crucial que o problema seja corrigido imediatamente para evitar danos operacionais adicionais. Por favor, priorizem esta preocupação e forneçam a orientação ou suporte necessários o mais rápido possível para restaurar nossos serviços. Você pode me contatar pelo &lt;tel_num&gt; para mais informações.
Obrigado pela sua atenção rápida.
Atenciosamente,
&lt;name&gt;</t>
        </is>
      </c>
      <c r="G202" s="1" t="inlineStr">
        <is>
          <t>Incident</t>
        </is>
      </c>
      <c r="H202" s="1" t="inlineStr">
        <is>
          <t>Caro &lt;name&gt;,
Obrigado por entrar em contato. Entendemos a urgência da situação com seu Serviço de Gestão da AWS. Nossa equipe está atualmente investigando o problema e trabalhando diligentemente para resolvê-lo o mais rápido possível. Vamos priorizar seu caso e mantê-lo informado sobre quaisquer atualizações. Agradecemos sua paciência e cooperação. Se você precisar de mais assistência enquanto isso, sinta-se à vontade para nos contatar a qualquer momento.
Atenciosamente,
Equipe de Suporte ao Cliente</t>
        </is>
      </c>
      <c r="I202" s="1" t="inlineStr">
        <is>
          <t>high</t>
        </is>
      </c>
      <c r="J202" s="1" t="inlineStr">
        <is>
          <t>['Service Disruption', 'Urgent Issue', 'Technical Support', 'IT Support', 'Incident Report', 'Service Recovery']</t>
        </is>
      </c>
      <c r="K202" s="1" t="inlineStr">
        <is>
          <t>pt</t>
        </is>
      </c>
      <c r="L202" s="1" t="n">
        <v>680</v>
      </c>
    </row>
    <row r="203" ht="16.5" customHeight="1">
      <c r="A203" s="1" t="n">
        <v>1778</v>
      </c>
      <c r="B203" s="3" t="inlineStr">
        <is>
          <t>Solicitação de Serviço</t>
        </is>
      </c>
      <c r="C203" s="3" t="inlineStr">
        <is>
          <t>Gerenciamento de Ativos de TI</t>
        </is>
      </c>
      <c r="D203" s="1" t="inlineStr">
        <is>
          <t>Solicitação de Assistência Imediata com Compra Recente</t>
        </is>
      </c>
      <c r="E203" s="1" t="inlineStr">
        <is>
          <t>Technical Support</t>
        </is>
      </c>
      <c r="F203" s="1" t="inlineStr">
        <is>
          <t>Caro Suporte ao Cliente da Tech Online Store,
Estou escrevendo para expressar minha frustração e solicitar assistência imediata em relação a uma compra recente feita através da sua loja. Em [purchase date], comprei um Microsoft Surface Pro 7. Infelizmente, a unidade apresentou um problema persistente: ela falha continuamente ao inicializar. Esse problema tem dificultado muito meu trabalho e produtividade, pois confio neste dispositivo para tarefas diárias, e um funcionamento confiável é crucial.
Apesar de seguir todos os passos de solução de problemas recomendados no manual e no seu site, o problema persiste sem uma solução à vista. Dadas estas circunstâncias, solicito gentilmente uma substituição completa da unidade com defeito ou um serviço de reparo rápido para corrigir o defeito. Os detalhes da minha compra são os seguintes:
- Produto: Microsoft Surface Pro 7 
- Número do Pedido: [order_number]
- Data da Compra: [purchase_date]
Além disso, anexei cópias do meu recibo e documentação de garantia para agilizar o processo. Por favor, informe como podemos proceder para resolver essa questão rapidamente e quais são os próximos passos que devo seguir.
Sua atenção imediata a esta questão será muito apreciada, pois está causando uma interrupção significativa nas minhas atividades diárias. Aguardarei sua resposta imediata. Você pode me contatar via e-mail ou telefone no &lt;tel_num&gt; durante o horário comercial.
Obrigado.
Atenciosamente,
&lt;name&gt;</t>
        </is>
      </c>
      <c r="G203" s="1" t="inlineStr">
        <is>
          <t>Problem</t>
        </is>
      </c>
      <c r="H203" s="1" t="inlineStr">
        <is>
          <t>Caro &lt;name&gt;,
Obrigado por entrar em contato e fornecer os detalhes do seu problema com o Microsoft Surface Pro 7. Pedimos desculpas pela inconveniência que isso causou.
Para ajudá-lo rapidamente, iniciaremos o processo de substituição ou reparo. Por favor, assegure-se de que seu recibo e documentação de garantia estejam anexados, pois isso ajudará a agilizar o processo.
Nossa equipe entrará em contato com você em breve pelo seu número de telefone ou e-mail fornecido para orientá-lo nos próximos passos. Nosso objetivo é resolver isso rapidamente e minimizar qualquer outra interrupção em suas tarefas diárias.
Obrigado pela sua paciência e compreensão.
Atenciosamente,
Suporte ao Cliente da Tech Online Store</t>
        </is>
      </c>
      <c r="I203" s="1" t="inlineStr">
        <is>
          <t>high</t>
        </is>
      </c>
      <c r="J203" s="1" t="inlineStr">
        <is>
          <t>['Technical Support', 'Product Support', 'Returns and Exchanges', 'Urgent Issue', 'Hardware Failure', 'Service Recovery', 'Warranty Claim']</t>
        </is>
      </c>
      <c r="K203" s="1" t="inlineStr">
        <is>
          <t>pt</t>
        </is>
      </c>
      <c r="L203" s="1" t="n">
        <v>1466</v>
      </c>
    </row>
    <row r="204" ht="16.5" customHeight="1">
      <c r="A204" s="1" t="n">
        <v>1780</v>
      </c>
      <c r="B204" s="3" t="inlineStr">
        <is>
          <t>Gerenciamento de Incidentes</t>
        </is>
      </c>
      <c r="C204" s="3" t="inlineStr">
        <is>
          <t>Gerenciamento de Problemas</t>
        </is>
      </c>
      <c r="D204" s="1" t="inlineStr">
        <is>
          <t>Problemas Frequentes com o Roteador Cisco ISR4331</t>
        </is>
      </c>
      <c r="E204" s="1" t="inlineStr">
        <is>
          <t>Technical Support</t>
        </is>
      </c>
      <c r="F204" s="1" t="inlineStr">
        <is>
          <t>Prezado Time de Suporte ao Cliente,
Estou entrando em contato para relatar problemas intermitentes de conexão que estamos experimentando com nosso Roteador Cisco ISR4331, o que tem afetado a confiabilidade da nossa rede local dentro do nosso escritório. Esses problemas têm perturbado nossas operações diárias, criando ineficiências e atrasos.
Nosso escritório depende fortemente de uma conexão de rede estável para atividades como compartilhamento de arquivos, projetos colaborativos e comunicação com clientes. No entanto, as quedas frequentes de conexão estão impactando nossa produtividade significativamente. Realizamos diagnósticos preliminares, incluindo reiniciar o roteador várias vezes e verificar todas as conexões físicas, mas o problema persiste.
Solicitamos gentilmente sua assistência para diagnosticar e resolver esse problema prontamente. Agradeceríamos orientações sobre quaisquer etapas de solução de problemas que possamos ter negligenciado ou se uma intervenção técnica é necessária. Se você precisar de mais informações ou logs do roteador para auxiliar em seus diagnósticos, por favor, nos avise.
Obrigado pela sua atenção a este assunto. Aguardamos sua resolução rápida.
Atenciosamente,
&lt;name&gt;
&lt;name&gt; Equipe de Soluções
Contato: &lt;tel_num&gt;</t>
        </is>
      </c>
      <c r="G204" s="1" t="inlineStr">
        <is>
          <t>Problem</t>
        </is>
      </c>
      <c r="H204" s="1" t="inlineStr">
        <is>
          <t>Prezado &lt;name&gt;,
Obrigado por entrar em contato conosco sobre os problemas com seu Roteador Cisco ISR4331. Entendemos a importância de uma rede estável para suas operações e estamos aqui para ajudar.
Primeiramente, por favor, certifique-se de que o firmware está atualizado, pois softwares desatualizados podem às vezes causar problemas de conectividade. Se o firmware estiver atual, considere redefinir o roteador para as configurações de fábrica, pois isso pode resolver qualquer falha de software.
Como você já reiniciou e verificou as conexões físicas, o próximo passo pode envolver verificar as configurações do roteador e os logs para identificar qualquer atividade ou erro incomum. Habilitar o logging e analisar o syslog pode fornecer insights sobre as quedas de conexão.
Se essas etapas não resolverem o problema, podemos agendar um especialista técnico para ajudar mais. Por favor, forneça quaisquer logs de erro ou detalhes adicionais que você possa ter coletado para um diagnóstico mais abrangente.
Sinta-se à vontade para nos contatar a qualquer momento se precisar de mais informações ou assistência. Estamos comprometidos em restaurar sua confiabilidade de rede rapidamente.
Atenciosamente,
Equipe de Atendimento</t>
        </is>
      </c>
      <c r="I204" s="1" t="inlineStr">
        <is>
          <t>low</t>
        </is>
      </c>
      <c r="J204" s="1" t="inlineStr">
        <is>
          <t>['Technical Support', 'Network Issue', 'Problem Resolution', 'Service Disruption', 'Performance Tuning', 'Technical Guidance']</t>
        </is>
      </c>
      <c r="K204" s="1" t="inlineStr">
        <is>
          <t>pt</t>
        </is>
      </c>
      <c r="L204" s="1" t="n">
        <v>1268</v>
      </c>
    </row>
    <row r="205" ht="16.5" customHeight="1">
      <c r="A205" s="1" t="n">
        <v>1786</v>
      </c>
      <c r="B205" s="3" t="inlineStr">
        <is>
          <t>Solicitação de Serviço</t>
        </is>
      </c>
      <c r="C205" s="3" t="inlineStr">
        <is>
          <t>Gerenciamento Financeiro</t>
        </is>
      </c>
      <c r="D205" s="1" t="inlineStr">
        <is>
          <t>Solicitação de Atualização de Serviço da AWS</t>
        </is>
      </c>
      <c r="E205" s="1" t="inlineStr">
        <is>
          <t>Technical Support</t>
        </is>
      </c>
      <c r="F205" s="1" t="inlineStr">
        <is>
          <t>Por favor, forneça atualizações sobre o uso da AWS e aconselhamento de custos.</t>
        </is>
      </c>
      <c r="G205" s="1" t="inlineStr">
        <is>
          <t>Request</t>
        </is>
      </c>
      <c r="H205" s="1" t="inlineStr">
        <is>
          <t>Obrigado por entrar em contato. Em breve, fornecerei uma atualização sobre o uso e custos da AWS.</t>
        </is>
      </c>
      <c r="I205" s="1" t="inlineStr">
        <is>
          <t>low</t>
        </is>
      </c>
      <c r="J205" s="1" t="inlineStr">
        <is>
          <t>['Technical Support', 'Product Support', 'General Inquiry', 'Technical Guidance']</t>
        </is>
      </c>
      <c r="K205" s="1" t="inlineStr">
        <is>
          <t>pt</t>
        </is>
      </c>
      <c r="L205" s="1" t="n">
        <v>78</v>
      </c>
    </row>
    <row r="206" ht="16.5" customHeight="1">
      <c r="A206" s="1" t="n">
        <v>1798</v>
      </c>
      <c r="B206" s="3" t="inlineStr">
        <is>
          <t>Solicitação de Serviço</t>
        </is>
      </c>
      <c r="C206" s="3" t="inlineStr">
        <is>
          <t>Gerenciamento de Ativos de TI</t>
        </is>
      </c>
      <c r="D206" s="1" t="inlineStr">
        <is>
          <t>Solicitação Urgente de Substituição</t>
        </is>
      </c>
      <c r="E206" s="1" t="inlineStr">
        <is>
          <t>Returns and Exchanges</t>
        </is>
      </c>
      <c r="F206" s="1" t="inlineStr">
        <is>
          <t>Caro Time de Suporte ao Cliente,
Espero que esta mensagem os encontre bem. Estou entrando em contato para chamar a atenção para um problema com a panela de pressão elétrica que comprei recentemente em sua loja online. Ao tentar usá-la, percebi que emite ruídos de erro incomuns quando tento ativar a função de cozimento sob pressão. Este problema está me impedindo de usá-la efetivamente e é bastante preocupante. Assim, estou solicitando uma substituição urgente desta unidade defeituosa. Vocês poderiam me orientar sobre os passos que devo seguir para processar esta troca? Agradeceria a pronta assistência com este assunto. Obrigado.
Atenciosamente,
&lt;name&gt;</t>
        </is>
      </c>
      <c r="G206" s="1" t="inlineStr">
        <is>
          <t>Incident</t>
        </is>
      </c>
      <c r="H206" s="1" t="inlineStr">
        <is>
          <t>Caro &lt;name&gt;,
Obrigado por entrar em contato conosco sobre o seu problema com a panela de pressão elétrica. Pedimos desculpas pelo inconveniente que isso causou. Para prosseguir com a substituição, siga estas etapas:
1. Por favor, responda a este e-mail com seu número do pedido e data da compra.
2. Tire uma foto ou vídeo claro da mensagem de erro ou do ruído incomum para nossos registros.
3. Assim que recebermos essas informações, forneceremos um rótulo de envio pré-pago para devolver a unidade defeituosa.
4. Após recebermos a panela devolvida, uma unidade de substituição será enviada a você sem custo adicional.
Nosso objetivo é resolver esse problema rapidamente para você. Não hesite em entrar em contato se precisar de mais assistência.
Atenciosamente,
Time de Suporte ao Cliente</t>
        </is>
      </c>
      <c r="I206" s="1" t="inlineStr">
        <is>
          <t>high</t>
        </is>
      </c>
      <c r="J206" s="1" t="inlineStr">
        <is>
          <t>['Returns and Exchanges', 'Product Replacement', 'Urgent Issue', 'Customer Service', 'Problem Resolution']</t>
        </is>
      </c>
      <c r="K206" s="1" t="inlineStr">
        <is>
          <t>pt</t>
        </is>
      </c>
      <c r="L206" s="1" t="n">
        <v>661</v>
      </c>
    </row>
    <row r="207" ht="16.5" customHeight="1">
      <c r="A207" s="1" t="n">
        <v>1817</v>
      </c>
      <c r="B207" s="3" t="inlineStr">
        <is>
          <t>Gerenciamento de Incidentes</t>
        </is>
      </c>
      <c r="C207" s="3" t="inlineStr">
        <is>
          <t>Gerenciamento de Capacidade</t>
        </is>
      </c>
      <c r="D207" s="1" t="inlineStr">
        <is>
          <t>Problema Urgente: Recurso de Auto-Scaling da AWS</t>
        </is>
      </c>
      <c r="E207" s="1" t="inlineStr">
        <is>
          <t>IT Support</t>
        </is>
      </c>
      <c r="F207" s="1" t="inlineStr">
        <is>
          <t>Caro Time de Suporte ao Cliente,
Espero que esta mensagem os encontre bem. Estou escrevendo para trazer à sua atenção imediata um problema crítico que estamos enfrentando com o recurso de auto-scaling da AWS no pacote de Serviços de Gerenciamento da AWS, o qual é crucial para nosso ambiente de produção.
O recurso de auto-scaling, que é projetado para ajustar dinamicamente nossos recursos para atender à demanda, não está funcionando como esperado. Este problema já começou a impactar nossas operações, pois os recursos não estão sendo escalonados durante os horários de pico. Apesar de garantir que todas as configurações estejam de acordo com as configurações recomendadas, o recurso de auto-scaling falha em iniciar conforme necessário.
Essa interrupção pode levar a um tempo de inatividade significativo, resultando em perda financeira e uma reputação manchada com nossos clientes. Precisamos de assistência urgente para investigar e corrigir esse erro o mais rápido possível.
Por favor, encontre anexados os registros de configuração recentes e quaisquer mensagens de erro que encontramos durante operações recentes para auxiliar em sua análise e solução de problemas. Nossa equipe está disponível 24 horas por dia para fornecer qualquer informação adicional que você possa precisar para resolver esse problema rapidamente.
Obrigado pela sua atenção imediata a esta questão. Aguardamos sua rápida resposta para mitigar esse problema urgente.
Atenciosamente,
&lt;name&gt;
&lt;name&gt; Soluções de TI
&lt;tel_num&gt;
&lt;acc_num&gt;</t>
        </is>
      </c>
      <c r="G207" s="1" t="inlineStr">
        <is>
          <t>Problem</t>
        </is>
      </c>
      <c r="H207" s="1" t="inlineStr">
        <is>
          <t>Caro &lt;name&gt;,
Obrigado por entrar em contato conosco com sua preocupação urgente sobre o recurso de auto-scaling da AWS. Entendemos a natureza crítica desse problema e seu impacto em suas operações.
Nossa equipe técnica já está investigando os registros e mensagens de erro que você forneceu para identificar a causa raiz do problema. Nosso objetivo é resolver isso o mais rápido possível para restaurar a funcionalidade esperada do seu recurso de auto-scaling.
Por favor, esteja assegurado de que este assunto está recebendo nossa mais alta prioridade. Manteremos você atualizado sobre nosso progresso e poderemos entrar em contato para obter mais informações, se necessário.
Agradecemos sua paciência e cooperação. Se você tiver alguma dúvida ou atualização adicional, sinta-se à vontade para nos contatar a qualquer momento.
Atenciosamente,
Time de Suporte ao Cliente</t>
        </is>
      </c>
      <c r="I207" s="1" t="inlineStr">
        <is>
          <t>high</t>
        </is>
      </c>
      <c r="J207" s="1" t="inlineStr">
        <is>
          <t>['Technical Support', 'Urgent Issue', 'Service Disruption', 'System Crash', 'Problem Resolution', 'Technical Guidance', 'Software Bug']</t>
        </is>
      </c>
      <c r="K207" s="1" t="inlineStr">
        <is>
          <t>pt</t>
        </is>
      </c>
      <c r="L207" s="1" t="n">
        <v>1520</v>
      </c>
    </row>
    <row r="208" ht="16.5" customHeight="1">
      <c r="A208" s="1" t="n">
        <v>1818</v>
      </c>
      <c r="B208" s="3" t="inlineStr">
        <is>
          <t>Gerenciamento de Incidentes</t>
        </is>
      </c>
      <c r="C208" s="3" t="inlineStr">
        <is>
          <t>Gerenciamento de Problemas</t>
        </is>
      </c>
      <c r="D208" s="1" t="inlineStr">
        <is>
          <t>Problemas Intermitentes de Conectividade</t>
        </is>
      </c>
      <c r="E208" s="1" t="inlineStr">
        <is>
          <t>Technical Support</t>
        </is>
      </c>
      <c r="F208" s="1" t="inlineStr">
        <is>
          <t>Caro Equipe de Suporte de Serviços de TI,
Estou escrevendo para relatar problemas intermitentes de conectividade que estamos enfrentando com os serviços da AWS, o que está afetando o desempenho e a confiabilidade geral da nossa infraestrutura em nuvem. Isso diz respeito ao Serviço de Gerenciamento da AWS. Observamos esses problemas na última semana, e eles estão afetando nossa eficiência operacional. Solicitamos gentilmente sua ajuda para diagnosticar e resolver o problema na sua conveniência. Sua resposta rápida será muito apreciada. Obrigado.
Atenciosamente,
&lt;name&gt;
Contato: &lt;tel_num&gt;
Conta: &lt;acc_num&gt;</t>
        </is>
      </c>
      <c r="G208" s="1" t="inlineStr">
        <is>
          <t>Incident</t>
        </is>
      </c>
      <c r="H208" s="1" t="inlineStr">
        <is>
          <t>Assunto: Re: Problemas Intermitentes de Conectividade
Caro &lt;name&gt;,
Obrigado por entrar em contato sobre os problemas de conectividade que você está enfrentando com os serviços da AWS. Entendemos a importância de manter a infraestrutura em nuvem confiável para suas operações. Nossa equipe começará a investigar o problema imediatamente. Por favor, certifique-se de que seus logs da AWS e relatórios de erro estejam acessíveis, pois isso nos ajudará a diagnosticar o problema de forma mais eficiente. Nosso objetivo é resolver essa questão prontamente e manteremos você informado sobre o nosso progresso.
Se você tiver mais detalhes ou perceber mudanças na situação, não hesite em nos contatar pelo &lt;tel_num&gt;.
Atenciosamente,
Equipe de Suporte de Serviços de TI</t>
        </is>
      </c>
      <c r="I208" s="1" t="inlineStr">
        <is>
          <t>high</t>
        </is>
      </c>
      <c r="J208" s="1" t="inlineStr">
        <is>
          <t>['IT Support', 'Network Issue', 'Service Disruption', 'Incident Report', 'Problem Resolution', 'Urgent Issue', 'Technical Support']</t>
        </is>
      </c>
      <c r="K208" s="1" t="inlineStr">
        <is>
          <t>pt</t>
        </is>
      </c>
      <c r="L208" s="1" t="n">
        <v>612</v>
      </c>
    </row>
    <row r="209" ht="16.5" customHeight="1">
      <c r="A209" s="1" t="n">
        <v>1829</v>
      </c>
      <c r="B209" s="3" t="inlineStr">
        <is>
          <t>Gerenciamento de Incidentes</t>
        </is>
      </c>
      <c r="C209" s="3" t="inlineStr">
        <is>
          <t>Gerenciamento de Problemas</t>
        </is>
      </c>
      <c r="D209" s="1" t="inlineStr">
        <is>
          <t>Usuário enfrentando problema com mensagens do Slack</t>
        </is>
      </c>
      <c r="E209" s="1" t="inlineStr">
        <is>
          <t>IT Support</t>
        </is>
      </c>
      <c r="F209" s="1" t="inlineStr">
        <is>
          <t>Caro time de Suporte de Serviços de TI, nosso colega &lt;name&gt; não consegue enviar mensagens na versão 4.23.0 do Slack. A comunicação nos departamentos de Pluto é crucial e esse problema dificulta nosso fluxo de trabalho. Por favor, forneça assistência ou uma solução o mais rápido possível. Atenciosamente, &lt;name&gt;.</t>
        </is>
      </c>
      <c r="G209" s="1" t="inlineStr">
        <is>
          <t>Problem</t>
        </is>
      </c>
      <c r="H209" s="1" t="inlineStr">
        <is>
          <t>Caro &lt;name&gt;, por favor, aconselhe seu colega &lt;name&gt; a verificar a conexão com a internet e garantir que o Slack esteja atualizado. Se o problema persistir, peça a ele para limpar o cache do aplicativo ou reinstalar o Slack. Se essas etapas não resolverem, reporte ao nosso time técnico para assistência adicional. Atenciosamente, Suporte de TI.</t>
        </is>
      </c>
      <c r="I209" s="1" t="inlineStr">
        <is>
          <t>medium</t>
        </is>
      </c>
      <c r="J209" s="1" t="inlineStr">
        <is>
          <t>['Technical Support', 'IT Support', 'Software Bug', 'Problem Resolution', 'Urgent Issue', 'Service Notification']</t>
        </is>
      </c>
      <c r="K209" s="1" t="inlineStr">
        <is>
          <t>pt</t>
        </is>
      </c>
      <c r="L209" s="1" t="n">
        <v>312</v>
      </c>
    </row>
    <row r="210" ht="16.5" customHeight="1">
      <c r="A210" s="1" t="n">
        <v>1832</v>
      </c>
      <c r="B210" s="3" t="inlineStr">
        <is>
          <t>Gerenciamento de Incidentes</t>
        </is>
      </c>
      <c r="C210" s="3" t="inlineStr">
        <is>
          <t>Gerenciamento de Problemas</t>
        </is>
      </c>
      <c r="D210" s="1" t="inlineStr">
        <is>
          <t>Problema de Tela Piscando</t>
        </is>
      </c>
      <c r="E210" s="1" t="inlineStr">
        <is>
          <t>Technical Support</t>
        </is>
      </c>
      <c r="F210" s="1" t="inlineStr">
        <is>
          <t>Olá Suporte ao Cliente,
Recentemente, atualizei meu Dell XPS 13 9310 e agora estou enfrentando um piscar intermitente da tela, o que afeta seriamente a usabilidade. Este problema começou imediatamente após a atualização. Não tenho certeza se é devido a hardware ou software, mas preciso de assistência o mais rápido possível. Por favor, forneça orientações sobre como solucionar o problema ou inicie um reparo, se necessário.
Obrigado,
&lt;name&gt;
&lt;tel_num&gt;
&lt;acc_num&gt;</t>
        </is>
      </c>
      <c r="G210" s="1" t="inlineStr">
        <is>
          <t>Incident</t>
        </is>
      </c>
      <c r="H210" s="1" t="inlineStr">
        <is>
          <t>Olá &lt;name&gt;,
Obrigado por entrar em contato. O problema de tela piscando pode estar relacionado à atualização recente. Por favor, tente reinstalar ou atualizar o driver do seu display. Se o problema persistir, por favor, faça uma restauração do sistema para um ponto antes da atualização. Para mais assistência ou para agendar um reparo, entre em contato conosco pelo [Linha de Apoio ao Cliente].
Atenciosamente,
Equipe de Suporte ao Cliente</t>
        </is>
      </c>
      <c r="I210" s="1" t="inlineStr">
        <is>
          <t>high</t>
        </is>
      </c>
      <c r="J210" s="1" t="inlineStr">
        <is>
          <t>['Technical Support', 'Software Bug', 'Hardware Failure', 'Problem Resolution', 'Urgent Issue']</t>
        </is>
      </c>
      <c r="K210" s="1" t="inlineStr">
        <is>
          <t>pt</t>
        </is>
      </c>
      <c r="L210" s="1" t="n">
        <v>464</v>
      </c>
    </row>
    <row r="211" ht="16.5" customHeight="1">
      <c r="A211" s="1" t="n">
        <v>1833</v>
      </c>
      <c r="B211" s="3" t="inlineStr">
        <is>
          <t>Solicitação de Serviço</t>
        </is>
      </c>
      <c r="C211" s="3" t="inlineStr">
        <is>
          <t>Gerenciamento de Mudanças</t>
        </is>
      </c>
      <c r="D211" s="1" t="inlineStr">
        <is>
          <t>Pedido Urgente do Cliente: Atualização do Jira Software 8.20</t>
        </is>
      </c>
      <c r="E211" s="1" t="inlineStr">
        <is>
          <t>IT Support</t>
        </is>
      </c>
      <c r="F211" s="1" t="inlineStr">
        <is>
          <t>Caro Time de Suporte ao Cliente, Nosso cliente, &lt;name&gt;, solicitou urgentemente que atualizássemos nossa ferramenta de gerenciamento de projetos para o Jira Software 8.20. Eles precisam dessa atualização para acessar os recursos aprimorados do sistema de ticket fornecidos nesta versão. O produto atualmente afetado é o Jira Software usado para gerenciamento de projetos. Por favor, priorize este pedido e nos ajude com os passos necessários para a atualização do software. Se precisar de mais detalhes ou tiver alguma pergunta, entre em contato comigo diretamente pelo &lt;tel_num&gt;. Obrigado pela sua atenção rápida a este assunto. Atenciosamente, &lt;name&gt;.</t>
        </is>
      </c>
      <c r="G211" s="1" t="inlineStr">
        <is>
          <t>Change</t>
        </is>
      </c>
      <c r="H211" s="1" t="inlineStr">
        <is>
          <t>Caro &lt;name&gt;,
Obrigado pelo seu email. Entendemos a urgência de atualizar seu Jira Software para a versão 8.20. Nossa equipe está priorizando este pedido e fornecerá os passos necessários para a atualização do software em breve. Nosso objetivo é completar essa atualização rapidamente para garantir que seu cliente possa acessar os recursos aprimorados.
Se precisarmos de mais detalhes, entraremos em contato diretamente pelo &lt;tel_num&gt;.
Atenciosamente,
Equipe de Suporte ao Cliente</t>
        </is>
      </c>
      <c r="I211" s="1" t="inlineStr">
        <is>
          <t>high</t>
        </is>
      </c>
      <c r="J211" s="1" t="inlineStr">
        <is>
          <t>['Technical Support', 'Product Support', 'Urgent Issue', 'Software Bug', 'Problem Resolution', 'Technical Guidance', 'Service Recovery']</t>
        </is>
      </c>
      <c r="K211" s="1" t="inlineStr">
        <is>
          <t>pt</t>
        </is>
      </c>
      <c r="L211" s="1" t="n">
        <v>652</v>
      </c>
    </row>
    <row r="212" ht="16.5" customHeight="1">
      <c r="A212" s="1" t="n">
        <v>1835</v>
      </c>
      <c r="B212" s="3" t="inlineStr">
        <is>
          <t>Gerenciamento Financeiro</t>
        </is>
      </c>
      <c r="C212" s="3" t="inlineStr">
        <is>
          <t>Gerenciamento de Incidentes</t>
        </is>
      </c>
      <c r="D212" s="1" t="inlineStr">
        <is>
          <t>Erro de Cobrança na Compra Recente</t>
        </is>
      </c>
      <c r="E212" s="1" t="inlineStr">
        <is>
          <t>Billing and Payments</t>
        </is>
      </c>
      <c r="F212" s="1" t="inlineStr">
        <is>
          <t>Caro Suporte ao Cliente da Tech Online Store, 
Estou escrevendo para chamar a sua atenção para um erro de cobrança que encontrei após comprar algumas extensões na sua loja. Minha conta, registrada sob o nome &lt;name&gt; e número da conta &lt;acc_num&gt;, foi cobrada de forma incorreta pelas extensões do Google Chrome 102.0.
Ao revisar meu extrato, notei uma discrepância envolvendo a compra mencionada, com uma cobrança adicional inesperada. O total cobrado não está alinhado com o custo exibido no checkout, levando a uma diferença significativa que estou ansioso para resolver. Suspeito que uma falha no sistema possa ter causado essa anomalia de cobrança.
Considerando as circunstâncias, solicito gentilmente que você investigue este problema assim que possível e ajuste as cobranças de acordo. Por favor, me avise se forem necessários mais detalhes da minha parte. Estou esperando uma rápida resolução para evitar qualquer interrupção nos serviços.
Para uma comunicação rápida, fique à vontade para me contatar pelo &lt;tel_num&gt; ou através deste endereço de e-mail.
Obrigado por tratar deste assunto prontamente.
Atenciosamente,
&lt;name&gt;</t>
        </is>
      </c>
      <c r="G212" s="1" t="inlineStr">
        <is>
          <t>Problem</t>
        </is>
      </c>
      <c r="H212" s="1" t="inlineStr">
        <is>
          <t>Caro &lt;name&gt;,
Obrigado por entrar em contato sobre a discrepância de cobrança pela sua compra recente das extensões do Google Chrome 102.0.
Pedimos desculpas por qualquer inconveniente causado e agradecemos sua paciência enquanto investigamos este assunto. Nossa equipe irá analisar os detalhes da sua conta e da transação para identificar o problema e corrigir as cobranças, se necessário.
Para acelerar a resolução, por favor, certifique-se de que nenhuma outra informação pessoal seja necessária. Fique tranquilo, nosso objetivo é resolver isso o mais rápido possível para evitar qualquer interrupção nos seus serviços.
Manteremos você atualizado com nossas descobertas ou se mais informações forem necessárias. Sinta-se à vontade para entrar em contato conosco quando quiser, seja por este e-mail ou pelo seu número de telefone fornecido, &lt;tel_num&gt;.
Obrigado pela sua compreensão e paciência.
Atenciosamente,  
Equipe de Suporte ao Cliente da Tech Online Store</t>
        </is>
      </c>
      <c r="I212" s="1" t="inlineStr">
        <is>
          <t>medium</t>
        </is>
      </c>
      <c r="J212" s="1" t="inlineStr">
        <is>
          <t>['Billing Issue', 'Customer Service', 'Payment Processing', 'Problem Resolution', 'Urgent Issue', 'Account Assistance']</t>
        </is>
      </c>
      <c r="K212" s="1" t="inlineStr">
        <is>
          <t>pt</t>
        </is>
      </c>
      <c r="L212" s="1" t="n">
        <v>1134</v>
      </c>
    </row>
    <row r="213" ht="16.5" customHeight="1">
      <c r="A213" s="1" t="n">
        <v>1846</v>
      </c>
      <c r="B213" s="3" t="inlineStr">
        <is>
          <t>Solicitação de Serviço</t>
        </is>
      </c>
      <c r="C213" s="3" t="inlineStr">
        <is>
          <t>Gerenciamento de Nível de Serviço</t>
        </is>
      </c>
      <c r="D213" s="1" t="inlineStr">
        <is>
          <t>Solicitação de Consulta com Especialista</t>
        </is>
      </c>
      <c r="E213" s="1" t="inlineStr">
        <is>
          <t>IT Support</t>
        </is>
      </c>
      <c r="F213" s="1" t="inlineStr">
        <is>
          <t>Caro Suporte ao Cliente de Serviços de TI,
Estou escrevendo para solicitar serviços de consultoria profissional especializados em administração de servidores e soluções de desenvolvimento de software. Nossa equipe está urgentemente precisa de atenção especializada para resolver uma série de desafios técnicos que estamos enfrentando. A área de serviço afetada é o Serviço de Consultoria em TI, particularmente na otimização da nossa gestão de servidores e garantindo que nossos processos de desenvolvimento de software estejam alinhados com as melhores práticas atuais.
A situação requer intervenção imediata de consultores de TI experientes que possam fornecer soluções personalizadas para melhorar nossa infraestrutura atual e fluxos de trabalho. Sua resposta rápida com as agendas de consulta disponíveis e quaisquer pré-requisitos necessários seria muito apreciada.
Por favor, nos avise com que rapidez podemos agendar uma reunião com um de seus especialistas para discutir essas questões em mais detalhes. Você pode me contatar pelo meu e-mail ou pelo telefone &lt;tel_num&gt;.
Agradeço pela sua assistência.
Atenciosamente,
&lt;name&gt;</t>
        </is>
      </c>
      <c r="G213" s="1" t="inlineStr">
        <is>
          <t>Request</t>
        </is>
      </c>
      <c r="H213" s="1" t="inlineStr">
        <is>
          <t>Caro &lt;name&gt;,
Obrigado por entrar em contato com o Suporte ao Cliente de Serviços de TI. Entendemos a urgência de sua solicitação por serviços de consultoria especializada em administração de servidores e soluções de desenvolvimento de software.
Estamos prontos para fornecer a assistência que sua equipe precisa para resolver os desafios técnicos e otimizar sua infraestrutura e fluxos de trabalho. Nossos especialistas em Serviços de Consultoria em TI podem oferecer soluções personalizadas para atender às suas necessidades.
Para prosseguir, por favor, forneça suas datas e horários preferidos para uma reunião de consulta, para que possamos agendar rapidamente um de nossos especialistas para entrar em contato com você. Enquanto isso, se houver detalhes ou pré-requisitos específicos que você gostaria de compartilhar, sinta-se à vontade para incluí-los em sua resposta.
Agradecemos seu interesse e aguardamos a oportunidade de ajudá-lo. Você pode esperar uma resposta rápida assim que recebermos suas preferências de agendamento.
Atenciosamente,
Suporte ao Cliente de Serviços de TI</t>
        </is>
      </c>
      <c r="I213" s="1" t="inlineStr">
        <is>
          <t>medium</t>
        </is>
      </c>
      <c r="J213" s="1" t="inlineStr">
        <is>
          <t>['Technical Support', 'IT Support', 'Consulting Services', 'Software Development', 'Urgent Issue', 'Problem Resolution']</t>
        </is>
      </c>
      <c r="K213" s="1" t="inlineStr">
        <is>
          <t>pt</t>
        </is>
      </c>
      <c r="L213" s="1" t="n">
        <v>1137</v>
      </c>
    </row>
    <row r="214" ht="16.5" customHeight="1">
      <c r="A214" s="1" t="n">
        <v>1854</v>
      </c>
      <c r="B214" s="3" t="inlineStr">
        <is>
          <t>Gerenciamento de Incidentes</t>
        </is>
      </c>
      <c r="C214" s="3" t="inlineStr">
        <is>
          <t>Gerenciamento de Problemas</t>
        </is>
      </c>
      <c r="D214" s="1" t="inlineStr">
        <is>
          <t>Solicitação de Assistência com Problema de Tela Touch do Dell XPS 13</t>
        </is>
      </c>
      <c r="E214" s="1" t="inlineStr">
        <is>
          <t>Product Support</t>
        </is>
      </c>
      <c r="F214" s="1" t="inlineStr">
        <is>
          <t>Olá, estou enfrentando problemas com a tela touch do meu Dell XPS 13 9310. A tela ocasionalmente se torna não responsiva, afetando significativamente minha produtividade. Parece que uma atualização de firmware pode resolver essas interrupções. Você poderia, por favor, fornecer orientação e apoio sobre como abordar efetivamente esse problema? Estou esperando por uma solução rápida, pois esse problema está impactando minha rotina de trabalho. Obrigado pela sua atenção e assistência neste assunto. Aguardo sua resposta rápida. Atenciosamente, &lt;name&gt;.</t>
        </is>
      </c>
      <c r="G214" s="1" t="inlineStr">
        <is>
          <t>Problem</t>
        </is>
      </c>
      <c r="H214" s="1" t="inlineStr">
        <is>
          <t>Olá &lt;name&gt;,
Obrigado por entrar em contato sobre o problema da tela touch do seu Dell XPS 13 9310. Para resolver isso, por favor, certifique-se de que o firmware e os drivers do seu dispositivo estão atualizados através do Dell SupportAssist ou visite o site de Suporte da Dell para baixar as atualizações manualmente. Se o problema persistir, realize uma calibração da tela touch nas configurações. Para mais assistência, entre em contato diretamente com o suporte técnico da Dell. Esperamos que isso resolva seu problema rapidamente.
Atenciosamente,
[Seu Serviço de Atendimento]</t>
        </is>
      </c>
      <c r="I214" s="1" t="inlineStr">
        <is>
          <t>medium</t>
        </is>
      </c>
      <c r="J214" s="1" t="inlineStr">
        <is>
          <t>['Technical Support', 'Product Support', 'Software Bug', 'Hardware Failure', 'Problem Resolution']</t>
        </is>
      </c>
      <c r="K214" s="1" t="inlineStr">
        <is>
          <t>pt</t>
        </is>
      </c>
      <c r="L214" s="1" t="n">
        <v>552</v>
      </c>
    </row>
    <row r="215" ht="16.5" customHeight="1">
      <c r="A215" s="1" t="n">
        <v>1858</v>
      </c>
      <c r="B215" s="3" t="inlineStr">
        <is>
          <t>Gerenciamento de Incidentes</t>
        </is>
      </c>
      <c r="C215" s="3" t="inlineStr">
        <is>
          <t>Gerenciamento de Problemas</t>
        </is>
      </c>
      <c r="D215" s="1" t="inlineStr">
        <is>
          <t>Problema de Desconexões Frequentes na Rede</t>
        </is>
      </c>
      <c r="E215" s="1" t="inlineStr">
        <is>
          <t>Technical Support</t>
        </is>
      </c>
      <c r="F215" s="1" t="inlineStr">
        <is>
          <t>Caro Suporte ao Cliente,
Espero que esta mensagem o encontre bem. Estou escrevendo para chamar sua atenção para um problema persistente que estamos enfrentando com desconexões frequentes da rede. Após realizar uma investigação minuciosa, determinamos que essas interrupções são causadas por um problema de configuração em nosso Roteador Cisco ISR4331, que é crítico para nossas operações de rede.
O problema se manifesta como perda intermitente de conectividade de rede, impactando severamente nossas comunicações internas e externas. Essas desconexões estão se tornando cada vez mais disruptivas para nossas operações, levando a uma queda na produtividade e possivelmente afetando a entrega do nosso serviço.
Suspeitamos que a configuração atual do Roteador Cisco ISR4331 pode não estar otimizada para as demandas específicas da nossa rede ou pode haver um problema de firmware ou compatibilidade subjacente. Como isso está além de nossa expertise, solicitamos gentilmente sua assistência imediata para diagnosticar e recomendar uma solução para este problema.
Por favor, nos informe em sua conveniência mais próxima como podemos proceder para resolver esta questão de forma eficiente. Caso precise entrar em contato para obter mais informações ou diagnósticos remotos, você pode me contatar diretamente.
Obrigado pela sua atenção imediata a este importante problema.
Atenciosamente,
&lt;name&gt;
&lt;email_address&gt;
&lt;tel_num&gt;</t>
        </is>
      </c>
      <c r="G215" s="1" t="inlineStr">
        <is>
          <t>Incident</t>
        </is>
      </c>
      <c r="H215" s="1" t="inlineStr">
        <is>
          <t>Caro &lt;name&gt;,
Obrigado por entrar em contato sobre os problemas de desconexão da rede com seu Roteador Cisco ISR4331. Entendemos os inconvenientes que isso causou e estamos aqui para ajudar.
Para resolver essa questão de forma eficiente, recomendamos agendar uma sessão de diagnóstico remoto com nossa equipe de suporte técnico. Por favor, forneça-nos um horário adequado para essa sessão e garanta que o acesso remoto ao roteador afetado seja possível. Se houver registros de erro ou atualizações de firmware recentes, encaminhe-os para nós.
Além disso, uma verificação preliminar rápida no firmware e na configuração atuais do roteador pode coincidir com problemas conhecidos, que podemos corrigir rapidamente.
Nosso objetivo é minimizar quaisquer novas interrupções e restaurar a funcionalidade total da rede prontamente. Você pode entrar em contato conosco a qualquer momento para mais informações.
Obrigado pela sua cooperação e paciência neste assunto.
Atenciosamente,
Equipe de Suporte ao Cliente</t>
        </is>
      </c>
      <c r="I215" s="1" t="inlineStr">
        <is>
          <t>high</t>
        </is>
      </c>
      <c r="J215" s="1" t="inlineStr">
        <is>
          <t>['Technical Support', 'Network Issue', 'Service Disruption', 'Problem Resolution', 'Router Configuration', 'Urgent Issue', 'Technical Guidance']</t>
        </is>
      </c>
      <c r="K215" s="1" t="inlineStr">
        <is>
          <t>pt</t>
        </is>
      </c>
      <c r="L215" s="1" t="n">
        <v>1424</v>
      </c>
    </row>
    <row r="216" ht="16.5" customHeight="1">
      <c r="A216" s="1" t="n">
        <v>1866</v>
      </c>
      <c r="B216" s="3" t="inlineStr">
        <is>
          <t>Solicitação de Serviço</t>
        </is>
      </c>
      <c r="C216" s="3" t="inlineStr">
        <is>
          <t>Gerenciamento de Mudanças</t>
        </is>
      </c>
      <c r="D216" s="1" t="inlineStr">
        <is>
          <t>Atualização da Arquitetura do Servidor</t>
        </is>
      </c>
      <c r="E216" s="1" t="inlineStr">
        <is>
          <t>General Inquiry</t>
        </is>
      </c>
      <c r="F216" s="1" t="inlineStr">
        <is>
          <t>Caro Equipe de Suporte ao Cliente, espero que esta mensagem os encontre bem. Como parte do nosso processo de revisão trimestral contínuo sob nosso contrato de consultoria existente, estou escrevendo para solicitar atualizações sobre a arquitetura do servidor em que temos trabalhado. O produto afetado é o nosso Serviço de Consultoria em TI. Temos planejado melhorias extensivas e precisamos garantir que tudo esteja em conformidade com as expectativas do cliente. Além disso, é crucial que essas atualizações se integrem perfeitamente ao nosso sistema atual para evitar qualquer interrupção na operação. Durante nossa última reunião, discutimos várias abordagens e recebemos um feedback valioso que precisa ser incorporado para melhorar a funcionalidade. Nossa equipe apreciaria se você pudesse compartilhar o cronograma planejado para conclusão e quaisquer desafios potenciais que possamos enfrentar durante sua implementação. Por favor, confirme também se há novas ferramentas ou recursos necessários da sua parte para facilitar este processo de forma eficaz. Aguardamos sua resposta rápida para que possamos garantir uma atualização rápida e bem-sucedida. Obrigado pela sua atenção a este assunto. Atenciosamente, &lt;name&gt; &lt;acc_num&gt;</t>
        </is>
      </c>
      <c r="G216" s="1" t="inlineStr">
        <is>
          <t>Change</t>
        </is>
      </c>
      <c r="H216" s="1" t="inlineStr">
        <is>
          <t>Caro &lt;name&gt;,
Obrigado por entrar em contato. Agradecemos sua abordagem proativa em relação às atualizações da arquitetura do servidor. Estamos atualmente finalizando o cronograma para essas melhorias e o compartilharemos com você em breve. Nossa equipe também está avaliando desafios potenciais e identificando quaisquer ferramentas ou recursos adicionais que possam ser necessários para facilitar uma integração perfeita com seu sistema atual. Tenha certeza de que alinhar-se às expectativas do cliente e incorporar o feedback mais recente continua sendo nossa principal prioridade. Manteremos você atualizado sobre nosso progresso e quaisquer etapas adicionais necessárias. Se você tiver mais dúvidas, por favor, nos avise.
Atenciosamente,
Equipe de Suporte ao Cliente</t>
        </is>
      </c>
      <c r="I216" s="1" t="inlineStr">
        <is>
          <t>low</t>
        </is>
      </c>
      <c r="J216" s="1" t="inlineStr">
        <is>
          <t>['Technical Support', 'IT Support', 'Service Notification', 'System Maintenance', 'Performance Tuning', 'Technical Guidance', 'Problem Resolution', 'Routine Request']</t>
        </is>
      </c>
      <c r="K216" s="1" t="inlineStr">
        <is>
          <t>pt</t>
        </is>
      </c>
      <c r="L216" s="1" t="n">
        <v>1234</v>
      </c>
    </row>
    <row r="217" ht="16.5" customHeight="1">
      <c r="A217" s="1" t="n">
        <v>1878</v>
      </c>
      <c r="B217" s="3" t="inlineStr">
        <is>
          <t>Solicitação de Serviço</t>
        </is>
      </c>
      <c r="C217" s="3" t="inlineStr">
        <is>
          <t>Gerenciamento de Nível de Serviço</t>
        </is>
      </c>
      <c r="D217" s="1" t="inlineStr">
        <is>
          <t>Consulta Sobre Soluções em Nuvem e Serviços de Desenvolvimento de Software</t>
        </is>
      </c>
      <c r="E217" s="1" t="inlineStr">
        <is>
          <t>Customer Service</t>
        </is>
      </c>
      <c r="F217" s="1" t="inlineStr">
        <is>
          <t>Caro Equipe de Suporte de Serviços de TI, Estou escrevendo para solicitar mais informações sobre suas Soluções em Computação em Nuvem e Serviços de Desenvolvimento de Software para otimizar as operações do meu negócio. Por favor, inclua detalhes sobre preços, prazos de implementação e opções de suporte. Obrigado, &lt;name&gt;.</t>
        </is>
      </c>
      <c r="G217" s="1" t="inlineStr">
        <is>
          <t>Request</t>
        </is>
      </c>
      <c r="H217" s="1" t="inlineStr">
        <is>
          <t>Assunto: Re: Consulta Sobre Soluções em Nuvem e Serviços de Desenvolvimento de Software
Caro &lt;name&gt;,
Obrigado por entrar em contato. Nossas Soluções de Computação em Nuvem e Serviços de Desenvolvimento de Software são personalizadas para melhorar as operações comerciais. Os preços dependem das necessidades específicas e da escala do seu projeto. Os prazos de implementação variam, mas geralmente vão de algumas semanas a alguns meses, dependendo da complexidade. Oferecemos opções de suporte abrangentes, incluindo assistência 24 horas por dia, 7 dias por semana. Para um orçamento detalhado, por favor forneça requisitos específicos do projeto.
Atenciosamente,
Equipe do Service Desk</t>
        </is>
      </c>
      <c r="I217" s="1" t="inlineStr">
        <is>
          <t>low</t>
        </is>
      </c>
      <c r="J217" s="1" t="inlineStr">
        <is>
          <t>['Technical Support', 'Product Support', 'Sales Inquiry', 'Customer Service', 'General Inquiry', 'Feature Request', 'IT Support']</t>
        </is>
      </c>
      <c r="K217" s="1" t="inlineStr">
        <is>
          <t>pt</t>
        </is>
      </c>
      <c r="L217" s="1" t="n">
        <v>322</v>
      </c>
    </row>
    <row r="218" ht="16.5" customHeight="1">
      <c r="A218" s="1" t="n">
        <v>1880</v>
      </c>
      <c r="B218" s="3" t="inlineStr">
        <is>
          <t>Gerenciamento de Incidentes</t>
        </is>
      </c>
      <c r="C218" s="3" t="inlineStr">
        <is>
          <t>Gerenciamento de Ativos de TI</t>
        </is>
      </c>
      <c r="D218" s="1" t="inlineStr">
        <is>
          <t>Problema de Flicker na Tela</t>
        </is>
      </c>
      <c r="E218" s="1" t="inlineStr">
        <is>
          <t>Product Support</t>
        </is>
      </c>
      <c r="F218" s="1" t="inlineStr">
        <is>
          <t>Prezado Suporte da Tech Online Store,
Estou escrevendo para relatar um problema contínuo de flicker na tela do meu MacBook Air M1. O problema ocorre aleatoriamente durante o uso e persiste mesmo após a atualização do sistema operacional para a versão mais recente. A situação é bastante preocupante, pois interfere nas minhas tarefas diárias.
Você poderia, por favor, ajudar a resolver esse problema o mais rápido possível? Agradeceria qualquer orientação ou suporte que você possa oferecer, potencialmente incluindo opções de serviço ou substituição.
Obrigado pela sua atenção a este assunto.
Atenciosamente,
&lt;name&gt;</t>
        </is>
      </c>
      <c r="G218" s="1" t="inlineStr">
        <is>
          <t>Problem</t>
        </is>
      </c>
      <c r="H218" s="1" t="inlineStr">
        <is>
          <t>Prezado &lt;name&gt;,
Obrigado por entrar em contato sobre o problema de flicker na tela do seu MacBook Air M1. Por favor, tente os seguintes passos de solução de problemas:
1. Reinicie seu MacBook e reinicie o NVRAM.
2. Verifique se há mais atualizações do macOS ou atualizações de firmware específicas para seu modelo.
3. Inicialize seu MacBook em Modo Seguro para ver se o flicker persiste.
4. Tente desconectar qualquer periférico conectado para descartar causas externas.
Se o problema continuar, entre em contato com nosso centro de serviço para agendar um diagnóstico ou obter mais assistência. Opções de serviço ou substituição serão consideradas após a avaliação do seu dispositivo.
Atenciosamente,
Suporte da Tech Online Store</t>
        </is>
      </c>
      <c r="I218" s="1" t="inlineStr">
        <is>
          <t>medium</t>
        </is>
      </c>
      <c r="J218" s="1" t="inlineStr">
        <is>
          <t>['Technical Support', 'Product Support', 'Hardware Failure', 'System Maintenance', 'Problem Resolution', 'Service Recovery']</t>
        </is>
      </c>
      <c r="K218" s="1" t="inlineStr">
        <is>
          <t>pt</t>
        </is>
      </c>
      <c r="L218" s="1" t="n">
        <v>620</v>
      </c>
    </row>
    <row r="219" ht="16.5" customHeight="1">
      <c r="A219" s="1" t="n">
        <v>1891</v>
      </c>
      <c r="B219" s="3" t="inlineStr">
        <is>
          <t>Gerenciamento de Incidentes</t>
        </is>
      </c>
      <c r="C219" s="3" t="inlineStr">
        <is>
          <t>Gerenciamento de Problemas</t>
        </is>
      </c>
      <c r="D219" s="1" t="inlineStr">
        <is>
          <t>Problemas de Sensibilidade da Tela Sensível ao Toque no Surface Pro 7</t>
        </is>
      </c>
      <c r="E219" s="1" t="inlineStr">
        <is>
          <t>Product Support</t>
        </is>
      </c>
      <c r="F219" s="1" t="inlineStr">
        <is>
          <t>Caro Suporte ao Cliente da Tech Online Store,
Estou enfrentando problemas de sensibilidade da tela sensível ao toque no meu Microsoft Surface Pro 7, particularmente ao usar o dispositivo com o teclado destacado. Tentei solucionar o problema com algumas etapas básicas, sem sucesso. Você pode me ajudar a resolver esse problema? Meu número da conta é &lt;acc_num&gt;. Você pode me contatar pelo &lt;tel_num&gt; ou responder a este e-mail.
Obrigado,
&lt;name&gt;</t>
        </is>
      </c>
      <c r="G219" s="1" t="inlineStr">
        <is>
          <t>Problem</t>
        </is>
      </c>
      <c r="H219" s="1" t="inlineStr">
        <is>
          <t>Caro &lt;name&gt;,
Obrigado por entrar em contato. Lamento saber sobre os problemas de sensibilidade da tela sensível ao toque no seu Microsoft Surface Pro 7. Por favor, tente atualizar os drivers do dispositivo e garantir que seu sistema esteja executando as últimas atualizações do Windows. Se o problema persistir, podemos organizar uma solução adicional ou um possível reparo. Faremos um acompanhamento em breve pelos dados de contato que você forneceu.
Atenciosamente,
Suporte ao Cliente da Tech Online Store</t>
        </is>
      </c>
      <c r="I219" s="1" t="inlineStr">
        <is>
          <t>medium</t>
        </is>
      </c>
      <c r="J219" s="1" t="inlineStr">
        <is>
          <t>['Technical Support', 'Product Support', 'Hardware Failure', 'Problem Resolution', 'Urgent Issue']</t>
        </is>
      </c>
      <c r="K219" s="1" t="inlineStr">
        <is>
          <t>pt</t>
        </is>
      </c>
      <c r="L219" s="1" t="n">
        <v>444</v>
      </c>
    </row>
    <row r="220" ht="16.5" customHeight="1">
      <c r="A220" s="1" t="n">
        <v>1898</v>
      </c>
      <c r="B220" s="3" t="inlineStr">
        <is>
          <t>Gerenciamento de Incidentes</t>
        </is>
      </c>
      <c r="C220" s="3" t="inlineStr">
        <is>
          <t>Gerenciamento de Acesso</t>
        </is>
      </c>
      <c r="D220" s="1" t="inlineStr">
        <is>
          <t>Problema Urgente: Acesso ao Email no Office 365</t>
        </is>
      </c>
      <c r="E220" s="1" t="inlineStr">
        <is>
          <t>Technical Support</t>
        </is>
      </c>
      <c r="F220" s="1" t="inlineStr">
        <is>
          <t>Prezado Suporte ao Cliente,
Estou escrevendo para informar que &lt;name&gt; está enfrentando dificuldades para acessar seus emails através do Microsoft Outlook via Office 365. Este problema é bastante urgente, pois está afetando a capacidade de &lt;name&gt; de realizar suas tarefas diárias com eficiência. O número do escritório de &lt;name&gt; é &lt;tel_num&gt;. O produto em questão é o Microsoft Office 365. Tentamos várias etapas de solução de problemas, incluindo verificar as configurações da rede e reinstalar o aplicativo, mas o problema persiste.
Por favor, aconselhe sobre os próximos passos para resolver este problema rapidamente. Sua assistência rápida neste assunto é muito apreciada.
Obrigado,
&lt;name&gt;</t>
        </is>
      </c>
      <c r="G220" s="1" t="inlineStr">
        <is>
          <t>Problem</t>
        </is>
      </c>
      <c r="H220" s="1" t="inlineStr">
        <is>
          <t>Prezado &lt;name&gt;,
Obrigado por entrar em contato com o Suporte ao Cliente. Entendemos a urgência do problema de &lt;name&gt; com o acesso aos emails no Office 365. Dadas suas tentativas de solução de problemas iniciais, o próximo passo é garantir que o Office 365 esteja totalmente atualizado. Por favor, verifique tanto o Outlook quanto toda a suíte Office para quaisquer atualizações pendentes. Além disso, verifique se as configurações de email corretas estão configuradas e se não há problemas com o servidor de email. Se o problema persistir, por favor, nos forneça mensagens de erro específicas e detalhes de registro para uma análise mais aprofundada. Nossa equipe está pronta para ajudar você rapidamente assim que tivermos essas informações.
Atenciosamente,
Equipe de Suporte ao Cliente</t>
        </is>
      </c>
      <c r="I220" s="1" t="inlineStr">
        <is>
          <t>high</t>
        </is>
      </c>
      <c r="J220" s="1" t="inlineStr">
        <is>
          <t>['Technical Support', 'Urgent Issue', 'Login Issue', 'Product Support', 'Email Issues', 'Account Assistance', 'Software Bug']</t>
        </is>
      </c>
      <c r="K220" s="1" t="inlineStr">
        <is>
          <t>pt</t>
        </is>
      </c>
      <c r="L220" s="1" t="n">
        <v>696</v>
      </c>
    </row>
    <row r="221" ht="16.5" customHeight="1">
      <c r="A221" s="1" t="n">
        <v>1919</v>
      </c>
      <c r="B221" s="3" t="inlineStr">
        <is>
          <t>Gerenciamento de Incidentes</t>
        </is>
      </c>
      <c r="C221" s="3" t="inlineStr">
        <is>
          <t>Gerenciamento de Problemas</t>
        </is>
      </c>
      <c r="D221" s="1" t="inlineStr">
        <is>
          <t>Desconexões frequentes do Zoom 5.11.0 afetam a comunicação do webinar</t>
        </is>
      </c>
      <c r="E221" s="1" t="inlineStr">
        <is>
          <t>Technical Support</t>
        </is>
      </c>
      <c r="F221" s="1" t="inlineStr">
        <is>
          <t>Caro Suporte de Serviços de TI,
Estou entrando em contato para solicitar assistência com desconexões frequentes durante webinars utilizando a versão 5.11.0 do Zoom, que tem afetado significativamente nossa eficiência de comunicação. O problema interrompe reuniões importantes e causa inconvenientes a todos os participantes. Garantimos que todos os outros sistemas estão funcionando corretamente, mas o problema persiste. Qualquer conselho ou suporte que você puder fornecer para resolver essa questão prontamente seria muito apreciado.
Obrigado pela sua atenção a este assunto.
Atenciosamente,
&lt;name&gt;</t>
        </is>
      </c>
      <c r="G221" s="1" t="inlineStr">
        <is>
          <t>Problem</t>
        </is>
      </c>
      <c r="H221" s="1" t="inlineStr">
        <is>
          <t>Assunto: Re: Desconexões frequentes do Zoom 5.11.0 afetam a comunicação do webinar
Caro &lt;name&gt;,
Obrigado por entrar em contato sobre os problemas de desconexão com o Zoom 5.11.0. Entendo o quão disruptivo isso pode ser para seus webinars. Aqui estão algumas etapas para tentar:
1. Certifique-se de que seu cliente Zoom está atualizado para a versão mais recente, pois as atualizações geralmente incluem correções para problemas conhecidos.
2. Verifique a estabilidade da sua conexão de internet e considere usar uma conexão com fio, se possível, para melhorar o desempenho.
3. Ajuste as configurações de vídeo do Zoom para uma qualidade mais baixa para ver se isso estabiliza a conexão.
4. Desative temporariamente quaisquer serviços de VPN ou firewalls para determinar se eles estão afetando o Zoom.
5. Teste usando um dispositivo ou rede diferente para identificar se o problema é específico do dispositivo.
Se o problema continuar, por favor forneça detalhes adicionais e podemos investigar mais.
Atenciosamente,
Suporte de Serviços de TI</t>
        </is>
      </c>
      <c r="I221" s="1" t="inlineStr">
        <is>
          <t>medium</t>
        </is>
      </c>
      <c r="J221" s="1" t="inlineStr">
        <is>
          <t>['Technical Support', 'IT Support', 'System Maintenance', 'Service Disruption', 'Problem Resolution', 'Software Bug']</t>
        </is>
      </c>
      <c r="K221" s="1" t="inlineStr">
        <is>
          <t>pt</t>
        </is>
      </c>
      <c r="L221" s="1" t="n">
        <v>604</v>
      </c>
    </row>
    <row r="222" ht="16.5" customHeight="1">
      <c r="A222" s="1" t="n">
        <v>1924</v>
      </c>
      <c r="B222" s="3" t="inlineStr">
        <is>
          <t>Gerenciamento de Incidentes</t>
        </is>
      </c>
      <c r="C222" s="3" t="inlineStr">
        <is>
          <t>Gerenciamento de Ativos de TI</t>
        </is>
      </c>
      <c r="D222" s="1" t="inlineStr">
        <is>
          <t>MacBook Air M1 enfrentando problemas de superaquecimento durante uso prolongado</t>
        </is>
      </c>
      <c r="E222" s="1" t="inlineStr">
        <is>
          <t>Product Support</t>
        </is>
      </c>
      <c r="F222" s="1" t="inlineStr">
        <is>
          <t>Caro equipe de suporte da Tech Online Store, recentemente comprei um MacBook Air M1 e estou enfrentando problemas de superaquecimento durante longos períodos de uso. Além disso, notei picos significativos de consumo de energia que afetam a vida útil da bateria. Isso começou a acontecer algumas semanas após a minha compra. Por favor, me aconselhe se esse problema pode ser resolvido remotamente ou se preciso retornar o produto para inspeção. Aguardando sua assistência. Atenciosamente, &lt;name&gt;</t>
        </is>
      </c>
      <c r="G222" s="1" t="inlineStr">
        <is>
          <t>Problem</t>
        </is>
      </c>
      <c r="H222" s="1" t="inlineStr">
        <is>
          <t>Caro &lt;name&gt;,
Obrigado por entrar em contato conosco. Para resolver os problemas de superaquecimento e consumo de energia do seu MacBook Air M1, por favor, certifique-se de que seu software esteja atualizado para a versão mais recente e tente redefinir o SMC (Controlador de Gerenciamento do Sistema). Se o problema persistir, faça um backup dos seus dados e visite um de nossos centros de serviço para uma inspeção completa.
Estamos aqui para ajudar você mais, se necessário.
Atenciosamente,
Equipe de Suporte da Tech Online Store</t>
        </is>
      </c>
      <c r="I222" s="1" t="inlineStr">
        <is>
          <t>low</t>
        </is>
      </c>
      <c r="J222" s="1" t="inlineStr">
        <is>
          <t>['Technical Support', 'Product Support', 'Hardware Failure', 'Performance Tuning', 'Problem Resolution']</t>
        </is>
      </c>
      <c r="K222" s="1" t="inlineStr">
        <is>
          <t>pt</t>
        </is>
      </c>
      <c r="L222" s="1" t="n">
        <v>494</v>
      </c>
    </row>
    <row r="223" ht="16.5" customHeight="1">
      <c r="A223" s="1" t="n">
        <v>1926</v>
      </c>
      <c r="B223" s="3" t="inlineStr">
        <is>
          <t>Gerenciamento de Incidentes</t>
        </is>
      </c>
      <c r="C223" s="3" t="inlineStr">
        <is>
          <t>Gerenciamento de Problemas</t>
        </is>
      </c>
      <c r="D223" s="1" t="inlineStr">
        <is>
          <t>Urgente: Problemas de Conectividade com o Roteador Cisco ISR4331</t>
        </is>
      </c>
      <c r="E223" s="1" t="inlineStr">
        <is>
          <t>Technical Support</t>
        </is>
      </c>
      <c r="F223" s="1" t="inlineStr">
        <is>
          <t>Caro time de suporte ao cliente,
Espero que esta mensagem os encontre bem. Estou entrando em contato para chamar sua atenção para um problema recorrente que temos experimentado com a nossa conectividade de rede, que parece estar ligado ao nosso Roteador Cisco ISR4331. Na última semana, observamos desconexões frequentes que estão interrompendo nossas operações. Após vários esforços de diagnóstico de nossa parte, parece plausível que essas interrupções estejam ligadas às configurações atuais do roteador ou a uma potencial falha de firmware.
Entendendo que a operação consistente da nossa infraestrutura de rede é crítica, estou ansioso para resolver esse problema prontamente. Precisamos da sua experiência para determinar se um ajuste de configuração pode corrigir o problema ou se uma atualização de firmware ou outra ação corretiva é necessária. Apesar de tentativas de realizar um reboot básico e restaurar as configurações padrão, as preocupações de conectividade continuam a persistir, o que nos leva a crer que o problema pode estar mais profundo do que a solução padrão pode resolver.
Para contexto adicional, &lt;name&gt;, nosso administrador de rede, conduziu uma revisão preliminar e notou logs de rede inconsistentes que sugerem um possível desalinhamento nos protocolos de firmware. No entanto, sem insights avançados, é desafiador para nós desenvolver uma compreensão mais definitiva.
Solicitamos gentilmente uma inspeção detalhada e orientação de sua equipe sobre a solução apropriada ou a necessidade de substituição de hardware, se considerado essencial. Além disso, seria útil ter uma visão geral de quaisquer problemas conhecidos relacionados a este modelo ou erros de configuração que normalmente resultam em problemas semelhantes de desconexão, para evitar quaisquer incidências futuras.
Agradecemos antecipadamente pela sua atenção rápida a este assunto. Se você precisar de mais detalhes ou precisar se coordenar com &lt;name&gt;, eles podem ser contatados diretamente em &lt;tel_num&gt; ou aguardando mais instruções de seu contato de suporte.
Esperamos sua resposta rápida.
Atenciosamente,
&lt;name&gt;
Administrador de TI Sênior
&lt;company_name&gt;</t>
        </is>
      </c>
      <c r="G223" s="1" t="inlineStr">
        <is>
          <t>Incident</t>
        </is>
      </c>
      <c r="H223" s="1" t="inlineStr">
        <is>
          <t>Caro &lt;name&gt;,
Obrigado por entrar em contato sobre os problemas de conectividade com seu Roteador Cisco ISR4331. Entendemos a urgência e o impacto que essas interrupções têm em suas operações.
Para abordar o problema de forma eficaz, recomendamos os seguintes passos:
1. **Atualização de Firmware**: Certifique-se de que o firmware do roteador esteja atualizado. Firmware desatualizado pode muitas vezes causar problemas de conectividade.
2. **Verificação de Configuração**: Revise a configuração atual em busca de possíveis desalinhamentos ou configurações incorretas.
3. **Análise de Logs de Rede**: Envie-nos logs de rede detalhados para uma avaliação mais abrangente.
4. **Avaliação de Hardware**: Se as etapas acima não resolverem o problema, talvez precisemos considerar uma avaliação ou substituição de hardware.
Por favor, forneça-nos acesso remoto, se possível, para uma inspeção e resolução completas. Nosso objetivo é resolver esse problema rapidamente para restaurar suas operações de rede. Se mais coordenação for necessária, nossa equipe de suporte entrará em contato com &lt;name&gt; no contato fornecido.
Manteremos você atualizado sobre nosso progresso.
Atenciosamente,
&lt;name&gt;
Equipe de Suporte Técnico</t>
        </is>
      </c>
      <c r="I223" s="1" t="inlineStr">
        <is>
          <t>medium</t>
        </is>
      </c>
      <c r="J223" s="1" t="inlineStr">
        <is>
          <t>['Network Issue', 'Urgent Issue', 'Technical Support', 'Product Support', 'Hardware Failure', 'Software Bug', 'Service Recovery', 'Technical Guidance']</t>
        </is>
      </c>
      <c r="K223" s="1" t="inlineStr">
        <is>
          <t>pt</t>
        </is>
      </c>
      <c r="L223" s="1" t="n">
        <v>2157</v>
      </c>
    </row>
    <row r="224" ht="16.5" customHeight="1">
      <c r="A224" s="1" t="n">
        <v>1930</v>
      </c>
      <c r="B224" s="3" t="inlineStr">
        <is>
          <t>Gerenciamento de Incidentes</t>
        </is>
      </c>
      <c r="C224" s="3" t="inlineStr">
        <is>
          <t>Gerenciamento de Problemas</t>
        </is>
      </c>
      <c r="D224" s="1" t="inlineStr">
        <is>
          <t>Frequentes atolamentos de papel com a impressora</t>
        </is>
      </c>
      <c r="E224" s="1" t="inlineStr">
        <is>
          <t>Customer Service</t>
        </is>
      </c>
      <c r="F224" s="1" t="inlineStr">
        <is>
          <t>Caro Suporte ao Cliente,
Estou enfrentando frequentes atolamentos de papel com minha impressora HP DeskJet 3755 tudo-em-um sem fio, especificamente ao usar a função de cópia. Esse problema persiste há várias semanas e prejudica consideravelmente a produtividade. Tentei etapas básicas de solução de problemas, como recarregar papel e limpar os rolos, mas o problema persiste. A impressora afetada foi comprada há três meses e ainda está sob garantia. Por favor, forneça orientação sobre como resolver esse problema ou me avise sobre o procedimento para iniciar um pedido de serviço.
Obrigado pela sua assistência.
Atenciosamente,
&lt;name&gt;</t>
        </is>
      </c>
      <c r="G224" s="1" t="inlineStr">
        <is>
          <t>Incident</t>
        </is>
      </c>
      <c r="H224" s="1" t="inlineStr">
        <is>
          <t>Caro &lt;name&gt;,
Sinto muito ouvir sobre os problemas com sua impressora HP DeskJet 3755. Dado que você já tentou recarregar o papel e limpar os rolos, e como a impressora ainda está sob garantia, recomendo entrar em contato diretamente com o Suporte da HP para assistência especializada ou para iniciar um pedido de serviço. Certifique-se de ter seu comprovante de compra e detalhes da garantia em mãos ao contatá-los. Se precisar de mais orientações sobre o processo, fique à vontade para nos avisar.
Atenciosamente,
Suporte ao Cliente</t>
        </is>
      </c>
      <c r="I224" s="1" t="inlineStr">
        <is>
          <t>medium</t>
        </is>
      </c>
      <c r="J224" s="1" t="inlineStr">
        <is>
          <t>['Product Support', 'Technical Support', 'Hardware Failure', 'Warranty Claim', 'Problem Resolution']</t>
        </is>
      </c>
      <c r="K224" s="1" t="inlineStr">
        <is>
          <t>pt</t>
        </is>
      </c>
      <c r="L224" s="1" t="n">
        <v>640</v>
      </c>
    </row>
    <row r="225" ht="16.5" customHeight="1">
      <c r="A225" s="1" t="n">
        <v>1937</v>
      </c>
      <c r="B225" s="3" t="inlineStr">
        <is>
          <t>Gerenciamento de Incidentes</t>
        </is>
      </c>
      <c r="C225" s="3" t="inlineStr">
        <is>
          <t>Gerenciamento de Problemas</t>
        </is>
      </c>
      <c r="D225" s="1" t="inlineStr">
        <is>
          <t>Assistência Necessária para Problema com Debugging de Extensões</t>
        </is>
      </c>
      <c r="E225" s="1" t="inlineStr">
        <is>
          <t>Technical Support</t>
        </is>
      </c>
      <c r="F225" s="1" t="inlineStr">
        <is>
          <t>Caro Time de Suporte ao Cliente,
Espero que esta mensagem o encontre bem. Estou escrevendo para solicitar assistência com um problema recorrente que encontrei ao tentar depurar extensões no ambiente do Visual Studio Code 1.70. O processo se mostrou inesperadamente desafiador, impactando significativamente minha produtividade. Entendo que as capacidades de depuração visam aprimorar o processo de desenvolvimento, mas atualmente, não estou conseguindo utilizar essas ferramentas de forma eficaz devido a problemas persistentes.
Detalhes do Problema:
- Versão do Software: Visual Studio Code 1.70
- Natureza do Problema: Dificuldade em depurar extensões
Apesar de tentar várias etapas de solução de problemas, como reiniciar o IDE, atualizar extensões e ajustar as configurações de lançamento, o problema permanece sem solução. Seria muito benéfico para mim receber orientações específicas para essa versão.
Você poderia fornecer informações sobre quaisquer problemas conhecidos com esta versão ou talvez sugerir uma abordagem mais eficaz para resolver esse problema? Se necessário, posso compartilhar mais detalhes sobre as mensagens de erro ou a natureza das extensões em uso.
Obrigado pela sua atenção a este assunto. Aguardarei sua resposta pontual para que eu possa retomar minhas tarefas de desenvolvimento sem mais hindrances.
Atenciosamente,
&lt;name&gt;
&lt;name&gt; &lt;acc_num&gt;
&lt;tel_num&gt;</t>
        </is>
      </c>
      <c r="G225" s="1" t="inlineStr">
        <is>
          <t>Request</t>
        </is>
      </c>
      <c r="H225" s="1" t="inlineStr">
        <is>
          <t>Caro &lt;name&gt;,
Obrigado por entrar em contato sobre os desafios que você está enfrentando com a depuração de extensões no Visual Studio Code 1.70.
Para abordar isso, aqui estão algumas etapas específicas que você pode considerar:
1. **Problemas Conhecidos**: Verifique as Notas de Lançamento do Visual Studio Code e o repositório do GitHub para quaisquer problemas conhecidos especificamente relacionados à versão 1.70.
2. **Build Insider**: Alterne temporariamente para a Build Insider do Visual Studio Code para ver se o problema persiste, pois pode conter correções não disponíveis na versão estável.
3. **Atualização de Extensões**: Certifique-se de que todas as extensões instaladas estão atualizadas para suas versões mais recentes, pois incompatibilidades podem às vezes causar problemas.
4. **Limpar Cache**: Tente limpar o cache excluindo o conteúdo da pasta '.vscode' relacionada ao projeto e reiniciando o VS Code.
5. **Ajustar Configurações**: Verifique novamente a configuração de lançamento em 'launch.json' quanto à precisão ou redefina para o padrão se não tiver certeza.
6. **Logs de Erro**: Ative o registro detalhado para identificar erros específicos ou plugins problemáticos que podem ser abordados diretamente.
Se essas etapas não resolverem o problema, por favor, compartilhe mais detalhes como mensagens de erro específicas ou capturas de tela, e nós o ajudaremos ainda mais.
Estamos ansiosos para ajudá-lo a retomar suas atividades de desenvolvimento de forma suave.
Atenciosamente,
Time de Suporte ao Cliente</t>
        </is>
      </c>
      <c r="I225" s="1" t="inlineStr">
        <is>
          <t>medium</t>
        </is>
      </c>
      <c r="J225" s="1" t="inlineStr">
        <is>
          <t>['Technical Support', 'Software Bug', 'Technical Guidance', 'Problem Resolution', 'Customer Service']</t>
        </is>
      </c>
      <c r="K225" s="1" t="inlineStr">
        <is>
          <t>pt</t>
        </is>
      </c>
      <c r="L225" s="1" t="n">
        <v>1391</v>
      </c>
    </row>
    <row r="226" ht="16.5" customHeight="1">
      <c r="A226" s="1" t="n">
        <v>1941</v>
      </c>
      <c r="B226" s="3" t="inlineStr">
        <is>
          <t>Solicitação de Serviço</t>
        </is>
      </c>
      <c r="C226" s="3" t="inlineStr">
        <is>
          <t>Gerenciamento de Incidentes</t>
        </is>
      </c>
      <c r="D226" s="1" t="inlineStr">
        <is>
          <t>Assistência necessária com a configuração sem fio para a Canon PIXMA MG3620</t>
        </is>
      </c>
      <c r="E226" s="1" t="inlineStr">
        <is>
          <t>Product Support</t>
        </is>
      </c>
      <c r="F226" s="1" t="inlineStr">
        <is>
          <t>Caro Suporte ao Cliente,
Estou escrevendo para solicitar assistência com a configuração do recurso sem fio na minha nova impressora Canon PIXMA MG3620, que comprei recentemente em sua loja. Ao tentar configurar a conexão sem fio, encontrei algumas dificuldades que não consegui resolver usando o manual fornecido ou recursos online.
Segui os passos iniciais, garantindo que a impressora estivesse ligada e dentro do alcance do roteador, mas a impressora não conseguiu se conectar à minha rede sem fio. Além disso, certifiquei-me de que minhas credenciais de rede estavam inseridas corretamente e que minha rede estava funcionando bem com outros dispositivos.
Apesar dessas verificações, a impressora mostra repetidamente um erro de conexão. Agradeceria muito qualquer orientação que você possa fornecer ou dicas de solução de problemas específicas para este modelo. Se houver a necessidade de agendar uma ligação ou discutir o processo mais detalhadamente, por favor, me avise, e ficarei feliz em fornecer meus dados de contato.
Obrigado pela sua atenção a este assunto. Aguardo sua rápida resposta.
Atenciosamente,
&lt;name&gt;
Conta do Cliente: &lt;acc_num&gt;</t>
        </is>
      </c>
      <c r="G226" s="1" t="inlineStr">
        <is>
          <t>Request</t>
        </is>
      </c>
      <c r="H226" s="1" t="inlineStr">
        <is>
          <t>Caro &lt;name&gt;,
Obrigado por entrar em contato conosco sobre a configuração sem fio da sua impressora Canon PIXMA MG3620. Entendo a frustração causada por problemas de conexão e estou aqui para ajudar.
Primeiro, certifique-se de que o firmware da sua impressora está atualizado. Às vezes, firmware desatualizado pode causar problemas de conectividade. Você pode verificar atualizações no site oficial da Canon.
Em seguida, tente redefinir as configurações sem fio na impressora e re-tentar a configuração usando o método WPS Push Button, se o seu roteador suportar. Este método pode frequentemente resolver problemas de conectividade de forma mais eficaz.
Aqui está um breve guia:
1. Pressione e segure o botão Wi-Fi na impressora até que a luz POWER comece a piscar.
2. Pressione o botão Color e depois o botão Wi-Fi.
3. Certifique-se de que a luz Wi-Fi está piscando e o botão de alimentação está aceso.
4. Pressione e segure o botão WPS no seu roteador dentro de dois minutos.
Se este método não funcionar, considere tentar um método diferente, como configurá-lo através do aplicativo Canon PRINT em um smartphone ou nas configurações de Wi-Fi do seu computador usando um cabo USB para a configuração inicial.
Se esses passos não forem bem-sucedidos ou se você precisar de uma orientação mais detalhada, por favor, me avise, e posso agendar uma ligação com um técnico. Fique à vontade para responder a este e-mail com quaisquer outras perguntas ou para agendar uma ligação.
Estamos aqui para ajudar em cada etapa do caminho.
Atenciosamente,
Equipe de Suporte ao Cliente</t>
        </is>
      </c>
      <c r="I226" s="1" t="inlineStr">
        <is>
          <t>low</t>
        </is>
      </c>
      <c r="J226" s="1" t="inlineStr">
        <is>
          <t>['Technical Support', 'Product Support', 'Software Bug', 'Technical Guidance', 'Problem Resolution', 'Customer Service']</t>
        </is>
      </c>
      <c r="K226" s="1" t="inlineStr">
        <is>
          <t>pt</t>
        </is>
      </c>
      <c r="L226" s="1" t="n">
        <v>1156</v>
      </c>
    </row>
    <row r="227" ht="16.5" customHeight="1">
      <c r="A227" s="1" t="n">
        <v>1948</v>
      </c>
      <c r="B227" s="3" t="inlineStr">
        <is>
          <t>Gerenciamento de Incidentes</t>
        </is>
      </c>
      <c r="C227" s="3" t="inlineStr">
        <is>
          <t>Gerenciamento de Disponibilidade</t>
        </is>
      </c>
      <c r="D227" s="1" t="inlineStr">
        <is>
          <t>Alta Prioridade: Queda do Sistema ao Acessar Painéis Scrum</t>
        </is>
      </c>
      <c r="E227" s="1" t="inlineStr">
        <is>
          <t>Product Support</t>
        </is>
      </c>
      <c r="F227" s="1" t="inlineStr">
        <is>
          <t>Caro Time de Suporte ao Cliente, Espero que esta mensagem os encontre bem. Estou escrevendo para chamar a atenção de vocês para um problema urgente que estamos enfrentando com sua versão do Jira Software 8.20. Parece que nossos painéis Scrum estão causando quedas de sistema de forma consistente, impactando significativamente a produtividade da nossa equipe. O problema surge sempre que tentamos acessar os painéis, e ocorre independentemente do usuário que tenta a ação. Este problema de alta prioridade precisa de atenção imediata, pois paralisou nossas capacidades de rastreamento de projeto. Poderia, por favor, priorizar este chamado e resolver esta queda do sistema com urgência? Nossa equipe depende fortemente do Jira para gerenciar tarefas de desenvolvimento, e essa interrupção tem sido bastante prejudicial. Solicitamos uma solução temporária, se possível, enquanto uma solução permanente está em andamento. Além disso, agradeceríamos quaisquer etapas de diagnóstico que possamos realizar para ajudar a diagnosticar o problema mais a fundo. Garantimos que nosso ambiente atende a todas as especificações requeridas, e não há plugins de terceiros conflitantes instalados. Por favor, encontre os detalhes da nossa conta e logs de erro específicos anexados a este e-mail para sua referência. Entre em contato comigo na minha linha direta &lt;tel_num&gt; para quaisquer esclarecimentos ou atualizações adicionais sobre este assunto. Obrigado pela sua atenção rápida a esta questão urgente. Aguardamos sua rápida resolução. Atenciosamente, &lt;name&gt;</t>
        </is>
      </c>
      <c r="G227" s="1" t="inlineStr">
        <is>
          <t>Incident</t>
        </is>
      </c>
      <c r="H227" s="1" t="inlineStr">
        <is>
          <t>Caro &lt;name&gt;,
Obrigado por entrar em contato conosco em relação às quedas do sistema que você está enfrentando com a versão do Jira Software 8.20. Entendemos a urgência desta questão e estamos comprometidos em resolvê-la rapidamente.
Nossa equipe técnica já está priorizando este problema e trabalhará diligentemente para encontrar uma solução. Enquanto isso, sugerimos as seguintes etapas preliminares para ajudar a mitigar o impacto:
1. **Limpar Cache e Cookies:** Às vezes, limpar o cache e os cookies do seu navegador pode ajudar a evitar quedas.
2. **Atualização do Navegador:** Certifique-se de que seu navegador esteja atualizado.
3. **Acesso Alternativo:** Tente acessar os painéis Scrum usando um navegador ou dispositivo diferente.
Estamos desenvolvendo uma solução temporária e o manteremos atualizado assim que estiver disponível. Nossa equipe iniciou uma revisão detalhada dos logs de erro que você forneceu para identificar a causa raiz e implementar uma correção permanente.
Para atualizações adicionais ou se precisar de mais esclarecimentos, entrarei em contato diretamente usando a linha que você forneceu &lt;tel_num&gt;.
Obrigado pela sua paciência e cooperação.
Atenciosamente,
Equipe de Suporte ao Cliente</t>
        </is>
      </c>
      <c r="I227" s="1" t="inlineStr">
        <is>
          <t>high</t>
        </is>
      </c>
      <c r="J227" s="1" t="inlineStr">
        <is>
          <t>['Urgent Issue', 'System Crash', 'Technical Support', 'Problem Resolution', 'Service Disruption', 'Software Bug', 'Technical Guidance']</t>
        </is>
      </c>
      <c r="K227" s="1" t="inlineStr">
        <is>
          <t>pt</t>
        </is>
      </c>
      <c r="L227" s="1" t="n">
        <v>1547</v>
      </c>
    </row>
    <row r="228" ht="16.5" customHeight="1">
      <c r="A228" s="1" t="n">
        <v>1960</v>
      </c>
      <c r="B228" s="3" t="inlineStr">
        <is>
          <t>Gerenciamento de Incidentes</t>
        </is>
      </c>
      <c r="C228" s="3" t="inlineStr">
        <is>
          <t>Gerenciamento de Problemas</t>
        </is>
      </c>
      <c r="D228" s="1" t="inlineStr">
        <is>
          <t>Problema de Piscar da Tela com Dell XPS 13 9310</t>
        </is>
      </c>
      <c r="E228" s="1" t="inlineStr">
        <is>
          <t>Product Support</t>
        </is>
      </c>
      <c r="F228" s="1" t="inlineStr">
        <is>
          <t>Caro Suporte ao Cliente,
Estou escrevendo para relatar um problema de piscar da tela que venho enfrentando com meu laptop Dell XPS 13 9310 de alto desempenho. O problema começou há alguns dias e persistiu apesar de reiniciar e atualizar os drivers. Dependo muito deste laptop para meu trabalho, e esse problema está afetando significativamente minha produtividade. Você poderia me aconselhar sobre possíveis soluções ou arranjar serviços de reparo?
Obrigado pela sua assistência.
Atenciosamente,
&lt;name&gt;
&lt;acc_num&gt;</t>
        </is>
      </c>
      <c r="G228" s="1" t="inlineStr">
        <is>
          <t>Incident</t>
        </is>
      </c>
      <c r="H228" s="1" t="inlineStr">
        <is>
          <t>Caro &lt;name&gt;,
Obrigado por entrar em contato conosco sobre o problema de piscar da tela com seu Dell XPS 13 9310. Recomendamos os seguintes passos para solucionar esse problema:
1. Realize um desligamento completo e reinicie o laptop.
2. Certifique-se de que todas as atualizações do sistema estejam instaladas.
3. Verifique se o problema persiste em Modo Seguro. Se não, um aplicativo de terceiros pode estar causando o problema.
4. Execute diagnósticos pressionando F12 durante a inicialização para identificar quaisquer problemas de hardware.
Se o problema continuar, por favor, nos avise, e podemos arranjar serviços de reparo para seu dispositivo sob o seu número de conta &lt;acc_num&gt;. Sua produtividade é importante para nós.
Atenciosamente,
Suporte ao Cliente</t>
        </is>
      </c>
      <c r="I228" s="1" t="inlineStr">
        <is>
          <t>medium</t>
        </is>
      </c>
      <c r="J228" s="1" t="inlineStr">
        <is>
          <t>['Technical Support', 'Product Support', 'Hardware Failure', 'Problem Resolution', 'Urgent Issue', 'Service Recovery']</t>
        </is>
      </c>
      <c r="K228" s="1" t="inlineStr">
        <is>
          <t>pt</t>
        </is>
      </c>
      <c r="L228" s="1" t="n">
        <v>516</v>
      </c>
    </row>
    <row r="229" ht="16.5" customHeight="1">
      <c r="A229" s="1" t="n">
        <v>1961</v>
      </c>
      <c r="B229" s="3" t="inlineStr">
        <is>
          <t>Solicitação de Serviço</t>
        </is>
      </c>
      <c r="C229" s="3" t="inlineStr">
        <is>
          <t>Gerenciamento de Mudanças</t>
        </is>
      </c>
      <c r="D229" s="1" t="inlineStr">
        <is>
          <t>Assistência Necessária para Upgrade do Teclado do Surface Pro 7</t>
        </is>
      </c>
      <c r="E229" s="1" t="inlineStr">
        <is>
          <t>Technical Support</t>
        </is>
      </c>
      <c r="F229" s="1" t="inlineStr">
        <is>
          <t>Caro Time de Suporte da Loja Online de Tecnologia,
Estou entrando em contato para solicitar assistência na atualização do teclado destacável do meu Microsoft Surface Pro 7, que atualmente está rodando Windows 10. Recentemente, encontrei alguns problemas de compatibilidade e preciso de orientação para garantir um processo de atualização tranquilo.
Você poderia, por favor, fornecer instruções passo a passo ou dicas de solução de problemas para resolver possíveis obstáculos? Além disso, me avise se houver drivers ou atualizações específicos necessários para funcionalidade ideal. Seu suporte rápido para resolver este assunto seria muito apreciado.
Obrigado pela sua atenção a este pedido.
Atenciosamente,
&lt;name&gt;</t>
        </is>
      </c>
      <c r="G229" s="1" t="inlineStr">
        <is>
          <t>Change</t>
        </is>
      </c>
      <c r="H229" s="1" t="inlineStr">
        <is>
          <t>Caro &lt;name&gt;,
Obrigado por entrar em contato sobre a atualização do teclado do seu Microsoft Surface Pro 7. Para garantir um processo tranquilo:
1. Visite a Microsoft Store ou o site oficial para confirmar a compatibilidade com o seu dispositivo.
2. Atualize seu Windows 10 para a versão mais recente acessando Configurações &gt; Atualização e Segurança &gt; Windows Update.
3. Certifique-se de que seus drivers estejam atualizados verificando o Gerenciador de Dispositivos &gt; Teclados. Clique com o botão direito e selecione "Atualizar driver".
4. Remova o teclado antigo e conecte o novo. Ele deve ser detectado automaticamente.
5. Reinicie seu Surface Pro para aplicar as alterações.
Se você encontrar algum problema, consulte a página de suporte do Surface para dicas de solução de problemas. Certifique-se de que todas as atualizações de software/firmware sejam aplicadas para um desempenho ideal.
Caso tenha mais perguntas, sinta-se à vontade para responder.
Atenciosamente,
Equipe de Suporte da Loja Online de Tecnologia</t>
        </is>
      </c>
      <c r="I229" s="1" t="inlineStr">
        <is>
          <t>medium</t>
        </is>
      </c>
      <c r="J229" s="1" t="inlineStr">
        <is>
          <t>['Technical Support', 'Product Support', 'Software Bug', 'Technical Guidance', 'Problem Resolution']</t>
        </is>
      </c>
      <c r="K229" s="1" t="inlineStr">
        <is>
          <t>pt</t>
        </is>
      </c>
      <c r="L229" s="1" t="n">
        <v>720</v>
      </c>
    </row>
    <row r="230" ht="16.5" customHeight="1">
      <c r="A230" s="1" t="n">
        <v>1969</v>
      </c>
      <c r="B230" s="3" t="inlineStr">
        <is>
          <t>Gerenciamento Financeiro</t>
        </is>
      </c>
      <c r="C230" s="3" t="inlineStr">
        <is>
          <t>Gerenciamento de Incidentes</t>
        </is>
      </c>
      <c r="D230" s="1" t="inlineStr">
        <is>
          <t>Inquérito sobre Discrepância de Faturamento na AWS</t>
        </is>
      </c>
      <c r="E230" s="1" t="inlineStr">
        <is>
          <t>General Inquiry</t>
        </is>
      </c>
      <c r="F230" s="1" t="inlineStr">
        <is>
          <t>Olá Suporte ao Cliente, estou escrevendo para perguntar sobre uma discrepância de faturamento na minha conta do AWS Management Service. Você poderia ajudar com uma análise de otimização de custos para minhas faturas recentes? Meu número da conta é &lt;acc_num&gt;. Por favor, entre em contato comigo pelo &lt;tel_num&gt;. Obrigado, &lt;name&gt;.</t>
        </is>
      </c>
      <c r="G230" s="1" t="inlineStr">
        <is>
          <t>Incident</t>
        </is>
      </c>
      <c r="H230" s="1" t="inlineStr">
        <is>
          <t>Olá &lt;name&gt;, obrigado por entrar em contato sobre suas preocupações de faturamento da AWS. Vamos revisar sua conta e realizar uma análise de otimização de custos. Por favor, aguarde um retorno em breve. Para assistência imediata, ligue para nossa linha de suporte. Sua paciência é apreciada.</t>
        </is>
      </c>
      <c r="I230" s="1" t="inlineStr">
        <is>
          <t>low</t>
        </is>
      </c>
      <c r="J230" s="1" t="inlineStr">
        <is>
          <t>['Customer Service', 'Billing Issue', 'Account Assistance', 'Payment Processing', 'Product Support', 'General Inquiry']</t>
        </is>
      </c>
      <c r="K230" s="1" t="inlineStr">
        <is>
          <t>pt</t>
        </is>
      </c>
      <c r="L230" s="1" t="n">
        <v>327</v>
      </c>
    </row>
    <row r="231" ht="16.5" customHeight="1">
      <c r="A231" s="1" t="n">
        <v>1985</v>
      </c>
      <c r="B231" s="3" t="inlineStr">
        <is>
          <t>Gerenciamento de Incidentes</t>
        </is>
      </c>
      <c r="C231" s="3" t="inlineStr">
        <is>
          <t>Gerenciamento de Ativos de TI</t>
        </is>
      </c>
      <c r="D231" s="1" t="inlineStr">
        <is>
          <t>Assistência Urgente Necessária para o Roteador Cisco ISR4331</t>
        </is>
      </c>
      <c r="E231" s="1" t="inlineStr">
        <is>
          <t>Technical Support</t>
        </is>
      </c>
      <c r="F231" s="1" t="inlineStr">
        <is>
          <t>Caro Suporte ao Cliente de Serviços de TI,
Estou enfrentando problemas contínuos com meu Roteador Cisco ISR4331. Especificamente, o roteador desconecta constantemente da internet, afetando significativamente minhas tarefas de trabalho. Este assunto é urgente, e solicito que o roteador seja verificado ou substituído na primeira oportunidade possível.
Ter conectividade com a internet é crucial, e quaisquer novas interrupções podem impactar severamente minha produtividade. Confio na sua rápida atenção para resolver esta questão rapidamente.
Obrigado pelo seu suporte urgente na abordagem deste assunto.
Atenciosamente,
&lt;name&gt;</t>
        </is>
      </c>
      <c r="G231" s="1" t="inlineStr">
        <is>
          <t>Incident</t>
        </is>
      </c>
      <c r="H231" s="1" t="inlineStr">
        <is>
          <t>Caro &lt;name&gt;,
Obrigado por entrar em contato com o Suporte ao Cliente de Serviços de TI. Entendemos a urgência da sua situação com o Roteador Cisco ISR4331 e seu impacto nas suas tarefas de trabalho. Nossa equipe irá priorizar este assunto e arranjará um técnico para verificar ou substituir seu roteador na primeira oportunidade. Estamos comprometidos em resolver esta questão rapidamente para restaurar uma conectividade de internet confiável para você.
Agradecemos sua paciência e confiança. Se você tiver mais alguma dúvida, sinta-se à vontade para entrar em contato.
Atenciosamente,
Equipe de Suporte ao Cliente de Serviços de TI</t>
        </is>
      </c>
      <c r="I231" s="1" t="inlineStr">
        <is>
          <t>high</t>
        </is>
      </c>
      <c r="J231" s="1" t="inlineStr">
        <is>
          <t>['Technical Support', 'IT Support', 'Urgent Issue', 'Service Disruption', 'Network Issue', 'Hardware Failure']</t>
        </is>
      </c>
      <c r="K231" s="1" t="inlineStr">
        <is>
          <t>pt</t>
        </is>
      </c>
      <c r="L231" s="1" t="n">
        <v>632</v>
      </c>
    </row>
    <row r="232" ht="16.5" customHeight="1">
      <c r="A232" s="1" t="n">
        <v>2018</v>
      </c>
      <c r="B232" s="3" t="inlineStr">
        <is>
          <t>Gerenciamento de Incidentes</t>
        </is>
      </c>
      <c r="C232" s="3" t="inlineStr">
        <is>
          <t>Gerenciamento de Mudanças</t>
        </is>
      </c>
      <c r="D232" s="1" t="inlineStr">
        <is>
          <t>Problema de Implantação na Nuvem AWS de Alta Prioridade</t>
        </is>
      </c>
      <c r="E232" s="1" t="inlineStr">
        <is>
          <t>Technical Support</t>
        </is>
      </c>
      <c r="F232" s="1" t="inlineStr">
        <is>
          <t>Caro Time de Suporte de Serviços de TI,
Espero que esta mensagem o encontre bem. Estou escrevendo para relatar um problema de alta prioridade relacionado ao nosso Serviço de Gerenciamento AWS. Atualmente, estamos enfrentando problemas durante nosso processo de implantação na nuvem, que requer atenção imediata. A configuração da nossa infraestrutura parece estar causando atrasos e interrupções, afetando significativamente nossas operações e prazos de entrega.
Dada a natureza crítica deste problema, solicitamos gentilmente assistência rápida de sua equipe. Acreditamos que sua expertise será crucial para identificar a raiz do problema e implementar uma solução oportuna para agilizar nossa implantação. Assistência na avaliação da configuração atual e na realização das otimizações necessárias seria muito apreciada para restaurar a funcionalidade normal.
Por favor, deixe-nos saber quais informações ou acessos você pode precisar de nossa parte para facilitar uma resolução rápida. Você pode me contatar diretamente por e-mail ou pelo meu número de telefone, &lt;tel_num&gt;, para qualquer coordenação imediata. Garantir um serviço ininterrupto é fundamental para nossa operação, e seu apoio rápido é imperativo.
Agradecemos antecipadamente pela sua atenção a este assunto urgente.
Atenciosamente,
&lt;name&gt;
Cargo
Nome da Empresa</t>
        </is>
      </c>
      <c r="G232" s="1" t="inlineStr">
        <is>
          <t>Problem</t>
        </is>
      </c>
      <c r="H232" s="1" t="inlineStr">
        <is>
          <t>Caro &lt;name&gt;,
Obrigado por entrar em contato sobre o problema de implantação na nuvem AWS. Entendemos a urgência e estamos comprometidos em fornecer assistência rápida. Por favor, forneça quaisquer arquivos de configuração ou logs relevantes que possam nos ajudar a avaliar a situação. Também precisaríamos dos níveis de acesso apropriados para revisar e otimizar sua infraestrutura.
Prioritizaremos este assunto para minimizar interrupções e restaurar suas operações. Você será contatado em breve para mais coordenação.
Atenciosamente,
Equipe de Suporte de Serviços de TI</t>
        </is>
      </c>
      <c r="I232" s="1" t="inlineStr">
        <is>
          <t>high</t>
        </is>
      </c>
      <c r="J232" s="1" t="inlineStr">
        <is>
          <t>['Technical Support', 'IT Support', 'Service Disruption', 'Urgent Issue', 'Problem Resolution', 'Cloud Services', 'Incident Report']</t>
        </is>
      </c>
      <c r="K232" s="1" t="inlineStr">
        <is>
          <t>pt</t>
        </is>
      </c>
      <c r="L232" s="1" t="n">
        <v>1332</v>
      </c>
    </row>
    <row r="233" ht="16.5" customHeight="1">
      <c r="A233" s="1" t="n">
        <v>2023</v>
      </c>
      <c r="B233" s="3" t="inlineStr">
        <is>
          <t>Gerenciamento de Incidentes</t>
        </is>
      </c>
      <c r="C233" s="3" t="inlineStr">
        <is>
          <t>Gerenciamento de Problemas</t>
        </is>
      </c>
      <c r="D233" s="1" t="inlineStr">
        <is>
          <t>Problema com a Impressão da HP DeskJet 3755</t>
        </is>
      </c>
      <c r="E233" s="1" t="inlineStr">
        <is>
          <t>Technical Support</t>
        </is>
      </c>
      <c r="F233" s="1" t="inlineStr">
        <is>
          <t>Caro Suporte ao Cliente, estou escrevendo para trazer à sua atenção um problema recorrente com minha impressora HP DeskJet 3755 adquirida em sua loja. A função de impressão colorida falha intermitentemente, o que prejudica significativamente minhas tarefas diárias que exigem impressão colorida confiável. Às vezes, a impressora funciona como o esperado, mas frequentemente volta a imprimir em preto e branco, ou falha ao imprimir completamente quando um documento colorido é pretendido. Essas inconsistências são frustrantes e prejudiciais ao meu fluxo de trabalho. Tentei a resolução básica de problemas, incluindo verificações de cartuchos e atualizações de software, sem sucesso. Agradeceria se sua equipe técnica pudesse inspecionar este dispositivo para diagnosticar e resolver o problema. Por favor, informe o procedimento para prosseguir com esta inspeção. Meu ID de cliente é &lt;cust_id&gt; e a compra foi feita em &lt;purchase_date&gt;. Aguardando sua resposta rápida e uma solução viável. Obrigado pela sua atenção a este assunto. Atenciosamente, &lt;name&gt;</t>
        </is>
      </c>
      <c r="G233" s="1" t="inlineStr">
        <is>
          <t>Incident</t>
        </is>
      </c>
      <c r="H233" s="1" t="inlineStr">
        <is>
          <t>Caro &lt;name&gt;,
Obrigado por entrar em contato sobre os problemas com sua impressora HP DeskJet 3755. Eu entendo como pode ser frustrante quando a função de impressão colorida não é confiável. Nossa equipe técnica está aqui para ajudar a resolver este problema.
Por favor, traga sua impressora para nosso centro de serviço, junto com seu recibo de compra e o ID do cliente &lt;cust_id&gt;. Nossa equipe realizará uma inspeção e resolução de problemas para identificar e corrigir o problema. Caso algumas peças precisem ser substituídas, iremos informá-lo sobre a cobertura da garantia e as opções disponíveis.
Enquanto isso, você pode querer garantir que as configurações de cor da sua impressora estejam corretamente configuradas e que os cabeçotes de impressão estejam limpos. Esses fatores podem afetar a saída de cores.
Estamos comprometidos em facilitar uma resolução rápida para que você possa continuar suas tarefas sem inconvenientes. Sinta-se à vontade para entrar em contato se tiver mais perguntas ou precisar de esclarecimentos sobre os próximos passos.
Aguardando ajudar você em breve.
Atenciosamente,
Equipe de Suporte ao Cliente</t>
        </is>
      </c>
      <c r="I233" s="1" t="inlineStr">
        <is>
          <t>low</t>
        </is>
      </c>
      <c r="J233" s="1" t="inlineStr">
        <is>
          <t>['Product Support', 'Technical Support', 'Hardware Failure', 'Problem Resolution', 'Service Recovery']</t>
        </is>
      </c>
      <c r="K233" s="1" t="inlineStr">
        <is>
          <t>pt</t>
        </is>
      </c>
      <c r="L233" s="1" t="n">
        <v>1053</v>
      </c>
    </row>
    <row r="234" ht="16.5" customHeight="1">
      <c r="A234" s="1" t="n">
        <v>2032</v>
      </c>
      <c r="B234" s="3" t="inlineStr">
        <is>
          <t>Gerenciamento Financeiro</t>
        </is>
      </c>
      <c r="C234" s="3" t="inlineStr">
        <is>
          <t>Gerenciamento de Nível de Serviço</t>
        </is>
      </c>
      <c r="D234" s="1" t="inlineStr">
        <is>
          <t>Esclarecimento sobre a Taxa de Assinatura</t>
        </is>
      </c>
      <c r="E234" s="1" t="inlineStr">
        <is>
          <t>Billing and Payments</t>
        </is>
      </c>
      <c r="F234" s="1" t="inlineStr">
        <is>
          <t>Prezado Suporte ao Cliente da Loja Online Tech,
Espero que esta mensagem o encontre bem. Estou entrando em contato hoje para obter mais clareza sobre os recentes extratos de cobrança relacionados à minha assinatura do Adobe Photoshop 2024. Ao revisar minha conta, notei algumas discrepâncias que me deixaram um pouco confuso. Parece que as taxas mudaram inesperadamente e não recebi nenhum aviso ou explicação prévia sobre essas alterações.
Meu número de conta de assinatura é &lt;acc_num&gt;, e geralmente realizo os pagamentos através do meu cartão com final &lt;card_num&gt;. Dada a mudança nos valores de cobrança, eu apreciaria se você pudesse fornecer uma explicação detalhada ou me direcionar para onde eu poderia encontrar documentação ou comunicação sobre essa mudança. É crucial para mim gerenciar meu planejamento financeiro de forma eficaz, e entender essas cobranças é uma parte vital disso.
Além disso, se houver promoções em andamento ou opções de assinatura alternativas que eu possa aproveitar, eu também gostaria de saber sobre elas.
Obrigado pela sua assistência. Aguardamos sua pronta clareza sobre este assunto. Sinta-se à vontade para entrar em contato comigo por e-mail ou pelo meu número de telefone &lt;tel_num&gt;.
Atenciosamente,
&lt;name&gt;</t>
        </is>
      </c>
      <c r="G234" s="1" t="inlineStr">
        <is>
          <t>Request</t>
        </is>
      </c>
      <c r="H234" s="1" t="inlineStr">
        <is>
          <t>Assunto: Re: Esclarecimento sobre a Taxa de Assinatura
Prezado &lt;name&gt;,
Obrigado por entrar em contato conosco. Entendo sua preocupação em relação às alterações de cobrança para sua assinatura do Adobe Photoshop 2024. Peço desculpas por qualquer inconveniente que isso possa ter causado.
Verifiquei sua conta &lt;acc_num&gt; e parece que houve uma mudança em nossa estrutura de preços. Um e-mail de notificação foi enviado antes da mudança, mas pode ter ido parar na sua pasta de spam ou promoções. Recomendo que verifique essas pastas, caso tenha perdido.
Para documentação detalhada e comunicação sobre a mudança, por favor, visite nosso site e navegue até a seção de assinaturas para atualizações sobre mudanças de política e taxas.
Sobre promoções em andamento ou opções alternativas de assinatura, temos algumas ofertas disponíveis. Você pode visualizar isso na seção de promoções em nosso site ou entrar em contato com nossa equipe de vendas para conselhos personalizados.
Sinta-se à vontade para nos contatar novamente se precisar de mais assistência, seja por este e-mail ou por nossa linha direta de atendimento ao cliente.
Agradecemos sua compreensão e cooperação.
Atenciosamente,
Suporte ao Cliente da Loja Online Tech</t>
        </is>
      </c>
      <c r="I234" s="1" t="inlineStr">
        <is>
          <t>low</t>
        </is>
      </c>
      <c r="J234" s="1" t="inlineStr">
        <is>
          <t>['Customer Service', 'Billing Issue', 'Account Assistance', 'Payment Processing', 'General Inquiry', 'Sales Inquiry']</t>
        </is>
      </c>
      <c r="K234" s="1" t="inlineStr">
        <is>
          <t>pt</t>
        </is>
      </c>
      <c r="L234" s="1" t="n">
        <v>1251</v>
      </c>
    </row>
    <row r="235" ht="16.5" customHeight="1">
      <c r="A235" s="1" t="n">
        <v>2054</v>
      </c>
      <c r="B235" s="3" t="inlineStr">
        <is>
          <t>Gerenciamento de Incidentes</t>
        </is>
      </c>
      <c r="C235" s="3" t="inlineStr">
        <is>
          <t>Gerenciamento de Problemas</t>
        </is>
      </c>
      <c r="D235" s="1" t="inlineStr">
        <is>
          <t>Problemas de Conectividade Durante Chamadas de Vídeo no Zoom</t>
        </is>
      </c>
      <c r="E235" s="1" t="inlineStr">
        <is>
          <t>Technical Support</t>
        </is>
      </c>
      <c r="F235" s="1" t="inlineStr">
        <is>
          <t>Olá Suporte ao Cliente,
Espero que esta mensagem o encontre bem. Estou enfrentando problemas de conectividade persistentes durante chamadas de videoconferência usando a versão do Zoom 5.11.0. Essas interrupções ocorrem em diferentes ambientes de rede. Solicito gentilmente sua ajuda para diagnosticar e resolver esse problema, pois ele impacta significativamente nossa comunicação e produtividade. Por favor, me avise se houver etapas de solução de problemas que eu deva seguir ou correções disponíveis.
Obrigado pela sua atenção rápida a este assunto.
Atenciosamente,
&lt;name&gt;
Informações de Contato:
Telefone: &lt;tel_num&gt;
Número da Conta do Cliente: &lt;acc_num&gt;</t>
        </is>
      </c>
      <c r="G235" s="1" t="inlineStr">
        <is>
          <t>Incident</t>
        </is>
      </c>
      <c r="H235" s="1" t="inlineStr">
        <is>
          <t>Olá,
Obrigado por entrar em contato. Recomendamos as seguintes etapas para solucionar seus problemas de conectividade no Zoom:
1. Certifique-se de que sua versão do Zoom esteja atualizada para a versão mais recente.
2. Teste a velocidade da sua internet e troque de rede, se possível, para comparar.
3. Verifique se seu firewall ou antivírus não está bloqueando o Zoom.
4. Tente usar uma conexão com fio em vez de Wi-Fi, se disponível.
5. Reduza o número de dispositivos usando a mesma rede.
Se o problema persistir, por favor, forneça uma captura de tela de quaisquer mensagens de erro que você encontrar e confirme se seu sistema atende aos requisitos mínimos do Zoom. Nossa equipe está aqui para ajudar mais uma vez que recebamos essas informações.
Atenciosamente,
Equipe de Suporte ao Cliente</t>
        </is>
      </c>
      <c r="I235" s="1" t="inlineStr">
        <is>
          <t>medium</t>
        </is>
      </c>
      <c r="J235" s="1" t="inlineStr">
        <is>
          <t>['Technical Support', 'Network Issue', 'Problem Resolution', 'Urgent Issue', 'Video Conferencing', 'Software Bug', 'Performance Tuning', 'Customer Service']</t>
        </is>
      </c>
      <c r="K235" s="1" t="inlineStr">
        <is>
          <t>pt</t>
        </is>
      </c>
      <c r="L235" s="1" t="n">
        <v>663</v>
      </c>
    </row>
    <row r="236" ht="16.5" customHeight="1">
      <c r="A236" s="1" t="n">
        <v>2061</v>
      </c>
      <c r="B236" s="3" t="inlineStr">
        <is>
          <t>Solicitação de Serviço</t>
        </is>
      </c>
      <c r="C236" s="3" t="inlineStr">
        <is>
          <t>Gerenciamento de Segurança</t>
        </is>
      </c>
      <c r="D236" s="1" t="inlineStr">
        <is>
          <t>Solicitação de Atualização do Zoom</t>
        </is>
      </c>
      <c r="E236" s="1" t="inlineStr">
        <is>
          <t>Technical Support</t>
        </is>
      </c>
      <c r="F236" s="1" t="inlineStr">
        <is>
          <t>Caro Suporte ao Cliente,
Espero que este e-mail o encontre bem. Meu nome é &lt;name&gt; e estou entrando em contato a respeito de um pedido de atualização para o aplicativo Zoom que atualmente temos integrado em nossa infraestrutura de TI. Estamos usando a versão 5.11.0 do Zoom e, para garantir segurança aprimorada juntamente com a integração de novos recursos, estamos interessados em atualizar para a versão mais recente disponível.
Dada a situação atual e o aumento no uso de tais plataformas, tornou-se primordial manter os mais altos padrões de segurança. Nossos usuários dependem fortemente do Zoom para operações diárias e reuniões, e garantir que utilizemos a versão mais segura e eficiente é crucial para nossa continuidade. As atualizações recentes do Zoom relataram ter abordado várias questões de segurança e introduzido melhorias que acreditamos beneficiarão significativamente nossas operações.
Você poderia nos guiar pelo processo de atualização e nos informar a melhor forma de proceder? Se houver requisitos ou pré-requisitos específicos necessários para a atualização, por favor, detalhe-os também. Além disso, apreciaríamos se o tempo de inatividade potencial, se houver, durante esta atualização também puder ser estimado, permitindo-nos agendar e nos preparar adequadamente.
Sinta-se à vontade para entrar em contato comigo diretamente pelo &lt;email_address&gt; ou pelo telefone &lt;tel_num&gt; se precisar de informações adicionais ou tiver alguma dúvida.
Obrigado pela sua pronta atenção a esta solicitação. Estamos ansiosos por um processo de atualização sem problemas com seu apoio.
Atenciosamente,
&lt;name&gt;
&lt;position&gt;
&lt;company_name&gt;</t>
        </is>
      </c>
      <c r="G236" s="1" t="inlineStr">
        <is>
          <t>Change</t>
        </is>
      </c>
      <c r="H236" s="1" t="inlineStr">
        <is>
          <t>Caro &lt;name&gt;,
Obrigado por entrar em contato sobre a atualização do Zoom. Entendemos a importância de manter a segurança e a eficiência de suas operações. Atualizar para a versão mais recente do Zoom fornecerá, de fato, os benefícios que você está buscando.
Aqui está um breve guia para ajudá-lo com a atualização:
1. **Verifique os Requisitos do Sistema**: Certifique-se de que todos os sistemas atendam aos requisitos para a versão mais recente do Zoom. Você pode encontrar essas informações no site do Zoom.
2. **Faça o Backup dos Dados**: Antes de prosseguir, faça o backup de qualquer configuração ou definição importante em sua conta atual do Zoom.
3. **Baixe a Atualização**: Visite o site do Zoom e faça o download da versão mais recente do aplicativo adequada para seus sistemas.
4. **Instale a Atualização**: Siga as instruções de instalação fornecidas pelo Zoom. Isso deve ser instalado sem problemas e sem afetar as configurações existentes.
5. **Teste a Atualização**: Uma vez instalado, recomendamos testá-lo em alguns sistemas antes de uma implementação em grande escala para identificar possíveis problemas.
Quanto ao tempo de inatividade potencial, o processo de instalação geralmente leva um curto período, tipicamente em torno de 15-30 minutos. No entanto, é aconselhável agendar fora do horário de pico operacional caso surjam problemas.
Se configurações ou pré-requisitos específicos forem necessários, você receberá um aviso durante o processo de instalação. Certifique-se de que os privilégios de administrador estejam disponíveis ao realizar a atualização.
Caso encontre alguma dificuldade ou necessite de mais assistência, sinta-se à vontade para nos contatar diretamente. Estamos aqui para garantir que a transição seja o mais fluida possível.
Atenciosamente,
Agente do Service Desk
Equipe de Suporte &lt;company_name&gt;</t>
        </is>
      </c>
      <c r="I236" s="1" t="inlineStr">
        <is>
          <t>high</t>
        </is>
      </c>
      <c r="J236" s="1" t="inlineStr">
        <is>
          <t>['Technical Support', 'Product Support', 'IT Support', 'Feature Request', 'System Maintenance', 'Software Bug', 'Account Assistance']</t>
        </is>
      </c>
      <c r="K236" s="1" t="inlineStr">
        <is>
          <t>pt</t>
        </is>
      </c>
      <c r="L236" s="1" t="n">
        <v>1648</v>
      </c>
    </row>
    <row r="237" ht="16.5" customHeight="1">
      <c r="A237" s="1" t="n">
        <v>2080</v>
      </c>
      <c r="B237" s="3" t="inlineStr">
        <is>
          <t>Solicitação de Serviço</t>
        </is>
      </c>
      <c r="C237" s="3" t="inlineStr">
        <is>
          <t>Gerenciamento de Ativos de TI</t>
        </is>
      </c>
      <c r="D237" s="1" t="inlineStr">
        <is>
          <t>Pedido de Troca: Dell XPS 13 9310</t>
        </is>
      </c>
      <c r="E237" s="1" t="inlineStr">
        <is>
          <t>Returns and Exchanges</t>
        </is>
      </c>
      <c r="F237" s="1" t="inlineStr">
        <is>
          <t>Caro Suporte ao Cliente,
Estou escrevendo para solicitar uma troca para meu Dell XPS 13 9310. A unidade que recebi apresenta problemas de desempenho persistentes que afetam meu trabalho. Por favor, me orientem sobre como proceder com o processo de troca. Os detalhes da minha compra estão sob o número da conta &lt;acc_num&gt;.
Obrigado,
&lt;name&gt;</t>
        </is>
      </c>
      <c r="G237" s="1" t="inlineStr">
        <is>
          <t>Request</t>
        </is>
      </c>
      <c r="H237" s="1" t="inlineStr">
        <is>
          <t>Caro &lt;name&gt;,
Obrigado por entrar em contato conosco sobre seu Dell XPS 13 9310. Pedimos desculpas pelo inconveniente causado pelos problemas de desempenho. Para prosseguir com a troca, por favor, assegure-se de que seu dispositivo esteja dentro do período de devolução e tenha sua embalagem original. Você pode iniciar o processo visitando nosso site, escolhendo a opção 'Devoluções/Trocas', ou entrando em contato diretamente com nossa equipe de suporte com seu número da conta &lt;acc_num&gt;. Estamos aqui para ajudá-lo ainda mais, se necessário.
Atenciosamente,
Equipe de Suporte ao Cliente</t>
        </is>
      </c>
      <c r="I237" s="1" t="inlineStr">
        <is>
          <t>medium</t>
        </is>
      </c>
      <c r="J237" s="1" t="inlineStr">
        <is>
          <t>['Returns and Exchanges', 'Customer Service', 'Product Support', 'Order Issue']</t>
        </is>
      </c>
      <c r="K237" s="1" t="inlineStr">
        <is>
          <t>pt</t>
        </is>
      </c>
      <c r="L237" s="1" t="n">
        <v>340</v>
      </c>
    </row>
    <row r="238" ht="16.5" customHeight="1">
      <c r="A238" s="1" t="n">
        <v>2115</v>
      </c>
      <c r="B238" s="3" t="inlineStr">
        <is>
          <t>Gerenciamento de Incidentes</t>
        </is>
      </c>
      <c r="C238" s="3" t="inlineStr">
        <is>
          <t>Gerenciamento de Problemas</t>
        </is>
      </c>
      <c r="D238" s="1" t="inlineStr">
        <is>
          <t>Problema com notificações do Jira</t>
        </is>
      </c>
      <c r="E238" s="1" t="inlineStr">
        <is>
          <t>Technical Support</t>
        </is>
      </c>
      <c r="F238" s="1" t="inlineStr">
        <is>
          <t>Caro Suporte ao Cliente,
Estou escrevendo para trazer à sua atenção um problema que estamos enfrentando com nosso Jira Software 8.20. Apesar de termos as configurações corretas, o sistema não está enviando notificações automáticas para atualizações de tickets. Este problema está afetando a eficiência da nossa equipe, pois estamos perdendo atualizações importantes. Ajustar configurações ou permissões não resolveu o problema. Agradecemos sua assistência para resolver esse assunto com urgência. Por favor, entre em contato comigo pelo &lt;tel_num&gt; ou por e-mail em &lt;email&gt; para mais informações.
Obrigado,
&lt;name&gt;</t>
        </is>
      </c>
      <c r="G238" s="1" t="inlineStr">
        <is>
          <t>Incident</t>
        </is>
      </c>
      <c r="H238" s="1" t="inlineStr">
        <is>
          <t>Caro &lt;name&gt;,
Obrigado por entrar em contato conosco sobre o problema com as notificações do Jira. Entendemos o impacto que isso está tendo na eficiência da sua equipe e estamos aqui para ajudar.
Primeiramente, por favor, verifique se o esquema de notificações está corretamente associado aos projetos respectivos. Às vezes, podem surgir problemas se o esquema de notificações não estiver corretamente configurado. Verifique se os endereços de e-mail no sistema estão corretos e se não há filtros bloqueando os e-mails recebidos.
Se o problema persistir, por favor, tente reiniciar o aplicativo Jira ou verifique os logs do servidor em busca de erros que possam indicar uma má configuração. Além disso, pode ser útil verificar se os recursos do seu servidor, como memória e armazenamento, não estão sendo maximizados, pois isso pode causar atrasos ou falhas na entrega.
Se essas sugestões não resolverem o problema, recomendamos abrir um ticket de suporte com nossa equipe técnica para uma investigação mais aprofundada. Você pode nos contatar diretamente a qualquer momento.
Atenciosamente,
[Seu Nome] 
[Seu Cargo]
[Sua Empresa]</t>
        </is>
      </c>
      <c r="I238" s="1" t="inlineStr">
        <is>
          <t>high</t>
        </is>
      </c>
      <c r="J238" s="1" t="inlineStr">
        <is>
          <t>['Technical Support', 'Product Support', 'Software Bug', 'Incident Report', 'Urgent Issue', 'Problem Resolution', 'Service Notification']</t>
        </is>
      </c>
      <c r="K238" s="1" t="inlineStr">
        <is>
          <t>pt</t>
        </is>
      </c>
      <c r="L238" s="1" t="n">
        <v>613</v>
      </c>
    </row>
    <row r="239" ht="16.5" customHeight="1">
      <c r="A239" s="1" t="n">
        <v>2125</v>
      </c>
      <c r="B239" s="3" t="inlineStr">
        <is>
          <t>Gerenciamento de Incidentes</t>
        </is>
      </c>
      <c r="C239" s="3" t="inlineStr">
        <is>
          <t>Gerenciamento de Capacidade</t>
        </is>
      </c>
      <c r="D239" s="1" t="inlineStr">
        <is>
          <t>Precisamos de Assistência para Resposta Lenta a Consultas no MySQL 8.0.30</t>
        </is>
      </c>
      <c r="E239" s="1" t="inlineStr">
        <is>
          <t>Customer Service</t>
        </is>
      </c>
      <c r="F239" s="1" t="inlineStr">
        <is>
          <t>Caro Suporte ao Cliente dos Serviços de TI,
Estou escrevendo para solicitar assistência em relação aos problemas de desempenho que estamos enfrentando com nosso banco de dados MySQL 8.0.30. Notamos que as respostas às consultas se tornaram significativamente lentas, o que está impactando nossa produtividade geral e o desempenho do aplicativo. Acreditamos que pode haver uma necessidade de otimização de desempenho para resolver esses problemas.
Já tentamos otimizar índices e executar diagnósticos, mas, infelizmente, o problema persiste. Suspeitamos que isso possa estar relacionado a configurações específicas da versão do MySQL ou gargalos de recursos.
Você poderia nos aconselhar sobre otimizações potenciais que devemos considerar ou nos ajudar a solucionar esses problemas de forma mais eficaz? Qualquer orientação ou recomendação especializada de sua equipe seria muito apreciada. Nosso número de conta é &lt;acc_num&gt;, e estamos disponíveis para mais discussões na sua conveniência.
Obrigado pela sua atenção a este assunto.
Atenciosamente,
&lt;name&gt;
Equipe de Suporte da &lt;company&gt;
Contato: &lt;tel_num&gt;</t>
        </is>
      </c>
      <c r="G239" s="1" t="inlineStr">
        <is>
          <t>Problem</t>
        </is>
      </c>
      <c r="H239" s="1" t="inlineStr">
        <is>
          <t>Caro &lt;name&gt;,
Obrigado por entrar em contato com os Serviços de TI sobre os problemas de desempenho com seu banco de dados MySQL 8.0.30. Com base em sua descrição, há várias abordagens que podemos explorar para otimização.
1. **Verificação de Configuração**: Revise a configuração do MySQL para garantir que esteja alinhada com as melhores práticas de desempenho na versão 8.0.30. Preste atenção especial às configurações de memória e cache.
2. **Monitoramento de Recursos**: Verifique se há gargalos de CPU, memória ou I/O de disco no servidor que hospeda o MySQL. Usar ferramentas de monitoramento pode fornecer insights sobre possíveis limitações de hardware.
3. **Otimização de Consultas**: Além da indexação, examine consultas lentas usando o log de consultas lentas do MySQL para identificar consultas ineficientes que possam precisar de reescrita ou ajuste.
4. **Manutenção do Banco de Dados**: Assegure ações regulares, como limpeza ou aplicação de quaisquer otimizações de esquema que possam reduzir a carga no mecanismo do banco de dados.
5. **Revisão de Atualizações**: Embora você esteja no MySQL 8.0.30, verifique se alguma atualização menor foi lançada que resolva problemas de desempenho conhecidos ou bugs.
6. **Discussão com Especialistas**: Recomendamos agendar uma sessão com um de nossos especialistas em bancos de dados que possa realizar uma análise aprofundada de sua configuração. Por favor, informe-nos sobre sua disponibilidade.
Sinta-se à vontade para entrar em contato pelo &lt;tel_num&gt; se precisar de assistência imediata ou para agendar uma reunião com nossa equipe. Estamos comprometidos em ajudá-lo a resolver esses problemas rapidamente.
Atenciosamente,
Suporte ao Cliente dos Serviços de TI</t>
        </is>
      </c>
      <c r="I239" s="1" t="inlineStr">
        <is>
          <t>low</t>
        </is>
      </c>
      <c r="J239" s="1" t="inlineStr">
        <is>
          <t>['Technical Support', 'IT Support', 'Performance Tuning', 'Software Bug', 'Problem Resolution', 'System Maintenance']</t>
        </is>
      </c>
      <c r="K239" s="1" t="inlineStr">
        <is>
          <t>pt</t>
        </is>
      </c>
      <c r="L239" s="1" t="n">
        <v>1108</v>
      </c>
    </row>
    <row r="240" ht="16.5" customHeight="1">
      <c r="A240" s="1" t="n">
        <v>2143</v>
      </c>
      <c r="B240" s="3" t="inlineStr">
        <is>
          <t>Gerenciamento de Incidentes</t>
        </is>
      </c>
      <c r="C240" s="3" t="inlineStr">
        <is>
          <t>Gerenciamento de Disponibilidade</t>
        </is>
      </c>
      <c r="D240" s="1" t="inlineStr">
        <is>
          <t>Urgente: Problema de Downtime da AWS</t>
        </is>
      </c>
      <c r="E240" s="1" t="inlineStr">
        <is>
          <t>Technical Support</t>
        </is>
      </c>
      <c r="F240" s="1" t="inlineStr">
        <is>
          <t>Caro Suporte ao Cliente de Serviços de TI,
Meu nome é &lt;name&gt;, e estou entrando em contato para relatar um problema urgente com nosso Serviço de Gerenciamento da AWS, número da conta &lt;acc_num&gt;. Estamos enfrentando um downtime significativo, o que está afetando criticamente nossas operações. Como dependemos fortemente dos serviços da AWS para nossa infraestrutura em nuvem, essa interrupção impactou severamente nossa continuidade de negócios.
Nossa equipe notou o downtime afetando múltiplos componentes dentro do nosso ecossistema desde &lt;start_time&gt;. Inicialmente, acreditávamos que isso era um pequeno erro; no entanto, apesar de nossas tentativas de corrigir o problema, o downtime persiste. Esforços como reiniciar serviços e consultar a documentação inicial de suporte não resultaram em nada.
Estamos buscando assistência imediata de sua equipe especializada em infraestrutura de nuvem para investigar e resolver esse problema. A questão é sensível ao tempo, e uma intervenção rápida é imperativa para restaurar nossas operações. Agradeceríamos se sua equipe pudesse priorizar a investigação e nos manter atualizados sobre o progresso e as descobertas. Além disso, você poderia garantir que recursos adicionais sejam alocados para acelerar o processo de resolução?
Sinta-se à vontade para me contatar em &lt;email&gt; ou por telefone em &lt;tel_num&gt;. Estamos aguardando sua rápida resposta a esta situação urgente. Obrigado por sua atenção imediata a este assunto crítico.
Atenciosamente,
&lt;name&gt;</t>
        </is>
      </c>
      <c r="G240" s="1" t="inlineStr">
        <is>
          <t>Incident</t>
        </is>
      </c>
      <c r="H240" s="1" t="inlineStr">
        <is>
          <t>Caro &lt;name&gt;,
Obrigado por entrar em contato conosco sobre o problema de downtime da AWS. Entendemos a natureza crítica dessa situação e estamos priorizando-a para revisão e resolução imediata por nossa equipe especializada em infraestrutura de nuvem.
Por favor, tenha a certeza de que estamos alocando todos os recursos necessários para acelerar o processo e manteremos você atualizado com nosso progresso e descobertas. Nossa equipe entrará em contato com você prontamente para fornecer a assistência necessária.
Para comunicação adicional, sinta-se à vontade para me contatar diretamente em &lt;email&gt; ou &lt;tel_num&gt;. Agradecemos sua paciência e cooperação enquanto trabalhamos rapidamente para restaurar suas operações.
Atenciosamente,
Suporte ao Cliente de Serviços de TI</t>
        </is>
      </c>
      <c r="I240" s="1" t="inlineStr">
        <is>
          <t>high</t>
        </is>
      </c>
      <c r="J240" s="1" t="inlineStr">
        <is>
          <t>['Urgent Issue', 'Service Disruption', 'System Crash', 'Technical Support', 'Cloud Services', 'Problem Resolution', 'Service Recovery', 'Incident Report']</t>
        </is>
      </c>
      <c r="K240" s="1" t="inlineStr">
        <is>
          <t>pt</t>
        </is>
      </c>
      <c r="L240" s="1" t="n">
        <v>1497</v>
      </c>
    </row>
    <row r="241" ht="16.5" customHeight="1">
      <c r="A241" s="1" t="n">
        <v>2149</v>
      </c>
      <c r="B241" s="3" t="inlineStr">
        <is>
          <t>Gerenciamento Financeiro</t>
        </is>
      </c>
      <c r="C241" s="3" t="inlineStr">
        <is>
          <t>Gerenciamento de Incidentes</t>
        </is>
      </c>
      <c r="D241" s="1" t="inlineStr">
        <is>
          <t>Problema de Cobrança Duplicada na Compra</t>
        </is>
      </c>
      <c r="E241" s="1" t="inlineStr">
        <is>
          <t>Billing and Payments</t>
        </is>
      </c>
      <c r="F241" s="1" t="inlineStr">
        <is>
          <t>Caro Time de Suporte da Tech Online Store,
Espero que esta mensagem o encontre bem. Estou escrevendo para chamar a sua atenção para um problema relacionado à minha compra recente do Google Workspace Business Standard em sua loja. Ao revisar meus extratos bancários, percebi que minha conta foi debitada duas vezes por esta única compra. Essa cobrança duplicada causou inconvenientes e estou bastante preocupado com esse erro.
Para resolver isso, solicito gentilmente que você inicie um reembolso pela cobrança duplicada feita na minha conta &lt;acc_num&gt;. Além disso, eu apreciaria algumas esclarecimentos sobre como tal erro ocorreu em primeiro lugar, para garantir que não aconteça em futuras transações.
Por favor, encontre os detalhes necessários da transação anexados para sua referência. Eu apreciaria uma resolução rápida para este assunto. Você pode me contatar pelo &lt;tel_num&gt; se informações adicionais forem necessárias.
Obrigado pela sua atenção a este assunto urgente. Aguardo sua resposta e uma resolução satisfatória.
Atenciosamente,
&lt;name&gt;</t>
        </is>
      </c>
      <c r="G241" s="1" t="inlineStr">
        <is>
          <t>Incident</t>
        </is>
      </c>
      <c r="H241" s="1" t="inlineStr">
        <is>
          <t>Caro &lt;name&gt;,
Obrigado por entrar em contato com nossa equipe de suporte sobre o problema de cobrança duplicada na sua compra do Google Workspace Business Standard. Pedimos desculpas pelo inconveniente causado.
Asseguramos que estamos investigando esse assunto com urgência. Um reembolso pela cobrança duplicada será processado na sua conta &lt;acc_num&gt; em breve. Nossa equipe também está revisando nossos sistemas de pagamento para evitar que tais erros aconteçam no futuro.
Se informações adicionais forem necessárias, entraremos em contato diretamente com você pelo &lt;tel_num&gt;. Pode ter certeza de que este problema será resolvido prontamente.
Obrigado pela sua paciência e compreensão.
Atenciosamente,
Equipe de Suporte da Tech Online Store</t>
        </is>
      </c>
      <c r="I241" s="1" t="inlineStr">
        <is>
          <t>medium</t>
        </is>
      </c>
      <c r="J241" s="1" t="inlineStr">
        <is>
          <t>['Billing Issue', 'Refund Request', 'Urgent Issue', 'Problem Resolution', 'Payment Processing', 'Customer Service', 'General Inquiry']</t>
        </is>
      </c>
      <c r="K241" s="1" t="inlineStr">
        <is>
          <t>pt</t>
        </is>
      </c>
      <c r="L241" s="1" t="n">
        <v>1055</v>
      </c>
    </row>
    <row r="242" ht="16.5" customHeight="1">
      <c r="A242" s="1" t="n">
        <v>2175</v>
      </c>
      <c r="B242" s="3" t="inlineStr">
        <is>
          <t>Solicitação de Serviço</t>
        </is>
      </c>
      <c r="C242" s="3" t="inlineStr">
        <is>
          <t>Gerenciamento de Nível de Serviço</t>
        </is>
      </c>
      <c r="D242" s="1" t="inlineStr">
        <is>
          <t>Solicitação de Serviço de Consultoria em TI</t>
        </is>
      </c>
      <c r="E242" s="1" t="inlineStr">
        <is>
          <t>Human Resources</t>
        </is>
      </c>
      <c r="F242" s="1" t="inlineStr">
        <is>
          <t>Prezado Suporte a Serviços de TI,
Espero que esta mensagem o encontre bem. Meu nome é &lt;name&gt;, e estou entrando em contato em nome da minha organização. Estamos interessados em utilizar o seu Serviço de Consultoria em TI para aprimorar nossos processos de RH utilizando soluções inovadoras baseadas em tecnologia.
Recentemente, reconhecemos o potencial de modernizar nosso departamento de RH para melhorar a eficiência e a satisfação dos colaboradores. Com sua reconhecida experiência e histórico em Consultoria em TI, acreditamos que sua equipe está mais bem qualificada para nos ajudar a alcançar nossos objetivos.
Estamos particularmente interessados em soluções que possam automatizar tarefas rotineiras, fornecer insights baseados em dados e, em última análise, simplificar os processos de recrutamento e gestão de colaboradores. Estamos ansiosos por uma sessão de consultoria detalhada para discutir nossos requisitos específicos e como seus serviços poderiam potencialmente atendê-los.
Você poderia, por favor, fornecer os horários disponíveis para consulta nas próximas semanas? Seria útil se você também pudesse nos enviar alguns estudos de caso ou referências de projetos similares que você tenha executado com sucesso no passado.
Agradeço antecipadamente pela sua assistência. Sinta-se à vontade para entrar em contato comigo pelo &lt;tel_num&gt;.
Atenciosamente,
&lt;name&gt;
&lt;position&gt;
&lt;company&gt;</t>
        </is>
      </c>
      <c r="G242" s="1" t="inlineStr">
        <is>
          <t>Request</t>
        </is>
      </c>
      <c r="H242" s="1" t="inlineStr">
        <is>
          <t>Prezado &lt;name&gt;,
Obrigado por entrar em contato e expressar interesse em nossos Serviços de Consultoria em TI. Estamos animados com a oportunidade de ajudar sua organização a aprimorar seus processos de RH com soluções tecnológicas de ponta.
Estamos bem preparados para discutir como nossos serviços podem ajudar a automatizar tarefas, fornecer insights valiosos e simplificar suas operações de RH. Ficarei feliz em agendar uma sessão de consultoria com nossa equipe para aprofundar suas necessidades e objetivos específicos.
Por favor, encontre abaixo a disponibilidade para os horários de consulta nas próximas semanas:
- [Inserir Datas/Horários]
Além disso, irei providenciar estudos de caso e referências de projetos similares para serem enviados a você, que mostram nossa experiência e resultados bem-sucedidos em soluções de tecnologia para RH.
Sinta-se à vontade para entrar em contato conosco a qualquer momento por este e-mail ou através do número de telefone fornecido para mais perguntas ou para confirmar um horário.
Aguardamos ansiosamente colaborar com você.
Atenciosamente,
&lt;Seu Nome&gt;  
&lt;Agente do Service Desk&gt;  
&lt;Sua Empresa&gt;  
&lt;Informações de Contato&gt;</t>
        </is>
      </c>
      <c r="I242" s="1" t="inlineStr">
        <is>
          <t>low</t>
        </is>
      </c>
      <c r="J242" s="1" t="inlineStr">
        <is>
          <t>['IT Support', 'Consulting Service', 'Employee Onboarding', 'Technical Guidance', 'General Inquiry', 'Customer Service', 'Service Notification', 'Performance Tuning']</t>
        </is>
      </c>
      <c r="K242" s="1" t="inlineStr">
        <is>
          <t>pt</t>
        </is>
      </c>
      <c r="L242" s="1" t="n">
        <v>1401</v>
      </c>
    </row>
    <row r="243" ht="16.5" customHeight="1">
      <c r="A243" s="1" t="n">
        <v>2184</v>
      </c>
      <c r="B243" s="3" t="inlineStr">
        <is>
          <t>Solicitação de Serviço</t>
        </is>
      </c>
      <c r="C243" s="3" t="inlineStr">
        <is>
          <t>Gerenciamento Financeiro</t>
        </is>
      </c>
      <c r="D243" s="1" t="inlineStr">
        <is>
          <t>Solicitação de Atualização da Integração de Faturamento e Otimização do Fluxo de Trabalho</t>
        </is>
      </c>
      <c r="E243" s="1" t="inlineStr">
        <is>
          <t>Billing and Payments</t>
        </is>
      </c>
      <c r="F243" s="1" t="inlineStr">
        <is>
          <t>Caro time de Suporte de Serviços de TI,
Estou entrando em contato a respeito da minha recente solicitação para atualizar a integração de faturamento dentro da administração do servidor e otimizar o fluxo de trabalho das nossas soluções de TI. Atualmente estamos utilizando seu Serviço de Consultoria de TI.
Obrigado.
Atenciosamente,
&lt;name&gt;
Número da Conta: &lt;acc_num&gt;</t>
        </is>
      </c>
      <c r="G243" s="1" t="inlineStr">
        <is>
          <t>Change</t>
        </is>
      </c>
      <c r="H243" s="1" t="inlineStr">
        <is>
          <t>Prezado &lt;name&gt;,
Obrigado por entrar em contato. Iremos prosseguir com a atualização da integração de faturamento e a otimização do fluxo de trabalho de suas soluções de TI, conforme solicitado. Nossa equipe entrará em contato com você em breve para mais detalhes.
Atenciosamente,
Equipe de Suporte de Serviços de TI</t>
        </is>
      </c>
      <c r="I243" s="1" t="inlineStr">
        <is>
          <t>low</t>
        </is>
      </c>
      <c r="J243" s="1" t="inlineStr">
        <is>
          <t>['Technical Support', 'IT Support', 'Billing Issue', 'Performance Tuning', 'Problem Resolution', 'Service Notification', 'General Inquiry']</t>
        </is>
      </c>
      <c r="K243" s="1" t="inlineStr">
        <is>
          <t>pt</t>
        </is>
      </c>
      <c r="L243" s="1" t="n">
        <v>369</v>
      </c>
    </row>
    <row r="244" ht="16.5" customHeight="1">
      <c r="A244" s="1" t="n">
        <v>2189</v>
      </c>
      <c r="B244" s="3" t="inlineStr">
        <is>
          <t>Gerenciamento de Incidentes</t>
        </is>
      </c>
      <c r="C244" s="3" t="inlineStr">
        <is>
          <t>Gerenciamento Financeiro</t>
        </is>
      </c>
      <c r="D244" s="1" t="inlineStr">
        <is>
          <t>Falhas de Implantação e Solicitação de Otimização de Custos</t>
        </is>
      </c>
      <c r="E244" s="1" t="inlineStr">
        <is>
          <t>IT Support</t>
        </is>
      </c>
      <c r="F244" s="1" t="inlineStr">
        <is>
          <t>Caro Suporte ao Cliente,
Nosso cliente &lt;name&gt; está enfrentando falhas de implantação com seu Serviço de Gerenciamento AWS. Eles também gostariam de explorar opções para otimização de custos de sua configuração e infraestrutura AWS existentes. O número da conta do cliente é &lt;acc_num&gt;. Por favor, ajude com este assunto o mais rápido possível. Você pode me contatar pelo &lt;tel_num&gt;
Obrigado.
Atenciosamente,
&lt;name&gt;</t>
        </is>
      </c>
      <c r="G244" s="1" t="inlineStr">
        <is>
          <t>Problem</t>
        </is>
      </c>
      <c r="H244" s="1" t="inlineStr">
        <is>
          <t>Assunto: Re: Falhas de Implantação e Solicitação de Otimização de Custos
Caro &lt;name&gt;,
Obrigado por entrar em contato conosco sobre os problemas que seu cliente está enfrentando. Para as falhas de implantação com o Serviço de Gerenciamento AWS, por favor, certifique-se de que todas as configurações e permissões estão definidas corretamente. Podemos orientá-lo através de um processo detalhado de solução de problemas, se necessário. Para a otimização de custos, podemos realizar uma análise da configuração AWS do seu cliente para identificar oportunidades de economia. Por favor, forneça mais detalhes sobre os padrões de uso deles. Entrarei em contato com você em breve para discutir os próximos passos.
Atenciosamente,
Equipe de Suporte ao Cliente</t>
        </is>
      </c>
      <c r="I244" s="1" t="inlineStr">
        <is>
          <t>medium</t>
        </is>
      </c>
      <c r="J244" s="1" t="inlineStr">
        <is>
          <t>['Technical Support', 'IT Support', 'Product Support', 'Service Recovery', 'Problem Resolution', 'Performance Tuning', 'General Inquiry']</t>
        </is>
      </c>
      <c r="K244" s="1" t="inlineStr">
        <is>
          <t>pt</t>
        </is>
      </c>
      <c r="L244" s="1" t="n">
        <v>415</v>
      </c>
    </row>
    <row r="245" ht="16.5" customHeight="1">
      <c r="A245" s="1" t="n">
        <v>2195</v>
      </c>
      <c r="B245" s="3" t="inlineStr">
        <is>
          <t>Solicitação de Serviço</t>
        </is>
      </c>
      <c r="C245" s="3" t="inlineStr">
        <is>
          <t>Gerenciamento de Capacidade</t>
        </is>
      </c>
      <c r="D245" s="1" t="inlineStr">
        <is>
          <t>Solicitação de Orientação: Otimização de Configurações de Servidor</t>
        </is>
      </c>
      <c r="E245" s="1" t="inlineStr">
        <is>
          <t>Technical Support</t>
        </is>
      </c>
      <c r="F245" s="1" t="inlineStr">
        <is>
          <t>Caro Time de Suporte ao Cliente,
Estou escrevendo para pedir assistência em relação à nossa recente necessidade de orientação sobre a otimização de configurações de servidor. Nosso objetivo é aprimorar o desempenho e otimizar operações da forma mais eficaz e rápida possível. Como parte do Serviço de Consultoria de TI que estamos utilizando, isso se tornou uma prioridade. A gestão eficiente do servidor é crítica, e apreciaríamos qualquer percepção ou estratégia que você pudesse fornecer adaptada à nossa configuração atual.
Por favor, nos informe a melhor forma de proceder, se envolve agendar uma consulta ou acessar recursos específicos. Sua experiência nesta área é altamente valorizada pela nossa equipe.
Obrigado pela sua atenção a este assunto.
Atenciosamente,
&lt;name&gt;
&lt;tel_num&gt;
&lt;acc_num&gt;
&lt;name&gt;@companyemail.com</t>
        </is>
      </c>
      <c r="G245" s="1" t="inlineStr">
        <is>
          <t>Request</t>
        </is>
      </c>
      <c r="H245" s="1" t="inlineStr">
        <is>
          <t>Caro &lt;name&gt;,
Obrigado por entrar em contato conosco para assistência na otimização de suas configurações de servidor. Entendemos a importância de aprimorar o desempenho e otimizar operações.
Para melhor atendê-lo, recomendamos agendar uma consulta com um de nossos especialistas que pode fornecer insights e desenvolver estratégias adaptadas à sua configuração atual. Por favor, nos informe sua disponibilidade para uma sessão de consulta. Alternativamente, podemos fornecer acesso a recursos e guias que podem ajudá-lo de forma independente.
Sinta-se à vontade para nos contatar diretamente em &lt;customer_support_email&gt; ou &lt;customer_support_phone&gt; para organizar os próximos passos.
Aguardamos ansiosamente para apoiar seus esforços.
Atenciosamente,
Time de Suporte ao Cliente</t>
        </is>
      </c>
      <c r="I245" s="1" t="inlineStr">
        <is>
          <t>medium</t>
        </is>
      </c>
      <c r="J245" s="1" t="inlineStr">
        <is>
          <t>['Technical Support', 'Performance Tuning', 'IT Support', 'Technical Guidance', 'Routine Request']</t>
        </is>
      </c>
      <c r="K245" s="1" t="inlineStr">
        <is>
          <t>pt</t>
        </is>
      </c>
      <c r="L245" s="1" t="n">
        <v>826</v>
      </c>
    </row>
    <row r="246" ht="16.5" customHeight="1">
      <c r="A246" s="1" t="n">
        <v>2204</v>
      </c>
      <c r="B246" s="3" t="inlineStr">
        <is>
          <t>Solicitação de Serviço</t>
        </is>
      </c>
      <c r="C246" s="3" t="inlineStr">
        <is>
          <t>Gerenciamento de Nível de Serviço</t>
        </is>
      </c>
      <c r="D246" s="1" t="inlineStr">
        <is>
          <t>Assistência Necessária para Soluções de TI</t>
        </is>
      </c>
      <c r="E246" s="1" t="inlineStr">
        <is>
          <t>Customer Service</t>
        </is>
      </c>
      <c r="F246" s="1" t="inlineStr">
        <is>
          <t>Caro Suporte ao Cliente,  
Estou entrando em contato para solicitar orientação sobre como melhorar nossa administração de servidores atual e fluxo de trabalho de desenvolvimento de software. Dada a nossa necessidade de otimização, acreditamos que o seu Serviço de Consultoria de TI poderia oferecer soluções valiosas adaptadas à nossa situação. Nosso objetivo é melhorar a eficiência e a produtividade, e, portanto, precisamos de conselhos e estratégias específicas para a implementação. Por favor, forneça mais informações sobre como podemos iniciar este processo de consultoria e os requisitos necessários. Detalhes da nossa empresa foram compartilhados com sua equipe anteriormente. Agradecemos sua resposta rápida.  
Obrigado,  
&lt;name&gt;
&lt;acc_num&gt;</t>
        </is>
      </c>
      <c r="G246" s="1" t="inlineStr">
        <is>
          <t>Request</t>
        </is>
      </c>
      <c r="H246" s="1" t="inlineStr">
        <is>
          <t>Caro &lt;name&gt;,
Obrigado por entrar em contato conosco. Ficaríamos encantados em ajudá-lo a otimizar sua administração de servidores e fluxo de trabalho de desenvolvimento de software. Nosso Serviço de Consultoria de TI é projetado para fornecer soluções personalizadas que podem aumentar sua eficiência e produtividade.
Para iniciar o processo de consultoria, por favor, forneça-nos quaisquer desafios específicos ou áreas que você deseja melhorar. Nossa equipe então revisará os detalhes da sua empresa e entrará em contato para discutir uma estratégia e cronograma adequados para a implementação. Sinta-se à vontade para agendar uma ligação ou reunião conosco para discutir melhor suas necessidades.
Aguardamos ansiosamente a oportunidade de trabalhar com você e sua equipe. Por favor, nos avise se precisar de informações ou assistência adicionais no meio tempo.
Atenciosamente,
Equipe de Suporte ao Cliente</t>
        </is>
      </c>
      <c r="I246" s="1" t="inlineStr">
        <is>
          <t>medium</t>
        </is>
      </c>
      <c r="J246" s="1" t="inlineStr">
        <is>
          <t>['Technical Support', 'IT Support', 'Product Support', 'Performance Tuning', 'Technical Guidance', 'Consulting Services', 'Problem Resolution', 'Routine Request']</t>
        </is>
      </c>
      <c r="K246" s="1" t="inlineStr">
        <is>
          <t>pt</t>
        </is>
      </c>
      <c r="L246" s="1" t="n">
        <v>752</v>
      </c>
    </row>
    <row r="247" ht="16.5" customHeight="1">
      <c r="A247" s="1" t="n">
        <v>2207</v>
      </c>
      <c r="B247" s="3" t="inlineStr">
        <is>
          <t>Gerenciamento Financeiro</t>
        </is>
      </c>
      <c r="C247" s="3" t="inlineStr">
        <is>
          <t>Gerenciamento de Incidentes</t>
        </is>
      </c>
      <c r="D247" s="1" t="inlineStr">
        <is>
          <t>Problema de Cobrança: Renovação da Assinatura do Adobe Photoshop</t>
        </is>
      </c>
      <c r="E247" s="1" t="inlineStr">
        <is>
          <t>Billing and Payments</t>
        </is>
      </c>
      <c r="F247" s="1" t="inlineStr">
        <is>
          <t>Caro Equipe de Suporte ao Cliente,
Espero que esta mensagem os encontre bem. Estou escrevendo para expressar minha preocupação em relação a um problema de cobrança com a renovação da minha assinatura do Adobe Photoshop 2024. Apesar de várias tentativas, parece que o pagamento não foi processado corretamente. Como resultado, não consigo acessar os recursos associados à renovação, o que está afetando meu fluxo de trabalho.
Meu número da conta é &lt;acc_num&gt;. Verifiquei que meus dados de pagamento estão atualizados e que há fundos suficientes disponíveis. No entanto, o problema persiste. Por favor, ajudem a resolver esta questão assim que possível.
Além disso, eu apreciaria orientações sobre quaisquer etapas alternativas que eu pudesse tomar para garantir o processamento suave de pagamentos futuros.
Obrigado pela sua atenção a este problema. Você pode me contatar em &lt;tel_num&gt; se mais informações forem necessárias.
Atenciosamente,
&lt;name&gt;</t>
        </is>
      </c>
      <c r="G247" s="1" t="inlineStr">
        <is>
          <t>Problem</t>
        </is>
      </c>
      <c r="H247" s="1" t="inlineStr">
        <is>
          <t>Caro &lt;name&gt;,
Obrigado por entrar em contato com sua preocupação sobre cobrança em relação à renovação da sua assinatura do Adobe Photoshop 2024. Pedimos desculpas por qualquer inconveniente que isso possa ter causado.
Após revisar sua conta (&lt;acc_num&gt;), parece que pode haver um problema com o sistema de processamento de pagamentos. Estamos trabalhando para resolver isso o mais rápido possível. Enquanto isso, por favor, tente as seguintes etapas alternativas: verifique seu método de pagamento novamente, use um cartão diferente se disponível, ou tente uma renovação manual através do site da Adobe.
Nossa equipe entrará em contato diretamente com você em &lt;tel_num&gt; assim que o problema for resolvido. Agradecemos sua paciência.
Atenciosamente,
Equipe de Suporte ao Cliente</t>
        </is>
      </c>
      <c r="I247" s="1" t="inlineStr">
        <is>
          <t>low</t>
        </is>
      </c>
      <c r="J247" s="1" t="inlineStr">
        <is>
          <t>['Billing Issue', 'Payment Processing', 'Account Assistance', 'Technical Support']</t>
        </is>
      </c>
      <c r="K247" s="1" t="inlineStr">
        <is>
          <t>pt</t>
        </is>
      </c>
      <c r="L247" s="1" t="n">
        <v>949</v>
      </c>
    </row>
    <row r="248" ht="16.5" customHeight="1">
      <c r="A248" s="1" t="n">
        <v>2209</v>
      </c>
      <c r="B248" s="3" t="inlineStr">
        <is>
          <t>Gerenciamento de Incidentes</t>
        </is>
      </c>
      <c r="C248" s="3" t="inlineStr">
        <is>
          <t>Gerenciamento de Disponibilidade</t>
        </is>
      </c>
      <c r="D248" s="1" t="inlineStr">
        <is>
          <t>Urgente: Impacto crítico na conectividade da rede corporativa</t>
        </is>
      </c>
      <c r="E248" s="1" t="inlineStr">
        <is>
          <t>Technical Support</t>
        </is>
      </c>
      <c r="F248" s="1" t="inlineStr">
        <is>
          <t>Caro time de suporte ao cliente, Estamos enfrentando uma queda completa que afeta nossa rede corporativa envolvendo o Router Cisco ISR4331. Esta interrupção está impactando criticamente nossa conectividade WAN segura em todos os domínios, exigindo urgentemente sua intervenção imediata. Devido a esse problema, nossa empresa interrompeu várias operações essenciais, afetando significativamente nossos serviços e compromissos com os clientes. Como nossa equipe técnica não conseguiu resolver o problema internamente, precisamos do seu suporte especializado para diagnosticar e corrigir essa questão rapidamente. Por favor, considere isso como uma alta prioridade e nos forneça a assistência técnica necessária para restaurar a funcionalidade da nossa rede. Agradecemos pela sua atenção rápida. Atenciosamente, &lt;name&gt;, Gerente de TI da &lt;company&gt;</t>
        </is>
      </c>
      <c r="G248" s="1" t="inlineStr">
        <is>
          <t>Incident</t>
        </is>
      </c>
      <c r="H248" s="1" t="inlineStr">
        <is>
          <t>Assunto: Re: Urgente: Impacto crítico na conectividade da rede corporativa
Caro &lt;name&gt;,
Obrigado por entrar em contato conosco sobre a interrupção crítica que afeta seu Router Cisco ISR4331.
Entendemos a urgência e o impacto desse problema em suas operações. Nossa equipe de suporte técnico está priorizando seu caso e começará prontamente a diagnosticar o problema para facilitar uma rápida resolução.
Por favor, certifique-se de que todos os registros técnicos relevantes estejam disponíveis para nossa equipe acessar, o que ajudará a acelerar o processo de diagnóstico. Manteremos uma comunicação próxima e forneceremos atualizações conforme nossa investigação avança.
Sua paciência e cooperação são muito apreciadas, e estamos comprometidos em resolver essa questão o mais rápido possível.
Atenciosamente,
Equipe de Suporte ao Cliente</t>
        </is>
      </c>
      <c r="I248" s="1" t="inlineStr">
        <is>
          <t>high</t>
        </is>
      </c>
      <c r="J248" s="1" t="inlineStr">
        <is>
          <t>['Critical Failure', 'Network Issue', 'Service Disruption', 'Urgent Issue', 'Technical Support', 'Problem Resolution', 'IT Support']</t>
        </is>
      </c>
      <c r="K248" s="1" t="inlineStr">
        <is>
          <t>pt</t>
        </is>
      </c>
      <c r="L248" s="1" t="n">
        <v>843</v>
      </c>
    </row>
    <row r="249" ht="16.5" customHeight="1">
      <c r="A249" s="1" t="n">
        <v>2213</v>
      </c>
      <c r="B249" s="3" t="inlineStr">
        <is>
          <t>Gerenciamento Financeiro</t>
        </is>
      </c>
      <c r="C249" s="3" t="inlineStr">
        <is>
          <t>Gerenciamento de Incidentes</t>
        </is>
      </c>
      <c r="D249" s="1" t="inlineStr">
        <is>
          <t>Assistência com Erro de Faturamento</t>
        </is>
      </c>
      <c r="E249" s="1" t="inlineStr">
        <is>
          <t>Billing and Payments</t>
        </is>
      </c>
      <c r="F249" s="1" t="inlineStr">
        <is>
          <t>Olá, notei um erro de faturamento relacionado à minha compra recente da impressora HP DeskJet 3755. Meu número de conta é &lt;acc_num&gt;. Você poderia, por favor, me ajudar a resolver este problema?</t>
        </is>
      </c>
      <c r="G249" s="1" t="inlineStr">
        <is>
          <t>Request</t>
        </is>
      </c>
      <c r="H249" s="1" t="inlineStr">
        <is>
          <t>Olá, obrigado por entrar em contato. Peço desculpas por qualquer inconveniente causado pelo erro de faturamento relacionado à sua compra da impressora HP DeskJet 3755. Fique tranquilo, estamos aqui para ajudar você. Encaminhei sua preocupação para a nossa equipe de faturamento, e eles entrarão em contato com você em breve para resolver essa questão. Se você tiver mais perguntas, sinta-se à vontade para nos avisar.</t>
        </is>
      </c>
      <c r="I249" s="1" t="inlineStr">
        <is>
          <t>medium</t>
        </is>
      </c>
      <c r="J249" s="1" t="inlineStr">
        <is>
          <t>['Billing Issue', 'Customer Service', 'Problem Resolution', 'Account Assistance', 'Product Support']</t>
        </is>
      </c>
      <c r="K249" s="1" t="inlineStr">
        <is>
          <t>pt</t>
        </is>
      </c>
      <c r="L249" s="1" t="n">
        <v>193</v>
      </c>
    </row>
    <row r="250" ht="16.5" customHeight="1">
      <c r="A250" s="1" t="n">
        <v>2228</v>
      </c>
      <c r="B250" s="3" t="inlineStr">
        <is>
          <t>Gerenciamento de Incidentes</t>
        </is>
      </c>
      <c r="C250" s="3" t="inlineStr">
        <is>
          <t>Gerenciamento de Problemas</t>
        </is>
      </c>
      <c r="D250" s="1" t="inlineStr">
        <is>
          <t>Solicitação de Suporte Urgente: Problema com Dell XPS 13 9310</t>
        </is>
      </c>
      <c r="E250" s="1" t="inlineStr">
        <is>
          <t>Product Support</t>
        </is>
      </c>
      <c r="F250" s="1" t="inlineStr">
        <is>
          <t>Caro Time de Suporte ao Cliente,
Estou escrevendo para trazer à sua atenção um problema recorrente que venho enfrentando com meu Dell XPS 13 9310. Após a última atualização do Windows, meu dispositivo começou a mostrar um erro de tela azul persistente, afetando significativamente seu desempenho e usabilidade.
Esse problema começou imediatamente após a instalação da nova atualização, com a tela azul aparecendo quase toda vez que inicio ou reinicio o computador. Além disso, o desempenho geral do dispositivo declinou notavelmente, com tarefas que deveriam ser simples levando agora consideravelmente mais tempo e aplicativos frequentemente travando.
Eu dependo muito deste laptop para trabalho e tarefas pessoais, tornando este problema particularmente urgente. Tentei algumas etapas básicas de solução de problemas, como reiniciar em modo seguro e procurar por novas atualizações do sistema, mas o problema persiste.
Por favor, aconselhe sobre possíveis soluções ou se este é um problema conhecido com uma correção atual em andamento. Entendendo o quão crítico este dispositivo é para minha rotina diária, eu apreciaria uma resposta rápida.
Obrigado pela sua atenção a este assunto.
Atenciosamente,
&lt;name&gt;
&lt;email_address&gt;
&lt;tel_num&gt;
&lt;acc_num&gt;</t>
        </is>
      </c>
      <c r="G250" s="1" t="inlineStr">
        <is>
          <t>Incident</t>
        </is>
      </c>
      <c r="H250" s="1" t="inlineStr">
        <is>
          <t>Caro &lt;name&gt;,
Obrigado por entrar em contato sobre o problema com seu Dell XPS 13 9310. Entendo como essa questão é frustrante e urgente, especialmente considerando sua dependência do dispositivo para tarefas diárias.
O erro de tela azul após uma atualização do Windows é um problema conhecido para alguns usuários do Dell XPS 13 9310. Aqui estão algumas etapas para ajudar a resolvê-lo:
1. **Atualizar Drivers**: Certifique-se de que todos os seus drivers de dispositivo, especialmente gráficos e chipset, estão atualizados. Você pode verificar atualizações usando o site de Suporte da Dell.
2. **Reverter Atualizações Recentes**: Tente desinstalar a atualização mais recente do Windows se o problema começou após a atualização. Vá para 'Configurações' &gt; 'Atualização e Segurança' &gt; 'Ver histórico de atualizações'.
3. **Restaurar Sistema**: Se possível, reverta seu sistema para um estado anterior à atualização usando a Restauração do Sistema.
4. **Entrar em Contato com o Suporte da Dell**: Se o problema persistir, considere entrar em contato com o suporte ao cliente da Dell para mais assistência, já que pode haver um patch ou correção que eles podem fornecer.
Se a solução de problemas técnicos for necessária, sinta-se à vontade para entrar em contato diretamente com nossa equipe de suporte técnico pelo &lt;tel_num&gt; para assistência em tempo real.
Espero que essas etapas ajudem a restaurar seu laptop ao desempenho ideal rapidamente. Por favor, avise-nos se precisar de mais ajuda.
Atenciosamente,
Equipe de Suporte ao Cliente</t>
        </is>
      </c>
      <c r="I250" s="1" t="inlineStr">
        <is>
          <t>high</t>
        </is>
      </c>
      <c r="J250" s="1" t="inlineStr">
        <is>
          <t>['Technical Support', 'Urgent Issue', 'Software Bug', 'Hardware Failure', 'Problem Resolution', 'System Crash', 'IT Support']</t>
        </is>
      </c>
      <c r="K250" s="1" t="inlineStr">
        <is>
          <t>pt</t>
        </is>
      </c>
      <c r="L250" s="1" t="n">
        <v>1252</v>
      </c>
    </row>
    <row r="251" ht="16.5" customHeight="1">
      <c r="A251" s="1" t="n">
        <v>2235</v>
      </c>
      <c r="B251" s="3" t="inlineStr">
        <is>
          <t>Solicitação de Serviço</t>
        </is>
      </c>
      <c r="C251" s="3" t="inlineStr">
        <is>
          <t>Gerenciamento Financeiro</t>
        </is>
      </c>
      <c r="D251" s="1" t="inlineStr">
        <is>
          <t>Solicitação de Upgrade para Office 365 Business</t>
        </is>
      </c>
      <c r="E251" s="1" t="inlineStr">
        <is>
          <t>Billing and Payments</t>
        </is>
      </c>
      <c r="F251" s="1" t="inlineStr">
        <is>
          <t>Caro Time de Suporte ao Cliente,
Espero que esta mensagem o encontre bem. Meu nome é &lt;name&gt;, e estou escrevendo para solicitar um upgrade para o Microsoft Office 365 Business Premium. Atualmente, estou inscrito no Microsoft Office 365, e gostaria de entender as opções de faturamento e as mudanças potenciais de custo que ocorrerão após o upgrade.
Você poderia fornecer informações detalhadas sobre os diferentes planos de faturamento disponíveis para o Office 365 Business Premium? Além disso, existem promoções ou descontos especiais disponíveis no momento? Entender a discriminação de encargos me ajudará a tomar uma decisão informada.
Além disso, se houver alguma mudança nas características ou serviços incluídos no plano Business Premium em comparação com minha assinatura atual, eu apreciaria suas informações sobre esse assunto também.
Aguardo sua resposta rápida. Sinta-se à vontade para me contatar pelo telefone &lt;tel_num&gt; caso precise de mais detalhes ou esclarecimentos da minha parte.
Obrigado pela sua assistência.
Atenciosamente,
&lt;name&gt;</t>
        </is>
      </c>
      <c r="G251" s="1" t="inlineStr">
        <is>
          <t>Request</t>
        </is>
      </c>
      <c r="H251" s="1" t="inlineStr">
        <is>
          <t>Caro &lt;name&gt;,
Obrigado por entrar em contato conosco sobre seu pedido de upgrade para o Microsoft Office 365 Business Premium.
Atualmente, existem várias opções de faturamento para o Office 365 Business Premium, incluindo planos de pagamento mensais e anuais. Detalhes específicos de faturamento e mudanças de custo dependem da sua região e dos termos da sua assinatura atual. Por favor, consulte nosso departamento de faturamento para números exatos.
Realizamos promoções especiais periodicamente. Eu recomendo verificar nosso site regularmente ou se inscrever em nosso boletim informativo para atualizações sobre descontos disponíveis.
Quanto aos recursos, o Office 365 Business Premium inclui serviços adicionais, como recursos avançados de segurança e ferramentas de gerenciamento empresarial em comparação com o plano padrão do Office 365.
Se você tiver mais perguntas ou precisar de mais orientações, sinta-se à vontade para entrar em contato conosco, ou você pode me contatar diretamente neste endereço.
Obrigado por nos escolher!
Atenciosamente,
Equipe de Suporte ao Cliente</t>
        </is>
      </c>
      <c r="I251" s="1" t="inlineStr">
        <is>
          <t>medium</t>
        </is>
      </c>
      <c r="J251" s="1" t="inlineStr">
        <is>
          <t>['Sales Inquiry', 'Billing Issue', 'Customer Service', 'Product Support', 'Urgent Issue', 'Technical Guidance']</t>
        </is>
      </c>
      <c r="K251" s="1" t="inlineStr">
        <is>
          <t>pt</t>
        </is>
      </c>
      <c r="L251" s="1" t="n">
        <v>1058</v>
      </c>
    </row>
    <row r="252" ht="16.5" customHeight="1">
      <c r="A252" s="1" t="n">
        <v>2291</v>
      </c>
      <c r="B252" s="3" t="inlineStr">
        <is>
          <t>Gerenciamento de Incidentes</t>
        </is>
      </c>
      <c r="C252" s="3" t="inlineStr">
        <is>
          <t>Gerenciamento de Disponibilidade</t>
        </is>
      </c>
      <c r="D252" s="1" t="inlineStr">
        <is>
          <t>Solicitação Urgente de Solução de Problemas para o Roteador Cisco ISR4331</t>
        </is>
      </c>
      <c r="E252" s="1" t="inlineStr">
        <is>
          <t>Technical Support</t>
        </is>
      </c>
      <c r="F252" s="1" t="inlineStr">
        <is>
          <t>Caro Suporte ao Cliente,
Estou escrevendo para relatar um problema de conectividade de rede que afeta nosso Roteador Cisco ISR4331. Este problema é crítico e requer solução de problemas urgente para restaurar a conectividade em nível empresarial. A questão interrompeu nossas operações diárias e estamos ansiosos para resolver isso o mais rápido possível. Por favor, oriente quais são os próximos passos para diagnosticar e corrigir o problema ou se a assistência remota está disponível.
Obrigado pela sua atenção imediata a este assunto.
Atenciosamente,
&lt;name&gt;</t>
        </is>
      </c>
      <c r="G252" s="1" t="inlineStr">
        <is>
          <t>Incident</t>
        </is>
      </c>
      <c r="H252" s="1" t="inlineStr">
        <is>
          <t>Assunto: Re: Solicitação Urgente de Solução de Problemas para o Roteador Cisco ISR4331
Caro &lt;name&gt;,
Obrigado por entrar em contato sobre o problema de rede com seu Roteador Cisco ISR4331. Para começar a solução de problemas, por favor, tente os seguintes passos:
1. Reinicie o roteador desligando-o, aguardando 30 segundos e ligando-o novamente.
2. Verifique todas as conexões físicas para garantir que estão seguras.
3. Acesse a interface de configuração do roteador e verifique as configurações de rede.
Se o problema persistir, por favor, forneça quaisquer mensagens de erro ou sequências de luzes LED exibidas. Podemos agendar assistência remota se uma análise mais aprofundada for necessária. Por favor, nos informe sua disponibilidade para uma sessão de suporte.
Entendemos a importância de resolver isso rapidamente e estamos aqui para ajudá-lo.
Atenciosamente,
Equipe de Suporte ao Cliente</t>
        </is>
      </c>
      <c r="I252" s="1" t="inlineStr">
        <is>
          <t>high</t>
        </is>
      </c>
      <c r="J252" s="1" t="inlineStr">
        <is>
          <t>['Technical Support', 'Network Issue', 'Urgent Issue', 'Problem Resolution', 'Service Disruption', 'IT Support']</t>
        </is>
      </c>
      <c r="K252" s="1" t="inlineStr">
        <is>
          <t>pt</t>
        </is>
      </c>
      <c r="L252" s="1" t="n">
        <v>565</v>
      </c>
    </row>
    <row r="253" ht="16.5" customHeight="1">
      <c r="A253" s="1" t="n">
        <v>2293</v>
      </c>
      <c r="B253" s="3" t="inlineStr">
        <is>
          <t>Solicitação de Serviço</t>
        </is>
      </c>
      <c r="C253" s="3" t="inlineStr">
        <is>
          <t>Gerenciamento de Problemas</t>
        </is>
      </c>
      <c r="D253" s="1" t="inlineStr">
        <is>
          <t>Consultoria de TI urgente necessária para problemas de servidor</t>
        </is>
      </c>
      <c r="E253" s="1" t="inlineStr">
        <is>
          <t>IT Support</t>
        </is>
      </c>
      <c r="F253" s="1" t="inlineStr">
        <is>
          <t>Caro Suporte ao Cliente,
Estou entrando em contato para solicitar assistência urgente com serviços de consultoria para nossos problemas de servidor em andamento. Também estamos interessados em ter uma auditoria do nosso sistema de tickets para identificar possíveis áreas de melhorias de desempenho. Por favor, entre em contato conosco assim que possível para agendar uma consulta. Estamos ansiosos para resolver esses problemas rapidamente. Sua cooperação e expertise são muito apreciadas.
Obrigado,
&lt;name&gt;
&lt;acc_num&gt;</t>
        </is>
      </c>
      <c r="G253" s="1" t="inlineStr">
        <is>
          <t>Request</t>
        </is>
      </c>
      <c r="H253" s="1" t="inlineStr">
        <is>
          <t>Assunto: Re: Consultoria de TI urgente necessária para problemas de servidor
Caro &lt;name&gt;,
Obrigado por entrar em contato conosco sobre seus problemas de servidor e interesse em uma auditoria do seu sistema de tickets. Entendemos a urgência e estamos aqui para assisti-lo prontamente. Nossa equipe entrará em contato com você em breve para agendar uma consulta e abordar suas preocupações de forma eficaz.
Agradecemos sua paciência e confiança em nossa expertise.
Atenciosamente,
Equipe de Suporte ao Cliente</t>
        </is>
      </c>
      <c r="I253" s="1" t="inlineStr">
        <is>
          <t>high</t>
        </is>
      </c>
      <c r="J253" s="1" t="inlineStr">
        <is>
          <t>['IT Support', 'Urgent Issue', 'Technical Guidance', 'Performance Tuning', 'System Maintenance', 'Problem Resolution']</t>
        </is>
      </c>
      <c r="K253" s="1" t="inlineStr">
        <is>
          <t>pt</t>
        </is>
      </c>
      <c r="L253" s="1" t="n">
        <v>519</v>
      </c>
    </row>
    <row r="254" ht="16.5" customHeight="1">
      <c r="A254" s="1" t="n">
        <v>2295</v>
      </c>
      <c r="B254" s="3" t="inlineStr">
        <is>
          <t>Gerenciamento de Incidentes</t>
        </is>
      </c>
      <c r="C254" s="3" t="inlineStr">
        <is>
          <t>Gerenciamento de Problemas</t>
        </is>
      </c>
      <c r="D254" s="1" t="inlineStr">
        <is>
          <t>Problemas intermitentes de conectividade com o roteador Cisco ISR4331</t>
        </is>
      </c>
      <c r="E254" s="1" t="inlineStr">
        <is>
          <t>IT Support</t>
        </is>
      </c>
      <c r="F254" s="1" t="inlineStr">
        <is>
          <t>O roteador ISR4331 está enfrentando problemas de conectividade, impactando o desempenho da rede e o acesso do usuário. Precisamos do seu suporte.</t>
        </is>
      </c>
      <c r="G254" s="1" t="inlineStr">
        <is>
          <t>Incident</t>
        </is>
      </c>
      <c r="H254" s="1" t="inlineStr">
        <is>
          <t>Obrigado por entrar em contato conosco. Registramos seu problema com o roteador Cisco ISR4331 e nossa equipe irá investigar prontamente.</t>
        </is>
      </c>
      <c r="I254" s="1" t="inlineStr">
        <is>
          <t>high</t>
        </is>
      </c>
      <c r="J254" s="1" t="inlineStr">
        <is>
          <t>['Technical Support', 'Network Issue', 'Service Disruption', 'Problem Resolution', 'Urgent Issue']</t>
        </is>
      </c>
      <c r="K254" s="1" t="inlineStr">
        <is>
          <t>pt</t>
        </is>
      </c>
      <c r="L254" s="1" t="n">
        <v>145</v>
      </c>
    </row>
    <row r="255" ht="16.5" customHeight="1">
      <c r="A255" s="1" t="n">
        <v>2296</v>
      </c>
      <c r="B255" s="3" t="inlineStr">
        <is>
          <t>Gerenciamento de Incidentes</t>
        </is>
      </c>
      <c r="C255" s="3" t="inlineStr">
        <is>
          <t>Gerenciamento de Problemas</t>
        </is>
      </c>
      <c r="D255" s="1" t="inlineStr">
        <is>
          <t>Incidente de Baixa Prioridade: Problemas de Conexão do Roteador Cisco ISR4331</t>
        </is>
      </c>
      <c r="E255" s="1" t="inlineStr">
        <is>
          <t>Technical Support</t>
        </is>
      </c>
      <c r="F255" s="1" t="inlineStr">
        <is>
          <t>Prezado Suporte ao Cliente de Serviços de TI,
Estou escrevendo para solicitar assistência em relação a um problema técnico com nosso Roteador Cisco ISR4331, que tem apresentado problemas de conexão intermitentes. Este assunto está atualmente categorizado como um incidente de baixa prioridade, uma vez que não impacta criticamente nossas operações diárias, mas requer resolução para evitar possíveis escalonamentos.
Nossa equipe de rede observou que as interrupções de conexão ocorrem em intervalos aleatórios, e, embora soluções temporárias tenham sido tentadas, o problema persiste. Estamos contando com sua experiência para fornecer uma solução mais permanente.
Por favor, aconselhe-nos sobre os próximos passos que devemos seguir para solucionar este problema mais a fundo. Se forem necessárias quaisquer ajustes de configuração ou inspeções de hardware de nossa parte, gentilmente forneça instruções detalhadas.
Sinta-se à vontade para nos contatar pelo &lt;tel_num&gt; ou por e-mail se informações adicionais forem necessárias. Aguardamos sua pronta assistência sobre este assunto para restaurar o desempenho ideal da rede.
Obrigado pela sua ajuda.
Atenciosamente,
&lt;name&gt;
&lt;acc_num&gt;</t>
        </is>
      </c>
      <c r="G255" s="1" t="inlineStr">
        <is>
          <t>Incident</t>
        </is>
      </c>
      <c r="H255" s="1" t="inlineStr">
        <is>
          <t>Prezado(a) &lt;name&gt;,
Obrigado por entrar em contato conosco a respeito dos problemas de conexão com seu Roteador Cisco ISR4331. Entendemos a importância de resolver isso para manter o desempenho ideal da rede.
Para começar a solução de problemas, por favor, tente os seguintes passos:
1. Verifique se todas as conexões físicas estão seguras.
2. Verifique a versão do firmware do roteador e atualize se uma atualização estiver disponível.
3. Revise os logs do roteador em busca de mensagens de erro que possam fornecer mais detalhes.
4. Reinicie o roteador para renovar sua conexão.
Se esses passos não resolverem o problema, por favor, reúna as seguintes informações para uma análise mais aprofundada:
- Padrões de ocorrência das interrupções de conexão.
- Quaisquer atividades específicas ou horários de uso em que as interrupções ocorrem.
- Mudanças recentes na configuração de rede ou nas configurações do roteador.
Assim que você tiver essas informações, entre em contato conosco novamente pelo &lt;tel_num&gt; ou por e-mail para obter orientação adicional. Podemos então avaliar se ajustes de configuração ou inspeções de hardware são necessários.
Sua atenção rápida à solução de problemas inicial nos ajudará a acelerar a busca por uma solução permanente.
Atenciosamente,
Suporte ao Cliente de Serviços de TI</t>
        </is>
      </c>
      <c r="I255" s="1" t="inlineStr">
        <is>
          <t>low</t>
        </is>
      </c>
      <c r="J255" s="1" t="inlineStr">
        <is>
          <t>['Technical Support', 'Network Issue', 'Problem Resolution', 'System Maintenance', 'Service Disruption', 'Technical Guidance']</t>
        </is>
      </c>
      <c r="K255" s="1" t="inlineStr">
        <is>
          <t>pt</t>
        </is>
      </c>
      <c r="L255" s="1" t="n">
        <v>1187</v>
      </c>
    </row>
    <row r="256" ht="16.5" customHeight="1">
      <c r="A256" s="1" t="n">
        <v>2307</v>
      </c>
      <c r="B256" s="3" t="inlineStr">
        <is>
          <t>Gerenciamento Financeiro</t>
        </is>
      </c>
      <c r="C256" s="3" t="inlineStr">
        <is>
          <t>Gerenciamento de Incidentes</t>
        </is>
      </c>
      <c r="D256" s="1" t="inlineStr">
        <is>
          <t>Pedido para Abordar Discrepâncias na Declaração de Cobrança</t>
        </is>
      </c>
      <c r="E256" s="1" t="inlineStr">
        <is>
          <t>Billing and Payments</t>
        </is>
      </c>
      <c r="F256" s="1" t="inlineStr">
        <is>
          <t>Olá Suporte ao Cliente,
Espero que esta mensagem o encontre bem. Estou escrevendo para solicitar uma revisão da minha declaração de cobrança em relação à minha assinatura do Microsoft Office 365. Notei algumas discrepâncias na última cobrança para o número da conta &lt;acc_num&gt;. Parece que há taxas adicionais que não foram divulgadas anteriormente. Por favor, ajude a esclarecer esta questão e garanta que quaisquer cobranças não autorizadas sejam revertidas. Além disso, por favor, confirme os termos atuais da assinatura e a discriminação de custos. Você pode entrar em contato comigo diretamente pelo &lt;tel_num&gt;.
Obrigado pela sua assistência rápida.
Atenciosamente,
&lt;name&gt;</t>
        </is>
      </c>
      <c r="G256" s="1" t="inlineStr">
        <is>
          <t>Request</t>
        </is>
      </c>
      <c r="H256" s="1" t="inlineStr">
        <is>
          <t>Assunto: Re: Pedido para Abordar Discrepâncias na Declaração de Cobrança
Olá &lt;name&gt;,
Obrigado por entrar em contato e trazer isso à nossa atenção. Iremos revisar prontamente a sua declaração de cobrança em relação à sua assinatura do Microsoft Office 365. Nossa equipe irá investigar as taxas adicionais na conta &lt;acc_num&gt; e confirmar os termos atuais da sua assinatura e discriminação de custos. Quaisquer cobranças não autorizadas, se encontradas, serão revertidas. Entraremos em contato em breve com uma atualização.
Para mais assistência, sinta-se à vontade para entrar em contato conosco.
Atenciosamente,
Suporte ao Cliente</t>
        </is>
      </c>
      <c r="I256" s="1" t="inlineStr">
        <is>
          <t>medium</t>
        </is>
      </c>
      <c r="J256" s="1" t="inlineStr">
        <is>
          <t>['Customer Service', 'Billing Issue', 'Payment Processing', 'Account Assistance', 'Refund Request']</t>
        </is>
      </c>
      <c r="K256" s="1" t="inlineStr">
        <is>
          <t>pt</t>
        </is>
      </c>
      <c r="L256" s="1" t="n">
        <v>678</v>
      </c>
    </row>
    <row r="257" ht="16.5" customHeight="1">
      <c r="A257" s="1" t="n">
        <v>2308</v>
      </c>
      <c r="B257" s="3" t="inlineStr">
        <is>
          <t>Gerenciamento de Incidentes</t>
        </is>
      </c>
      <c r="C257" s="3" t="inlineStr">
        <is>
          <t>Gerenciamento de Disponibilidade</t>
        </is>
      </c>
      <c r="D257" s="1" t="inlineStr">
        <is>
          <t>Urgente: Interrupção de Rede</t>
        </is>
      </c>
      <c r="E257" s="1" t="inlineStr">
        <is>
          <t>Technical Support</t>
        </is>
      </c>
      <c r="F257" s="1" t="inlineStr">
        <is>
          <t>Caro Time de Suporte ao Cliente,
Estou escrevendo para relatar um incidente de alta prioridade envolvendo o Roteador Cisco ISR4331, que está causando interrupções significativas na rede dentro da nossa organização. Este problema está afetando severamente nossas operações, e precisamos de solução e resolução imediatas para restaurar a funcionalidade da nossa rede.
Nossa equipe notou pela primeira vez a interrupção na manhã de 10 de outubro de 2023, quando surgiram problemas de conectividade afetando nossos aplicativos de negócios críticos e comunicações. Isso resultou em um tempo considerável de inatividade, afetando não apenas as comunicações internas, mas também nossos serviços voltados para o cliente.
O roteador em questão faz parte de um segmento de rede vital e está atualmente exibindo códigos de erro de diagnóstico que são desconhecidos para nossa equipe interna. Tentamos vários procedimentos padrão de solução de problemas sem sucesso. Dado o impacto em nossas operações, solicitamos que sua equipe especializada examine esse assunto o mais rápido possível.
Por favor, informe-nos os próximos passos para facilitar um diagnóstico e resolução expedidos. Você pode me contatar em &lt;tel_num&gt; ou por e-mail na sua primeira oportunidade. Sua rápida atenção a este assunto é muito apreciada, pois impacta diretamente nossas operações diárias.
Obrigado pela sua assistência.
Atenciosamente,
&lt;name&gt;
Gerente de TI
&lt;company&gt;
Contato: &lt;tel_num&gt;</t>
        </is>
      </c>
      <c r="G257" s="1" t="inlineStr">
        <is>
          <t>Incident</t>
        </is>
      </c>
      <c r="H257" s="1" t="inlineStr">
        <is>
          <t>Caro &lt;name&gt;,
Obrigado por entrar em contato para relatar o incidente de interrupção da rede envolvendo seu Roteador Cisco ISR4331. Entendemos a urgência e o impacto em suas operações.
Nossa equipe técnica começará a investigar este problema imediatamente. Enquanto isso, por favor, assegure-se de que todos os logs do roteador estejam acessíveis e que quaisquer códigos de erro específicos sejam anotados, pois eles podem ser importantes para o diagnóstico.
Entraremos em contato com você em breve com mais instruções ou para coletar mais detalhes. Você pode esperar ouvir da nossa equipe em breve. Fique tranquilo, estamos dedicados a restaurar a funcionalidade da sua rede o mais rápido possível.
Obrigado pela sua paciência e cooperação.
Atenciosamente,
Equipe de Suporte ao Cliente</t>
        </is>
      </c>
      <c r="I257" s="1" t="inlineStr">
        <is>
          <t>high</t>
        </is>
      </c>
      <c r="J257" s="1" t="inlineStr">
        <is>
          <t>['Service Disruption', 'Network Issue', 'Incident Report', 'Urgent Issue', 'Technical Support', 'Problem Resolution']</t>
        </is>
      </c>
      <c r="K257" s="1" t="inlineStr">
        <is>
          <t>pt</t>
        </is>
      </c>
      <c r="L257" s="1" t="n">
        <v>1458</v>
      </c>
    </row>
    <row r="258" ht="16.5" customHeight="1">
      <c r="A258" s="1" t="n">
        <v>2319</v>
      </c>
      <c r="B258" s="3" t="inlineStr">
        <is>
          <t>Gerenciamento de Incidentes</t>
        </is>
      </c>
      <c r="C258" s="3" t="inlineStr">
        <is>
          <t>Gerenciamento de Disponibilidade</t>
        </is>
      </c>
      <c r="D258" s="1" t="inlineStr">
        <is>
          <t>Interrupção Crítica de Serviço</t>
        </is>
      </c>
      <c r="E258" s="1" t="inlineStr">
        <is>
          <t>Service Outages and Maintenance</t>
        </is>
      </c>
      <c r="F258" s="1" t="inlineStr">
        <is>
          <t>Caro Time de Suporte de Serviços de TI, Estou escrevendo para notificá-los sobre uma interrupção de serviço detectada, causando problemas críticos de inatividade com o Serviço de Gerenciamento da AWS. Essa interrupção impactou consideravelmente nossas operações, e precisamos de uma inspeção urgente e resolução da infraestrutura de nuvem afetada. A inatividade interrompeu nossa capacidade de gerenciar recursos em nuvem, impactando tanto o desempenho quanto a produtividade. Como essa situação é crítica, por favor, priorize nosso pedido e envolva as equipes necessárias para diagnosticar e mitigar o problema rapidamente. Além disso, agradeceríamos atualizações regulares sobre o progresso feito. Por favor, entre em contato com &lt;name&gt; em nosso escritório via e-mail ou contate-o diretamente pelo &lt;tel_num&gt;. Nosso número de conta é &lt;acc_num&gt;. Obrigado pela sua atenção imediata a este assunto. Atenciosamente, &lt;name&gt;</t>
        </is>
      </c>
      <c r="G258" s="1" t="inlineStr">
        <is>
          <t>Incident</t>
        </is>
      </c>
      <c r="H258" s="1" t="inlineStr">
        <is>
          <t>Assunto: Re: Interrupção Crítica de Serviço
Caro &lt;name&gt;,
Obrigado por entrar em contato. Entendemos a urgência da interrupção do Serviço de Gerenciamento da AWS e seu impacto em suas operações. Nossa equipe está ativamente investigando o problema e trabalhando em estreita colaboração com especialistas da AWS para restaurar seus serviços. Estamos priorizando seu pedido e o manteremos informado sobre o progresso. Para necessidades imediatas, continue a entrar em contato via e-mail ou entre em contato diretamente com nossa equipe pelo &lt;tel_num&gt;. Sua conta, &lt;acc_num&gt;, está anotada para referência.
Obrigado pela sua paciência e compreensão.
Atenciosamente,
Equipe de Suporte de Serviços de TI</t>
        </is>
      </c>
      <c r="I258" s="1" t="inlineStr">
        <is>
          <t>high</t>
        </is>
      </c>
      <c r="J258" s="1" t="inlineStr">
        <is>
          <t>['Service Disruption', 'Critical Failure', 'Incident Report', 'Technical Support', 'Urgent Issue', 'Problem Resolution']</t>
        </is>
      </c>
      <c r="K258" s="1" t="inlineStr">
        <is>
          <t>pt</t>
        </is>
      </c>
      <c r="L258" s="1" t="n">
        <v>919</v>
      </c>
    </row>
    <row r="259" ht="16.5" customHeight="1">
      <c r="A259" s="1" t="n">
        <v>2338</v>
      </c>
      <c r="B259" s="3" t="inlineStr">
        <is>
          <t>Solicitação de Serviço</t>
        </is>
      </c>
      <c r="C259" s="3" t="inlineStr">
        <is>
          <t>Gerenciamento Financeiro</t>
        </is>
      </c>
      <c r="D259" s="1" t="inlineStr">
        <is>
          <t>Solicitação de Assistência para Alteração de Configuração da AWS</t>
        </is>
      </c>
      <c r="E259" s="1" t="inlineStr">
        <is>
          <t>IT Support</t>
        </is>
      </c>
      <c r="F259" s="1" t="inlineStr">
        <is>
          <t>Prezado Time de Suporte ao Cliente,
Estou escrevendo para solicitar assistência com uma alteração de configuração para otimizar os custos da infraestrutura da AWS e melhorar a eficiência da implantação na nuvem. Atualmente, estamos utilizando seu Serviço de Gerenciamento da AWS e identificamos melhorias potenciais que podem beneficiar muito nossas operações. Você poderia nos aconselhar sobre os melhores passos para iniciar esse processo? Sua resposta rápida seria muito apreciada.
Obrigado pelo seu contínuo apoio.
Atenciosamente,
&lt;name&gt;</t>
        </is>
      </c>
      <c r="G259" s="1" t="inlineStr">
        <is>
          <t>Change</t>
        </is>
      </c>
      <c r="H259" s="1" t="inlineStr">
        <is>
          <t>Prezado &lt;name&gt;,
Obrigado por entrar em contato sobre a alteração da configuração da AWS. Para otimizar seus custos e eficiência na AWS, recomendamos começar revisando a infraestrutura existente usando o AWS Cost Explorer e o Trusted Advisor. Uma vez identificadas as áreas de melhoria, considere implementar Instâncias Reservadas ou Planos de Economia para economias de custos. Para aumentar a eficiência da implantação, o AWS Elastic Beanstalk ou o EC2 Auto Scaling podem ser ferramentas valiosas.
Por favor, forneça detalhes sobre recursos específicos ou áreas que você deseja focar, e podemos oferecer recomendações mais personalizadas. Nos avise se você precisar de assistência para acessar alguma dessas ferramentas.
Atenciosamente,
Time de Suporte ao Cliente</t>
        </is>
      </c>
      <c r="I259" s="1" t="inlineStr">
        <is>
          <t>high</t>
        </is>
      </c>
      <c r="J259" s="1" t="inlineStr">
        <is>
          <t>['Technical Support', 'Product Support', 'General Inquiry', 'Performance Tuning', 'Incident Report', 'Technical Guidance']</t>
        </is>
      </c>
      <c r="K259" s="1" t="inlineStr">
        <is>
          <t>pt</t>
        </is>
      </c>
      <c r="L259" s="1" t="n">
        <v>544</v>
      </c>
    </row>
    <row r="260" ht="16.5" customHeight="1">
      <c r="A260" s="1" t="n">
        <v>2339</v>
      </c>
      <c r="B260" s="3" t="inlineStr">
        <is>
          <t>Solicitação de Serviço</t>
        </is>
      </c>
      <c r="C260" s="3" t="inlineStr">
        <is>
          <t>Gerenciamento de Incidentes</t>
        </is>
      </c>
      <c r="D260" s="1" t="inlineStr">
        <is>
          <t>Urgente: Dificuldade com a Configuração da Impressora HP LaserJet Pro M15w</t>
        </is>
      </c>
      <c r="E260" s="1" t="inlineStr">
        <is>
          <t>Product Support</t>
        </is>
      </c>
      <c r="F260" s="1" t="inlineStr">
        <is>
          <t>Olá, Equipe de Suporte, estou enfrentando dificuldades com a configuração da minha impressora HP LaserJet Pro M15w. Ela não está conectando como deveria. Poderiam me orientar sobre como solucionar esse problema? Agradeço, &lt;name&gt;, &lt;tel_num&gt;, &lt;acc_num&gt;.</t>
        </is>
      </c>
      <c r="G260" s="1" t="inlineStr">
        <is>
          <t>Incident</t>
        </is>
      </c>
      <c r="H260" s="1" t="inlineStr">
        <is>
          <t>Prezado &lt;name&gt;,
Agradecemos por entrar em contato conosco. Por favor, verifique se a impressora está ligada e se encontra dentro do alcance da sua rede Wi-Fi. Avalie as configurações da rede e reinicie tanto a impressora quanto o roteador. Se o problema continuar, não hesite em nos ligar pelo &lt;tel_num&gt; para mais suporte.
Cordialmente,
Equipe de Suporte ao Cliente</t>
        </is>
      </c>
      <c r="I260" s="1" t="inlineStr">
        <is>
          <t>low</t>
        </is>
      </c>
      <c r="J260" s="1" t="inlineStr">
        <is>
          <t>['Technical Support', 'Product Support', 'Hardware Failure', 'Problem Resolution']</t>
        </is>
      </c>
      <c r="K260" s="1" t="inlineStr">
        <is>
          <t>pt</t>
        </is>
      </c>
      <c r="L260" s="1" t="n">
        <v>251</v>
      </c>
    </row>
    <row r="261" ht="16.5" customHeight="1">
      <c r="A261" s="1" t="n">
        <v>2346</v>
      </c>
      <c r="B261" s="3" t="inlineStr">
        <is>
          <t>Solicitação de Serviço</t>
        </is>
      </c>
      <c r="C261" s="3" t="inlineStr">
        <is>
          <t>Gerenciamento de Ativos de TI</t>
        </is>
      </c>
      <c r="D261" s="1" t="inlineStr">
        <is>
          <t>Solicitação de Troca Devido a Problemas de Conectividade</t>
        </is>
      </c>
      <c r="E261" s="1" t="inlineStr">
        <is>
          <t>Returns and Exchanges</t>
        </is>
      </c>
      <c r="F261" s="1" t="inlineStr">
        <is>
          <t>Caro Suporte da Loja Online de Tecnologia,
Espero que esta mensagem o encontre bem. Recentemente, comprei uma impressora Epson EcoTank ET-4760 em sua loja sob o número da conta &lt;acc_num&gt;. Infelizmente, estou enfrentando problemas de compatibilidade com minha rede sem fio, tornando impossível conectar a impressora. Esse problema tornou a impressora inutilizável para minha configuração atual.
Como um cliente fiel, solicito gentilmente uma troca por um modelo de impressora compatível ou conselhos sobre soluções alternativas. Por favor, informe-me sobre os próximos passos em relação ao processo de troca, bem como quaisquer instruções de envio.
Obrigado pela sua compreensão e rápida atenção ao meu pedido.
Atenciosamente,
&lt;name&gt;
&lt;tel_num&gt;</t>
        </is>
      </c>
      <c r="G261" s="1" t="inlineStr">
        <is>
          <t>Change</t>
        </is>
      </c>
      <c r="H261" s="1" t="inlineStr">
        <is>
          <t>Caro &lt;name&gt;,
Obrigado por entrar em contato. Pedimos desculpas pelo inconveniente com a Epson EcoTank ET-4760. Iremos processar uma troca por um modelo compatível. Por favor, certifique-se de que a embalagem original e todos os acessórios estão incluídos ao devolver a impressora. Cobriremos os custos de envio para a troca. Nossa equipe de suporte entrará em contato com você em breve pelo &lt;tel_num&gt; com mais instruções e detalhes sobre alternativas compatíveis. Sua satisfação é importante para nós.
Atenciosamente,
Suporte da Loja Online de Tecnologia</t>
        </is>
      </c>
      <c r="I261" s="1" t="inlineStr">
        <is>
          <t>low</t>
        </is>
      </c>
      <c r="J261" s="1" t="inlineStr">
        <is>
          <t>['Returns and Exchanges', 'Product Support', 'Technical Support', 'Service Recovery', 'Account Assistance', 'General Inquiry']</t>
        </is>
      </c>
      <c r="K261" s="1" t="inlineStr">
        <is>
          <t>pt</t>
        </is>
      </c>
      <c r="L261" s="1" t="n">
        <v>747</v>
      </c>
    </row>
    <row r="262" ht="16.5" customHeight="1">
      <c r="A262" s="1" t="n">
        <v>2352</v>
      </c>
      <c r="B262" s="3" t="inlineStr">
        <is>
          <t>Gerenciamento de Incidentes</t>
        </is>
      </c>
      <c r="C262" s="3" t="inlineStr">
        <is>
          <t>Gerenciamento de Capacidade</t>
        </is>
      </c>
      <c r="D262" s="1" t="inlineStr">
        <is>
          <t>Problemas de Desempenho de Rede com o Roteador Cisco ISR4331</t>
        </is>
      </c>
      <c r="E262" s="1" t="inlineStr">
        <is>
          <t>Technical Support</t>
        </is>
      </c>
      <c r="F262" s="1" t="inlineStr">
        <is>
          <t>Caro Time de Suporte ao Cliente,
Espero que esta mensagem o encontre bem. Estou escrevendo para informar sobre um problema crítico que estamos enfrentando com o Roteador Cisco ISR4331 em nosso ambiente de pequeno escritório. Nas últimas semanas, temos enfrentado problemas significativos de desempenho de rede e um padrão preocupante de quedas de conectividade WiFi. Os roteadores parecem não conseguir manter uma conexão estável, levando a interrupções esporádicas na rede.
Nosso escritório depende fortemente de uma conectividade de internet consistente para realizar as operações diárias, interagir com clientes e apoiar as capacidades de trabalho remoto. A instabilidade na nossa configuração de rede atual, devido à degradação do desempenho deste roteador, resulta em frequentes interrupções de serviço, o que, em última análise, prejudica a produtividade e afeta os processos de negócios como um todo.
Tentamos ações de remediação, como reiniciar o dispositivo, atualizar o firmware e ajustar as configurações de configuração, todas as quais não corrigiram o problema. Nossa equipe interna de TI realizou diagnósticos minuciosos, descartando interferências externas ou falhas em outros componentes da rede. Tudo aponta para um problema com os roteadores em si.
Dada a importância da confiabilidade da rede para nossas operações, agradeceríamos se você pudesse acelerar a revisão desse assunto. Ter nosso Roteador Cisco ISR4331 em condição funcional ideal é fundamental para a eficiência do nosso escritório. Gostaríamos de orientações sobre passos avançados de solução de problemas que possamos ter negligenciado ou se o reparo ou substituição é recomendável.
Gentilmente, forneça-nos quaisquer soluções possíveis ou organize uma consulta de suporte técnico na sua primeira conveniência. Agradecendo pela sua atenção rápida a este problema, aguardo sua rápida resposta.
Obrigado e melhores cumprimentos,
&lt;name&gt;
Gerente de Operações Técnicas
&lt;name&gt; Solutions Inc.
&lt;tel_num&gt;
&lt;email_address&gt;</t>
        </is>
      </c>
      <c r="G262" s="1" t="inlineStr">
        <is>
          <t>Incident</t>
        </is>
      </c>
      <c r="H262" s="1" t="inlineStr">
        <is>
          <t>Caro &lt;name&gt;,
Obrigado por entrar em contato conosco sobre os problemas de desempenho da rede com seu Roteador Cisco ISR4331. Entendemos a importância de manter uma conexão estável para suas operações e pedimos sinceras desculpas pelo inconveniente causado.
Para acelerar o processo de resolução, recomendo os seguintes passos avançados de solução de problemas:
1. Verifique novamente a fonte de energia para garantir que esteja estável e não esteja causando desconexões intermitentes.
2. Reavalie o ambiente do roteador para garantir ventilação adequada, já que o superaquecimento pode afetar o desempenho.
3. Verifique se há alguma atividade ou tráfego incomum que poderia estar impactando o desempenho do roteador.
Se esses passos não resolverem o problema, isso pode indicar um problema de hardware mais sério. Vou organizar uma consulta de suporte técnico com um de nossos especialistas para diagnosticar melhor o problema. Entrarei em contato em breve para confirmar um horário conveniente para essa consulta.
Enquanto isso, você poderia confirmar sua versão atual do firmware e quaisquer mensagens de erro específicas que você possa ter encontrado? Essas informações seriam úteis para nossa equipe se preparar para a consulta.
Por favor, fique tranquilo que estamos priorizando este assunto para restaurar a estabilidade de sua rede o mais rápido possível.
Obrigado pela sua paciência e compreensão.
Atenciosamente,
&lt;name&gt;
Equipe de Suporte ao Cliente</t>
        </is>
      </c>
      <c r="I262" s="1" t="inlineStr">
        <is>
          <t>high</t>
        </is>
      </c>
      <c r="J262" s="1" t="inlineStr">
        <is>
          <t>['Network Issue', 'Technical Support', 'Service Disruption', 'Problem Resolution', 'Hardware Failure', 'Urgent Issue']</t>
        </is>
      </c>
      <c r="K262" s="1" t="inlineStr">
        <is>
          <t>pt</t>
        </is>
      </c>
      <c r="L262" s="1" t="n">
        <v>2001</v>
      </c>
    </row>
    <row r="263" ht="16.5" customHeight="1">
      <c r="A263" s="1" t="n">
        <v>2360</v>
      </c>
      <c r="B263" s="3" t="inlineStr">
        <is>
          <t>Gerenciamento de Incidentes</t>
        </is>
      </c>
      <c r="C263" s="3" t="inlineStr">
        <is>
          <t>Gerenciamento de Problemas</t>
        </is>
      </c>
      <c r="D263" s="1" t="inlineStr">
        <is>
          <t>Problemas de Conectividade: Impressora HP DeskJet 3755</t>
        </is>
      </c>
      <c r="E263" s="1" t="inlineStr">
        <is>
          <t>IT Support</t>
        </is>
      </c>
      <c r="F263" s="1" t="inlineStr">
        <is>
          <t>Caro Suporte ao Cliente,
Estou escrevendo para relatar um problema contínuo com minha impressora HP DeskJet 3755, que freqüentemente enfrenta problemas de conectividade Wi-Fi. Apesar de várias tentativas de solucionar o problema, a impressora frequentemente desconecta da minha rede sem fio, resultando em capacidades de impressão esporádicas. Este problema tem sido bastante frustrante, pois interrompe meu fluxo de trabalho e leva a ineficiências ao tentar imprimir documentos importantes.
Assegurei-me de que as configurações da rede sem fio estão configuradas corretamente e que a impressora está dentro do alcance do roteador. Além disso, realizei atualizações de firmware e redefini as configurações da impressora, mas o problema de conectividade persiste. Agradeceria sua orientação sobre como resolver esse problema ou se há necessidade de uma substituição ou reparo do produto sob garantia.
Por favor, me avise se houver mais etapas que eu deva seguir ou se informações adicionais forem necessárias para agilizar o processo de resolução. Obrigado pela sua assistência.
Atenciosamente,
&lt;name&gt;</t>
        </is>
      </c>
      <c r="G263" s="1" t="inlineStr">
        <is>
          <t>Incident</t>
        </is>
      </c>
      <c r="H263" s="1" t="inlineStr">
        <is>
          <t>Caro &lt;name&gt;,
Obrigado por entrar em contato sobre os problemas de conectividade com sua impressora HP DeskJet 3755. Eu entendo quão disruptivo isso pode ser para seu fluxo de trabalho.
Para ajudar a resolver esse problema, por favor, tente as seguintes etapas:
1. Reinicie sua impressora e roteador desligando-os por cerca de 10 segundos antes de ligá-los novamente.
2. Verifique se sua impressora está conectada à rede sem fio correta.
3. Verifique se há fontes de interferência próximas à impressora, como micro-ondas ou telefones sem fio.
4. Use a ferramenta HP Print and Scan Doctor para diagnosticar e solucionar problemas de conectividade.
5. Defina um endereço IP estático para a impressora para evitar desconexões frequentes.
Se essas etapas não resolverem o problema, pode ser benéfico considerar opções de serviço. Por favor, verifique se seu produto ainda está sob garantia para um reparo ou substituição.
Sinta-se à vontade para entrar em contato se mais informações ou assistência adicional forem necessárias.
Atenciosamente,
Equipe de Suporte ao Cliente</t>
        </is>
      </c>
      <c r="I263" s="1" t="inlineStr">
        <is>
          <t>low</t>
        </is>
      </c>
      <c r="J263" s="1" t="inlineStr">
        <is>
          <t>['Technical Support', 'Product Support', 'Network Issue', 'Hardware Failure', 'Service Recovery', 'Warranty Claim', 'Problem Resolution']</t>
        </is>
      </c>
      <c r="K263" s="1" t="inlineStr">
        <is>
          <t>pt</t>
        </is>
      </c>
      <c r="L263" s="1" t="n">
        <v>1105</v>
      </c>
    </row>
    <row r="264" ht="16.5" customHeight="1">
      <c r="A264" s="1" t="n">
        <v>2361</v>
      </c>
      <c r="B264" s="3" t="inlineStr">
        <is>
          <t>Gerenciamento de Incidentes</t>
        </is>
      </c>
      <c r="C264" s="3" t="inlineStr">
        <is>
          <t>Gerenciamento de Ativos de TI</t>
        </is>
      </c>
      <c r="D264" s="1" t="inlineStr">
        <is>
          <t>Urgente: Problema de Energia do Laptop</t>
        </is>
      </c>
      <c r="E264" s="1" t="inlineStr">
        <is>
          <t>Technical Support</t>
        </is>
      </c>
      <c r="F264" s="1" t="inlineStr">
        <is>
          <t>Caro Suporte ao Cliente,
Recentemente comprei um Dell XPS 13 9310 na sua loja online. Infelizmente, ele não está ligando. Por favor, forneça uma solução urgente para resolver este problema rapidamente.
Obrigado,
&lt;name&gt;</t>
        </is>
      </c>
      <c r="G264" s="1" t="inlineStr">
        <is>
          <t>Incident</t>
        </is>
      </c>
      <c r="H264" s="1" t="inlineStr">
        <is>
          <t>Caro &lt;name&gt;, por favor, tente reiniciar o laptop desconectando todos os periféricos e segurando o botão de energia por 30 segundos. Se o problema persistir, entre em contato com nosso suporte pelo &lt;tel_num&gt; para mais assistência.</t>
        </is>
      </c>
      <c r="I264" s="1" t="inlineStr">
        <is>
          <t>high</t>
        </is>
      </c>
      <c r="J264" s="1" t="inlineStr">
        <is>
          <t>['Technical Support', 'Urgent Issue', 'Hardware Failure', 'Product Support']</t>
        </is>
      </c>
      <c r="K264" s="1" t="inlineStr">
        <is>
          <t>pt</t>
        </is>
      </c>
      <c r="L264" s="1" t="n">
        <v>220</v>
      </c>
    </row>
    <row r="265" ht="16.5" customHeight="1">
      <c r="A265" s="1" t="n">
        <v>2362</v>
      </c>
      <c r="B265" s="3" t="inlineStr">
        <is>
          <t>Gerenciamento de Incidentes</t>
        </is>
      </c>
      <c r="C265" s="3" t="inlineStr">
        <is>
          <t>Gerenciamento de Problemas</t>
        </is>
      </c>
      <c r="D265" s="1" t="inlineStr">
        <is>
          <t>Urgente: Necessário solucionar falhas do Google Chrome 102.0</t>
        </is>
      </c>
      <c r="E265" s="1" t="inlineStr">
        <is>
          <t>Technical Support</t>
        </is>
      </c>
      <c r="F265" s="1" t="inlineStr">
        <is>
          <t>Caro Atendimento ao Cliente da Tech Online Store,
Estou escrevendo para trazer à sua atenção um problema persistente que estou enfrentando com o Google Chrome 102.0, que comprei em sua loja. O navegador trava constantemente sempre que tento carregar qualquer site, interrompendo significativamente minhas tarefas de trabalho urgentes. Como resultado, minha produtividade é severamente afetada e tenho dificuldade em completar minhas tarefas diárias a tempo.
Já tentei várias etapas de solução de problemas, como limpar o cache, desativar extensões e reinstalar o navegador, mas, infelizmente, nenhuma dessas soluções funcionou.
Dada a urgência deste assunto, solicito gentilmente uma resolução ou substituição acelerada. Por favor, me avise quais são os próximos passos assim que possível, pois meu trabalho continua sendo dificultado por esse problema.
Obrigado pelo seu rápido suporte neste assunto.
Atenciosamente,
&lt;name&gt;
Número de Contato: &lt;tel_num&gt;
Número do Pedido: &lt;order_num&gt;</t>
        </is>
      </c>
      <c r="G265" s="1" t="inlineStr">
        <is>
          <t>Incident</t>
        </is>
      </c>
      <c r="H265" s="1" t="inlineStr">
        <is>
          <t>Caro &lt;name&gt;,
Obrigado por entrar em contato sobre os problemas que você está enfrentando com o Google Chrome 102.0. Pedimos desculpas pelo inconveniente que isso causou.
Para ajudá-lo rapidamente, por favor, verifique se seu sistema atende a todos os requisitos necessários para rodar esta versão do Chrome. Também recomendamos que você atualize seu sistema operacional e drivers de gráficos, já que software desatualizado pode muitas vezes causar problemas de estabilidade.
Se o problema persistir, forneça informações adicionais, como mensagens de erro ou logs de falha, o que poderia nos ajudar a identificar o problema.
Alternativamente, se uma substituição for necessária, podemos processar o pedido. Por favor, confirme sua decisão, para que possamos prosseguir de acordo.
Obrigado pela sua paciência e compreensão. Estamos comprometidos em resolver isso rapidamente.
Melhores cumprimentos,
Atendimento ao Cliente da Tech Online Store</t>
        </is>
      </c>
      <c r="I265" s="1" t="inlineStr">
        <is>
          <t>high</t>
        </is>
      </c>
      <c r="J265" s="1" t="inlineStr">
        <is>
          <t>['Technical Support', 'Software Bug', 'Product Support', 'Urgent Issue', 'Problem Resolution', 'Service Recovery']</t>
        </is>
      </c>
      <c r="K265" s="1" t="inlineStr">
        <is>
          <t>pt</t>
        </is>
      </c>
      <c r="L265" s="1" t="n">
        <v>990</v>
      </c>
    </row>
    <row r="266" ht="16.5" customHeight="1">
      <c r="A266" s="1" t="n">
        <v>2368</v>
      </c>
      <c r="B266" s="3" t="inlineStr">
        <is>
          <t>Gerenciamento de Incidentes</t>
        </is>
      </c>
      <c r="C266" s="3" t="inlineStr">
        <is>
          <t>Gerenciamento de Disponibilidade</t>
        </is>
      </c>
      <c r="D266" s="1" t="inlineStr">
        <is>
          <t>Urgente: Assistência Imediata Necessária para Falha na Aplicação de Folha de Pagamento</t>
        </is>
      </c>
      <c r="E266" s="1" t="inlineStr">
        <is>
          <t>Human Resources</t>
        </is>
      </c>
      <c r="F266" s="1" t="inlineStr">
        <is>
          <t>Caro Suporte ao Cliente da Firma de Consultoria de TI, Nosso RH relata que nossa aplicação de folha de pagamento primária falhou durante o processamento. Precisamos urgentemente da sua assistência para restaurar sua operação. O serviço afetado é o Serviço de Consultoria de TI fornecido pela sua empresa. Por favor, entre em contato conosco o mais rápido possível. Para mais informações, entre em contato com &lt;name&gt; pelo &lt;tel_num&gt;.</t>
        </is>
      </c>
      <c r="G266" s="1" t="inlineStr">
        <is>
          <t>Incident</t>
        </is>
      </c>
      <c r="H266" s="1" t="inlineStr">
        <is>
          <t>Caro Cliente,
Recebemos sua solicitação urgente sobre a falha na aplicação de folha de pagamento. Nossa equipe está analisando o problema e fornecerá uma atualização assim que possível. Para mais informações, poderemos entrar em contato com &lt;name&gt; pelo &lt;tel_num&gt;. Fique tranquilo, estamos priorizando a restauração do seu serviço.
Atenciosamente,
Suporte ao Cliente da Firma de Consultoria de TI</t>
        </is>
      </c>
      <c r="I266" s="1" t="inlineStr">
        <is>
          <t>medium</t>
        </is>
      </c>
      <c r="J266" s="1" t="inlineStr">
        <is>
          <t>['Urgent Issue', 'Payroll Issue', 'Technical Support', 'Service Disruption', 'Problem Resolution', 'Account Assistance']</t>
        </is>
      </c>
      <c r="K266" s="1" t="inlineStr">
        <is>
          <t>pt</t>
        </is>
      </c>
      <c r="L266" s="1" t="n">
        <v>431</v>
      </c>
    </row>
    <row r="267" ht="16.5" customHeight="1">
      <c r="A267" s="1" t="n">
        <v>2390</v>
      </c>
      <c r="B267" s="3" t="inlineStr">
        <is>
          <t>Gerenciamento de Incidentes</t>
        </is>
      </c>
      <c r="C267" s="3" t="inlineStr">
        <is>
          <t>Gerenciamento de Disponibilidade</t>
        </is>
      </c>
      <c r="D267" s="1" t="inlineStr">
        <is>
          <t>Urgente: Problema de Tempo de Inatividade do Serviço de Gerenciamento AWS</t>
        </is>
      </c>
      <c r="E267" s="1" t="inlineStr">
        <is>
          <t>Service Outages and Maintenance</t>
        </is>
      </c>
      <c r="F267" s="1" t="inlineStr">
        <is>
          <t>Prezado Time de Suporte ao Cliente,
Estou escrevendo para informar sobre um problema com o seu Serviço de Gerenciamento AWS, que recentemente experimentou um tempo de inatividade não programado. Essa interrupção impactou significativamente o acesso ao servidor virtual dos clientes. Precisamos de assistência imediata para resolver o problema e garantir que não ocorram mais interrupções. Por favor, priorizem a restauração da funcionalidade e mantenham-nos atualizados sobre o seu progresso. Nós dependemos muito do seu serviço e tais incidentes afetam criticamente nossas operações. Ação rápida seria apreciada. Entre em contato comigo pelo &lt;tel_num&gt; para mais discussões.
Obrigado,
&lt;name&gt;</t>
        </is>
      </c>
      <c r="G267" s="1" t="inlineStr">
        <is>
          <t>Incident</t>
        </is>
      </c>
      <c r="H267" s="1" t="inlineStr">
        <is>
          <t>Prezado &lt;name&gt;,
Obrigado por entrar em contato. Pedimos desculpas pelo transtorno causado pelo tempo de inatividade não programado do nosso Serviço de Gerenciamento AWS. Entendemos o impacto crítico em suas operações e estamos atualmente trabalhando para resolver o problema. Pode ficar tranquilo, nossa equipe está priorizando a restauração da funcionalidade completa do serviço. Nós o manteremos atualizado sobre nosso progresso e ações tomadas. Para mais discussões, por favor, espere uma ligação direta em breve.
Obrigado pela sua paciência e compreensão.
Atenciosamente,
Equipe de Service Desk</t>
        </is>
      </c>
      <c r="I267" s="1" t="inlineStr">
        <is>
          <t>medium</t>
        </is>
      </c>
      <c r="J267" s="1" t="inlineStr">
        <is>
          <t>['Service Outage', 'Urgent Issue', 'Technical Support', 'Problem Resolution', 'Service Recovery', 'Incident Report', 'Service Notification']</t>
        </is>
      </c>
      <c r="K267" s="1" t="inlineStr">
        <is>
          <t>pt</t>
        </is>
      </c>
      <c r="L267" s="1" t="n">
        <v>694</v>
      </c>
    </row>
    <row r="268" ht="16.5" customHeight="1">
      <c r="A268" s="1" t="n">
        <v>2392</v>
      </c>
      <c r="B268" s="3" t="inlineStr">
        <is>
          <t>Gerenciamento de Incidentes</t>
        </is>
      </c>
      <c r="C268" s="3" t="inlineStr">
        <is>
          <t>Gerenciamento de Problemas</t>
        </is>
      </c>
      <c r="D268" s="1" t="inlineStr">
        <is>
          <t>Experienciando Desconexões Frequentes com o Zoom 5.11.0</t>
        </is>
      </c>
      <c r="E268" s="1" t="inlineStr">
        <is>
          <t>Technical Support</t>
        </is>
      </c>
      <c r="F268" s="1" t="inlineStr">
        <is>
          <t>Caro time de suporte ao cliente, espero que esta mensagem os encontre bem. Estou escrevendo para expressar minha preocupação em relação ao software Zoom 5.11.0, que comprei na sua loja online Tech. Nas últimas semanas, experimentei desconexões frequentes durante chamadas de vídeo, o que impactou severamente minha experiência de usuário e produtividade. Tentei solucionar problemas comuns, como velocidade de internet e compatibilidade do dispositivo, sem sucesso. Minhas tentativas de resolver isso atualizando para uma versão mais nova do Zoom ou alterando configurações foram infrutíferas. Agradeceria sua orientação sobre este assunto ou quaisquer soluções possíveis para melhorar a estabilidade das chamadas de vídeo. Obrigado pela sua resposta rápida. Atenciosamente, &lt;name&gt;</t>
        </is>
      </c>
      <c r="G268" s="1" t="inlineStr">
        <is>
          <t>Problem</t>
        </is>
      </c>
      <c r="H268" s="1" t="inlineStr">
        <is>
          <t>Caro &lt;name&gt;,
Obrigado por entrar em contato e trazer esse problema à nossa atenção. Sinto muito em saber sobre os problemas de desconexão que você está enfrentando com o Zoom 5.11.0. Para ajudar a melhorar a estabilidade das suas chamadas de vídeo, sugiro os seguintes passos:
1. Certifique-se de que seu software Zoom esteja atualizado para a versão mais recente disponível, pois pode conter correções para problemas conhecidos.
2. Verifique se há atualizações pendentes para o sistema operacional do seu dispositivo e aplique-as.
3. Desative aplicativos em segundo plano que possam consumir largura de banda durante suas chamadas, pois eles podem afetar a estabilidade da conexão.
4. Teste uma conexão de internet com fio, se possível, para descartar problemas de sinal Wi-Fi.
5. Ajuste as configurações de vídeo do Zoom para uma resolução mais baixa para reduzir o uso de largura de banda.
Se o problema persistir após esses passos, você pode considerar entrar em contato com o suporte oficial do Zoom para uma solução de problemas mais detalhada, pois eles podem ter orientações específicas para seus produtos. Sinta-se à vontade para nos contatar se precisar de mais assistência.
Atenciosamente,
Equipe de Suporte da Tech Online Store</t>
        </is>
      </c>
      <c r="I268" s="1" t="inlineStr">
        <is>
          <t>medium</t>
        </is>
      </c>
      <c r="J268" s="1" t="inlineStr">
        <is>
          <t>['Technical Support', 'Software Bug', 'Product Support', 'Problem Resolution', 'Urgent Issue', 'General Inquiry', 'Customer Service']</t>
        </is>
      </c>
      <c r="K268" s="1" t="inlineStr">
        <is>
          <t>pt</t>
        </is>
      </c>
      <c r="L268" s="1" t="n">
        <v>781</v>
      </c>
    </row>
    <row r="269" ht="16.5" customHeight="1">
      <c r="A269" s="1" t="n">
        <v>2407</v>
      </c>
      <c r="B269" s="3" t="inlineStr">
        <is>
          <t>Gerenciamento de Incidentes</t>
        </is>
      </c>
      <c r="C269" s="3" t="inlineStr">
        <is>
          <t>Gerenciamento de Ativos de TI</t>
        </is>
      </c>
      <c r="D269" s="1" t="inlineStr">
        <is>
          <t>Problema de Flickering na Tela do Surface Pro 7</t>
        </is>
      </c>
      <c r="E269" s="1" t="inlineStr">
        <is>
          <t>Product Support</t>
        </is>
      </c>
      <c r="F269" s="1" t="inlineStr">
        <is>
          <t>Prezado Suporte ao Cliente,
Estou escrevendo para relatar um problema persistente com meu Microsoft Surface Pro 7, adquirido recentemente na Tech Online Store. A tela pisca aleatoriamente, o que é especialmente perceptível durante a reprodução de vídeos. Esse comportamento interrompe severamente meu fluxo de trabalho e torna o dispositivo difícil de usar efetivamente.
Após revisar fóruns e guias de solução de problemas, cheguei à conclusão de que esse pode ser um problema conhecido que afeta outros usuários também. Verifiquei se todos os drivers e firmware estão atualizados, mas o problema persiste. Você poderia, por favor, aconselhar sobre as etapas que preciso seguir para resolver esta questão? Devo considerar retornar o dispositivo para troca ou reparo?
Sua orientação seria muito apreciada.
Obrigado.
Atenciosamente,
&lt;name&gt;</t>
        </is>
      </c>
      <c r="G269" s="1" t="inlineStr">
        <is>
          <t>Incident</t>
        </is>
      </c>
      <c r="H269" s="1" t="inlineStr">
        <is>
          <t>Prezado &lt;name&gt;,
Obrigado por entrar em contato conosco sobre o problema de flickering da tela do seu Microsoft Surface Pro 7. Entendemos como isso pode ser perturbador para o seu trabalho.
Como você já atualizou todos os drivers e firmware, recomendamos tentar algumas etapas adicionais: 
1. Realize um soft reset reiniciando seu dispositivo. 
2. Ajuste a taxa de atualização nas configurações de exibição para um desempenho ideal. 
3. Verifique se há atualizações pendentes nas configurações do Windows Update.
Se essas etapas não resolverem o problema, pode realmente ser um problema de hardware. Nesse caso, recomendamos entrar em contato com a Tech Online Store para discutir opções de devolução, substituição ou reparo na garantia.
Por favor, avise-nos se você tiver mais perguntas. Estamos aqui para ajudar.
Atenciosamente,
Equipe de Suporte ao Cliente</t>
        </is>
      </c>
      <c r="I269" s="1" t="inlineStr">
        <is>
          <t>high</t>
        </is>
      </c>
      <c r="J269" s="1" t="inlineStr">
        <is>
          <t>['Technical Support', 'Hardware Failure', 'Product Support', 'Returns and Exchanges', 'Performance Tuning', 'Problem Resolution']</t>
        </is>
      </c>
      <c r="K269" s="1" t="inlineStr">
        <is>
          <t>pt</t>
        </is>
      </c>
      <c r="L269" s="1" t="n">
        <v>843</v>
      </c>
    </row>
    <row r="270" ht="16.5" customHeight="1">
      <c r="A270" s="1" t="n">
        <v>2409</v>
      </c>
      <c r="B270" s="3" t="inlineStr">
        <is>
          <t>Solicitação de Serviço</t>
        </is>
      </c>
      <c r="C270" s="3" t="inlineStr">
        <is>
          <t>Gerenciamento de Ativos de TI</t>
        </is>
      </c>
      <c r="D270" s="1" t="inlineStr">
        <is>
          <t>Solicitação de Troca do Canon PIXMA MG3620</t>
        </is>
      </c>
      <c r="E270" s="1" t="inlineStr">
        <is>
          <t>Returns and Exchanges</t>
        </is>
      </c>
      <c r="F270" s="1" t="inlineStr">
        <is>
          <t>Olá, estou enfrentando problemas de conectividade com meu Canon PIXMA MG3620 ao tentar imprimir sem fio. Gostaria de solicitar a devolução ou troca deste equipamento. Por favor, me ajude com o processo. Obrigado.</t>
        </is>
      </c>
      <c r="G270" s="1" t="inlineStr">
        <is>
          <t>Incident</t>
        </is>
      </c>
      <c r="H270" s="1" t="inlineStr">
        <is>
          <t>Olá,
Lamentamos saber sobre os problemas de conectividade com seu Canon PIXMA MG3620. Para iniciar uma devolução ou troca, por favor, forneça os detalhes da sua compra e uma breve descrição do problema.
Obrigado,
&lt;Atendimento ao Cliente&gt;</t>
        </is>
      </c>
      <c r="I270" s="1" t="inlineStr">
        <is>
          <t>low</t>
        </is>
      </c>
      <c r="J270" s="1" t="inlineStr">
        <is>
          <t>['Returns and Exchanges', 'Product Support', 'Technical Support', 'Order Issue', 'Customer Service']</t>
        </is>
      </c>
      <c r="K270" s="1" t="inlineStr">
        <is>
          <t>pt</t>
        </is>
      </c>
      <c r="L270" s="1" t="n">
        <v>212</v>
      </c>
    </row>
    <row r="271" ht="16.5" customHeight="1">
      <c r="A271" s="1" t="n">
        <v>2412</v>
      </c>
      <c r="B271" s="3" t="inlineStr">
        <is>
          <t>Gerenciamento de Incidentes</t>
        </is>
      </c>
      <c r="C271" s="3" t="inlineStr">
        <is>
          <t>Gerenciamento de Problemas</t>
        </is>
      </c>
      <c r="D271" s="1" t="inlineStr">
        <is>
          <t>Problema ao Instalar o Norton Antivirus Plus Detectado</t>
        </is>
      </c>
      <c r="E271" s="1" t="inlineStr">
        <is>
          <t>Product Support</t>
        </is>
      </c>
      <c r="F271" s="1" t="inlineStr">
        <is>
          <t>Prezado Suporte ao Cliente,
Encounterei uma dificuldade ao instalar o Norton Antivirus Plus. Poderia me auxiliar a solucionar isso?
Cordialmente,
&lt;nome&gt;
&lt;tel_num&gt;
&lt;email&gt;</t>
        </is>
      </c>
      <c r="G271" s="1" t="inlineStr">
        <is>
          <t>Problem</t>
        </is>
      </c>
      <c r="H271" s="1" t="inlineStr">
        <is>
          <t>Prezado &lt;nome&gt;,
Agradecemos por nos contatar. Verifique se o seu sistema cumpre todos os requisitos necessários e desative qualquer outro software antivírus. Se a questão continuar, por favor, informe-nos.
Cordialmente,
Suporte ao Cliente</t>
        </is>
      </c>
      <c r="I271" s="1" t="inlineStr">
        <is>
          <t>medium</t>
        </is>
      </c>
      <c r="J271" s="1" t="inlineStr">
        <is>
          <t>['Technical Support', 'Product Support', 'Software Bug', 'Problem Resolution']</t>
        </is>
      </c>
      <c r="K271" s="1" t="inlineStr">
        <is>
          <t>pt</t>
        </is>
      </c>
      <c r="L271" s="1" t="n">
        <v>172</v>
      </c>
    </row>
    <row r="272" ht="16.5" customHeight="1">
      <c r="A272" s="1" t="n">
        <v>2416</v>
      </c>
      <c r="B272" s="3" t="inlineStr">
        <is>
          <t>Gerenciamento de Incidentes</t>
        </is>
      </c>
      <c r="C272" s="3" t="inlineStr">
        <is>
          <t>Gerenciamento de Problemas</t>
        </is>
      </c>
      <c r="D272" s="1" t="inlineStr">
        <is>
          <t>Problema Maior Relatado</t>
        </is>
      </c>
      <c r="E272" s="1" t="inlineStr">
        <is>
          <t>Customer Service</t>
        </is>
      </c>
      <c r="F272" s="1" t="inlineStr">
        <is>
          <t>Prezado Suporte ao Cliente da Empresa de Consultoria de TI,
Espero que esta mensagem o encontre bem. Estou escrevendo para relatar um problema significativo que tem impactado nossas operações devido a uma falha maior no sistema de tickets associado ao Serviço de Consultoria de TI gerenciado pela sua empresa. Esse problema causou consideráveis atrasos e tornou praticamente impossível para nós mantermos uma comunicação responsiva com nossos próprios clientes, levando a descontentamento e ineficiências operacionais.
Eu entendo que a tecnologia pode, às vezes, ser imprevisível, mas a situação atual é tal que nossa capacidade de fornecer suporte em tempo hábil e manter padrões operacionais está sendo severamente prejudicada. Nós notamos pela primeira vez a falha no sistema de tickets em &lt;date&gt;, e desde então, os pedidos dos clientes foram ou atrasados ou permanecem sem resposta. Este problema é crítico, pois impacta nossa confiabilidade de serviço e a confiança de nossos clientes em nossa capacidade de atender rapidamente suas necessidades.
Tentamos várias etapas de solução de problemas da nossa parte, incluindo verificar nossa conectividade de rede e garantir que todos os outros sistemas que interagem com o sistema de tickets estão funcionando corretamente. No entanto, essas medidas não resolveram o problema. Dado que a falha é persistente e impacta nossa capacidade operacional central, precisamos urgentemente da sua expertise técnica para diagnosticar e corrigir esse problema.
Você poderia, por favor, atribuir a essa questão a mais alta prioridade? Nosso número de conta é &lt;acc_num&gt;, e quaisquer credenciais relevantes necessárias para acesso ao sistema podem ser compartilhadas sob arranjos seguros. Confiamos na competência da sua equipe para lidar com tais situações de forma rápida e eficiente.
Além disso, por favor, forneça-nos atualizações regulares sobre o progresso da resolução. Nossos clientes são altamente dependentes de respostas rápidas, e ter um cronograma estimado sobre quando o sistema poderá estar totalmente operacional novamente nos ajudará a gerenciar expectativas e manter nossos compromissos de serviço.
Obrigado pela sua pronta atenção a este assunto urgente. Estamos ansiosos por sua resposta rápida para retificar esta situação. Se você precisar de qualquer informação adicional da nossa parte ou de credenciais de acesso adicionais, sinta-se à vontade para entrar em contato comigo diretamente. Estou disponível a qualquer momento em &lt;tel_num&gt;.
Atenciosamente,
&lt;name&gt;
&lt;position&gt;
&lt;company&gt;
&lt;tel_num&gt;
&lt;email&gt;</t>
        </is>
      </c>
      <c r="G272" s="1" t="inlineStr">
        <is>
          <t>Incident</t>
        </is>
      </c>
      <c r="H272" s="1" t="inlineStr">
        <is>
          <t>Prezado &lt;name&gt;,
Obrigado por entrar em contato conosco sobre o problema crítico com o sistema de tickets. Entendemos o impacto que isso tem em suas operações e é nossa prioridade resolvê-lo o mais rápido possível.
Nossa equipe técnica foi informada e começará a investigar imediatamente. Nós atribuímos a essa questão a mais alta prioridade. Atualizações regulares sobre nosso progresso serão fornecidas para mantê-lo informado.
Por favor, assegure-se de que temos as credenciais de acesso seguro necessárias para acelerar o diagnóstico e o reparo. Entraremos em contato se mais informações da sua parte forem necessárias.
Agradecemos sua paciência e compreensão enquanto trabalhamos em uma rápida resolução. Entre em contato conosco se houver quaisquer preocupações adicionais.
Atenciosamente,
Agente do Serviço de Atendimento
Suporte ao Cliente da Empresa de Consultoria de TI</t>
        </is>
      </c>
      <c r="I272" s="1" t="inlineStr">
        <is>
          <t>medium</t>
        </is>
      </c>
      <c r="J272" s="1" t="inlineStr">
        <is>
          <t>['Technical Support', 'Urgent Issue', 'System Crash', 'Incident Report', 'Problem Resolution', 'Service Disruption', 'Service Recovery', 'Account Assistance']</t>
        </is>
      </c>
      <c r="K272" s="1" t="inlineStr">
        <is>
          <t>pt</t>
        </is>
      </c>
      <c r="L272" s="1" t="n">
        <v>2566</v>
      </c>
    </row>
    <row r="273" ht="16.5" customHeight="1">
      <c r="A273" s="1" t="n">
        <v>2420</v>
      </c>
      <c r="B273" s="3" t="inlineStr">
        <is>
          <t>Gerenciamento de Incidentes</t>
        </is>
      </c>
      <c r="C273" s="3" t="inlineStr">
        <is>
          <t>Gerenciamento de Problemas</t>
        </is>
      </c>
      <c r="D273" s="1" t="inlineStr">
        <is>
          <t>Problemas intermitentes de conectividade com o roteador Cisco</t>
        </is>
      </c>
      <c r="E273" s="1" t="inlineStr">
        <is>
          <t>Technical Support</t>
        </is>
      </c>
      <c r="F273" s="1" t="inlineStr">
        <is>
          <t>Prezado Time de Suporte ao Cliente,
Estou escrevendo para chamar a sua atenção para o fato de que nosso Roteador Cisco, modelo ISR4331, está enfrentando problemas intermitentes de conectividade. Isso tem ocorrido há algum tempo e está afetando significativamente o desempenho da rede em nosso ambiente empresarial. Realizamos uma verificação inicial na configuração básica, incluindo a verificação das versões de firmware e software que lidam com os protocolos de roteamento, mas não identificamos falhas ou configurações incorretas óbvias. Apesar dessas verificações preliminares, o roteador continua a apresentar um comportamento instável que justifica uma análise mais profunda para identificar potenciais problemas subjacentes. Dada a mensagem de registros e a nossa atual dependência operacional de um desempenho de rede consistente, insto sua equipe técnica a ajudar a diagnosticar minuciosamente essas interrupções de conectividade. Seu suporte especializado em identificar e corrigir esse problema é crucial para restaurar rapidamente níveis de desempenho satisfatórios. Por favor, me avise como podemos proceder com a escalada desse problema ou agendar uma sessão de suporte técnico detalhada. Obrigado pela sua rápida atenção a este assunto.
Atenciosamente,
&lt;name&gt;
Departamento de TI
&lt;name&gt; Corporation
&lt;tel_num&gt;
&lt;email&gt;</t>
        </is>
      </c>
      <c r="G273" s="1" t="inlineStr">
        <is>
          <t>Incident</t>
        </is>
      </c>
      <c r="H273" s="1" t="inlineStr">
        <is>
          <t>Prezado &lt;name&gt;,
Obrigado por entrar em contato conosco sobre os problemas de conectividade com seu Roteador Cisco, modelo ISR4331. Entendo o impacto que isso tem no desempenho da sua rede, e estamos aqui para ajudá-lo a resolver isso.
Para começar, por favor, certifique-se de que seu roteador está operando na versão mais recente do firmware, pois isso pode muitas vezes resolver tais problemas. Se o firmware estiver atualizado e o problema persistir, recomendo agendar uma sessão detalhada de suporte técnico com nossos especialistas. Eles podem fornecer insights mais profundos sobre a configuração do seu roteador e os registros do sistema para identificar quaisquer causas subjacentes.
Para escalada e para organizar a sessão de suporte técnico, entre em contato com nossa linha direta de suporte pelo &lt;tel_num&gt; ou responda a este e-mail com seu horário preferido. Nossa equipe priorizará seu caso para garantir uma resolução rápida.
Agradecemos sua rápida atenção e esperamos resolver isso prontamente para as necessidades de sua empresa.
Atenciosamente,
&lt;name&gt;
Equipe de Atendimento ao Cliente
&lt;Nome da Equipe de Suporte ao Cliente&gt;</t>
        </is>
      </c>
      <c r="I273" s="1" t="inlineStr">
        <is>
          <t>medium</t>
        </is>
      </c>
      <c r="J273" s="1" t="inlineStr">
        <is>
          <t>['Technical Support', 'Network Issue', 'Urgent Issue', 'Problem Resolution', 'IT Support', 'Service Disruption']</t>
        </is>
      </c>
      <c r="K273" s="1" t="inlineStr">
        <is>
          <t>pt</t>
        </is>
      </c>
      <c r="L273" s="1" t="n">
        <v>1332</v>
      </c>
    </row>
    <row r="274" ht="16.5" customHeight="1">
      <c r="A274" s="1" t="n">
        <v>2436</v>
      </c>
      <c r="B274" s="3" t="inlineStr">
        <is>
          <t>Gerenciamento de Incidentes</t>
        </is>
      </c>
      <c r="C274" s="3" t="inlineStr">
        <is>
          <t>Gerenciamento de Problemas</t>
        </is>
      </c>
      <c r="D274" s="1" t="inlineStr">
        <is>
          <t>Problema Crítico: Queda de Conectividade no Roteador Cisco ISR4331</t>
        </is>
      </c>
      <c r="E274" s="1" t="inlineStr">
        <is>
          <t>Product Support</t>
        </is>
      </c>
      <c r="F274" s="1" t="inlineStr">
        <is>
          <t>Caro Time de Suporte,
Estou escrevendo para relatar um incidente sério envolvendo quedas de conectividade em nosso Roteador Cisco ISR4331. Acreditamos que isso possa estar relacionado a um problema de firmware e requeremos sua atenção imediata para uma resolução. As desconexões frequentes interromperam significativamente nossas operações. Por favor, priorizem este pedido de suporte, pois manter uma conectividade estável é crucial para nosso negócio. Caso informações adicionais sejam necessárias, não hesite em me contatar pelo &lt;tel_num&gt; ou por e-mail em &lt;name&gt;. Estamos ansiosos pela sua resposta rápida e uma solução.
Atenciosamente,
&lt;name&gt;</t>
        </is>
      </c>
      <c r="G274" s="1" t="inlineStr">
        <is>
          <t>Incident</t>
        </is>
      </c>
      <c r="H274" s="1" t="inlineStr">
        <is>
          <t>Caro &lt;name&gt;,
Obrigado por entrar em contato sobre os problemas de conectividade com seu Roteador Cisco ISR4331. Entendemos a natureza crítica deste problema e priorizamos seu pedido. Nossa equipe técnica está atualmente investigando os possíveis problemas relacionados ao firmware. Nosso objetivo é fornecer uma resolução o mais rápido possível. Enquanto isso, se você tiver mais detalhes que possam ajudar em nossa investigação, por favor, compartilhe-os assim que possível. Manteremos você informado sobre nosso progresso e agradecemos sua paciência. Sinta-se à vontade para nos contatar a qualquer momento através das informações de contato fornecidas.
Atenciosamente,
Equipe de Suporte</t>
        </is>
      </c>
      <c r="I274" s="1" t="inlineStr">
        <is>
          <t>low</t>
        </is>
      </c>
      <c r="J274" s="1" t="inlineStr">
        <is>
          <t>['Service Disruption', 'Network Issue', 'Urgent Issue', 'Incident Report', 'Technical Support', 'System Maintenance']</t>
        </is>
      </c>
      <c r="K274" s="1" t="inlineStr">
        <is>
          <t>pt</t>
        </is>
      </c>
      <c r="L274" s="1" t="n">
        <v>649</v>
      </c>
    </row>
    <row r="275" ht="16.5" customHeight="1">
      <c r="A275" s="1" t="n">
        <v>2437</v>
      </c>
      <c r="B275" s="3" t="inlineStr">
        <is>
          <t>Gerenciamento de Incidentes</t>
        </is>
      </c>
      <c r="C275" s="3" t="inlineStr">
        <is>
          <t>Gerenciamento de Problemas</t>
        </is>
      </c>
      <c r="D275" s="1" t="inlineStr">
        <is>
          <t>Incapaz de Conectar WiFi no Dell XPS 13 9310</t>
        </is>
      </c>
      <c r="E275" s="1" t="inlineStr">
        <is>
          <t>Technical Support</t>
        </is>
      </c>
      <c r="F275" s="1" t="inlineStr">
        <is>
          <t>Olá, estou enfrentando um problema de conectividade com meu novo laptop Dell XPS 13 9310. Parece que ele não consegue se conectar à minha rede WiFi e suspeito que possa haver um problema com o driver de rede. Você poderia ajudar a diagnosticar e resolver o problema? Meu número de pedido é &lt;order_num&gt;. Qualquer orientação ou suporte nessa questão seria muito apreciada. Obrigado antecipadamente pela sua ajuda.</t>
        </is>
      </c>
      <c r="G275" s="1" t="inlineStr">
        <is>
          <t>Problem</t>
        </is>
      </c>
      <c r="H275" s="1" t="inlineStr">
        <is>
          <t>Olá, tente atualizar o driver de rede WiFi acessando o site de suporte da Dell e baixando os drivers mais recentes para o XPS 13 9310. Alternativamente, use o Gerenciador de Dispositivos para verificar se há atualizações de driver. Se o problema persistir, você pode realizar a solução de problemas de rede via Configurações &gt; Rede e Internet. Por favor, responda se precisar de mais assistência. Obrigado por entrar em contato.</t>
        </is>
      </c>
      <c r="I275" s="1" t="inlineStr">
        <is>
          <t>medium</t>
        </is>
      </c>
      <c r="J275" s="1" t="inlineStr">
        <is>
          <t>['Technical Support', 'IT Support', 'Network Issue', 'Problem Resolution', 'Hardware Failure', 'Software Bug']</t>
        </is>
      </c>
      <c r="K275" s="1" t="inlineStr">
        <is>
          <t>pt</t>
        </is>
      </c>
      <c r="L275" s="1" t="n">
        <v>411</v>
      </c>
    </row>
    <row r="276" ht="16.5" customHeight="1">
      <c r="A276" s="1" t="n">
        <v>2438</v>
      </c>
      <c r="B276" s="3" t="inlineStr">
        <is>
          <t>Gerenciamento Financeiro</t>
        </is>
      </c>
      <c r="C276" s="3" t="inlineStr">
        <is>
          <t>Gerenciamento de Incidentes</t>
        </is>
      </c>
      <c r="D276" s="1" t="inlineStr">
        <is>
          <t>Consulta sobre discrepância de cobrança na AWS</t>
        </is>
      </c>
      <c r="E276" s="1" t="inlineStr">
        <is>
          <t>General Inquiry</t>
        </is>
      </c>
      <c r="F276" s="1" t="inlineStr">
        <is>
          <t>Olá Suporte ao Cliente, estou escrevendo para indagar sobre uma discrepância de cobrança na minha conta do AWS Management Service. Você poderia ajudar com uma análise de otimização de custos para minhas faturas recentes? Meu número de conta é &lt;acc_num&gt;. Por favor, entre em contato comigo pelo &lt;tel_num&gt;. Obrigado, &lt;name&gt;.</t>
        </is>
      </c>
      <c r="G276" s="1" t="inlineStr">
        <is>
          <t>Incident</t>
        </is>
      </c>
      <c r="H276" s="1" t="inlineStr">
        <is>
          <t>Olá &lt;name&gt;, obrigado por entrar em contato sobre suas preocupações de cobrança da AWS. Vamos revisar sua conta e realizar uma análise de otimização de custos. Por favor, aguarde um acompanhamento em breve. Para assistência imediata, nos ligue em nossa linha de suporte. Sua paciência é apreciada.</t>
        </is>
      </c>
      <c r="I276" s="1" t="inlineStr">
        <is>
          <t>low</t>
        </is>
      </c>
      <c r="J276" s="1" t="inlineStr">
        <is>
          <t>['Billing Issue', 'Customer Service', 'Payment Processing', 'Account Assistance', 'General Inquiry']</t>
        </is>
      </c>
      <c r="K276" s="1" t="inlineStr">
        <is>
          <t>pt</t>
        </is>
      </c>
      <c r="L276" s="1" t="n">
        <v>322</v>
      </c>
    </row>
    <row r="277" ht="16.5" customHeight="1">
      <c r="A277" s="1" t="n">
        <v>2439</v>
      </c>
      <c r="B277" s="3" t="inlineStr">
        <is>
          <t>Gerenciamento de Incidentes</t>
        </is>
      </c>
      <c r="C277" s="3" t="inlineStr">
        <is>
          <t>Gerenciamento de Problemas</t>
        </is>
      </c>
      <c r="D277" s="1" t="inlineStr">
        <is>
          <t>Solicitação de Suporte para Problemas com o Adobe Photoshop</t>
        </is>
      </c>
      <c r="E277" s="1" t="inlineStr">
        <is>
          <t>Technical Support</t>
        </is>
      </c>
      <c r="F277" s="1" t="inlineStr">
        <is>
          <t>Caro Suporte ao Cliente,
Estou enfrentando falhas persistentes com o Adobe Photoshop 2024, especialmente quando tento editar qualquer projeto. Você poderia, por favor, ajudar a solucionar esses problemas? Agradeço pela sua rápida atenção a este assunto.
Atenciosamente,
&lt;name&gt;</t>
        </is>
      </c>
      <c r="G277" s="1" t="inlineStr">
        <is>
          <t>Problem</t>
        </is>
      </c>
      <c r="H277" s="1" t="inlineStr">
        <is>
          <t>Caro &lt;name&gt;, pedimos desculpas pela inconveniência. Por favor, tente atualizar o Photoshop para a versão mais recente, verifique se há atualizações do driver gráfico, assegure-se de ter espaço suficiente no disco e redefina as preferências do Photoshop. Se os problemas persistirem, sinta-se à vontade para fornecer mais detalhes.</t>
        </is>
      </c>
      <c r="I277" s="1" t="inlineStr">
        <is>
          <t>medium</t>
        </is>
      </c>
      <c r="J277" s="1" t="inlineStr">
        <is>
          <t>['Technical Support', 'Product Support', 'Software Bug', 'Problem Resolution']</t>
        </is>
      </c>
      <c r="K277" s="1" t="inlineStr">
        <is>
          <t>pt</t>
        </is>
      </c>
      <c r="L277" s="1" t="n">
        <v>278</v>
      </c>
    </row>
    <row r="278" ht="16.5" customHeight="1">
      <c r="A278" s="1" t="n">
        <v>2491</v>
      </c>
      <c r="B278" s="3" t="inlineStr">
        <is>
          <t>Gerenciamento Financeiro</t>
        </is>
      </c>
      <c r="C278" s="3" t="inlineStr">
        <is>
          <t>Gerenciamento de Incidentes</t>
        </is>
      </c>
      <c r="D278" s="1" t="inlineStr">
        <is>
          <t>Esclarecimento Urgente Necessário</t>
        </is>
      </c>
      <c r="E278" s="1" t="inlineStr">
        <is>
          <t>Billing and Payments</t>
        </is>
      </c>
      <c r="F278" s="1" t="inlineStr">
        <is>
          <t>Caro Suporte ao Cliente,
Estou escrevendo para abordar urgentemente cobranças inesperadas no meu Serviço de Gerenciamento da AWS. Por favor, ajudem a esclarecer essas discrepâncias de cobrança o mais rápido possível. A resolução rápida seria muito apreciada.
Obrigado,
&lt;name&gt;
&lt;acc_num&gt;</t>
        </is>
      </c>
      <c r="G278" s="1" t="inlineStr">
        <is>
          <t>Request</t>
        </is>
      </c>
      <c r="H278" s="1" t="inlineStr">
        <is>
          <t>Caro &lt;name&gt;,
Obrigado por entrar em contato conosco sobre as cobranças inesperadas no seu Serviço de Gerenciamento da AWS. Entendemos a urgência e estamos aqui para ajudar. Por favor, forneça mais detalhes, como a data e o valor das cobranças em questão, ou quaisquer números de fatura relacionados. Isso nos permitirá investigar o problema de forma mais eficiente. Nosso objetivo é resolver esses assuntos rapidamente e agradecemos pela sua paciência.
Atenciosamente,
Equipe de Suporte ao Cliente</t>
        </is>
      </c>
      <c r="I278" s="1" t="inlineStr">
        <is>
          <t>high</t>
        </is>
      </c>
      <c r="J278" s="1" t="inlineStr">
        <is>
          <t>['Billing Issue', 'Customer Service', 'Urgent Issue', 'Problem Resolution']</t>
        </is>
      </c>
      <c r="K278" s="1" t="inlineStr">
        <is>
          <t>pt</t>
        </is>
      </c>
      <c r="L278" s="1" t="n">
        <v>288</v>
      </c>
    </row>
    <row r="279" ht="16.5" customHeight="1">
      <c r="A279" s="1" t="n">
        <v>2508</v>
      </c>
      <c r="B279" s="3" t="inlineStr">
        <is>
          <t>Gerenciamento de Incidentes</t>
        </is>
      </c>
      <c r="C279" s="3" t="inlineStr">
        <is>
          <t>Gerenciamento de Problemas</t>
        </is>
      </c>
      <c r="D279" s="1" t="inlineStr">
        <is>
          <t>Problema com a Integração do Slack</t>
        </is>
      </c>
      <c r="E279" s="1" t="inlineStr">
        <is>
          <t>General Inquiry</t>
        </is>
      </c>
      <c r="F279" s="1" t="inlineStr">
        <is>
          <t>Prezado Suporte ao Cliente, estou enfrentando dificuldades com a integração do canal Slack. As notificações de mensagens não estão aparecendo consistentemente na versão do aplicativo 4.23.0. Por favor, ajudem a resolver este problema. Obrigado, &lt;name&gt;.</t>
        </is>
      </c>
      <c r="G279" s="1" t="inlineStr">
        <is>
          <t>Incident</t>
        </is>
      </c>
      <c r="H279" s="1" t="inlineStr">
        <is>
          <t>Prezado &lt;name&gt;,
Obrigado por entrar em contato sobre o problema de integração do Slack. Por favor, certifique-se de que o aplicativo Slack está atualizado para a versão mais recente. Verifique se as notificações estão habilitadas tanto nas configurações do seu dispositivo quanto nas preferências do Slack. Tente sair e entrar novamente na sua conta. Se o problema persistir, por favor, nos avise e nós investigaremos mais a fundo. Agradecemos pela sua paciência.
Atenciosamente,
Equipe de Suporte ao Cliente</t>
        </is>
      </c>
      <c r="I279" s="1" t="inlineStr">
        <is>
          <t>low</t>
        </is>
      </c>
      <c r="J279" s="1" t="inlineStr">
        <is>
          <t>['Technical Support', 'Product Support', 'Software Bug', 'Problem Resolution', 'Customer Service']</t>
        </is>
      </c>
      <c r="K279" s="1" t="inlineStr">
        <is>
          <t>pt</t>
        </is>
      </c>
      <c r="L279" s="1" t="n">
        <v>252</v>
      </c>
    </row>
    <row r="280" ht="16.5" customHeight="1">
      <c r="A280" s="1" t="n">
        <v>2512</v>
      </c>
      <c r="B280" s="3" t="inlineStr">
        <is>
          <t>Solicitação de Serviço</t>
        </is>
      </c>
      <c r="C280" s="3" t="inlineStr">
        <is>
          <t>Gerenciamento Financeiro</t>
        </is>
      </c>
      <c r="D280" s="1" t="inlineStr">
        <is>
          <t>Consulta sobre Planos de Pagamento para Dell XPS 13</t>
        </is>
      </c>
      <c r="E280" s="1" t="inlineStr">
        <is>
          <t>Billing and Payments</t>
        </is>
      </c>
      <c r="F280" s="1" t="inlineStr">
        <is>
          <t>Caro Suporte ao Cliente da Tech Online Store,
Espero que esta mensagem o encontre bem. Estou escrevendo para buscar esclarecimento sobre os planos de pagamento disponíveis para o modelo Dell XPS 13 Ultrabook 9310. Atualmente, estou enfrentando alguma confusão com os detalhes de cobrança fornecidos em seu site. As informações parecem ser inconsistentes com o que foi comunicado anteriormente por e-mail.
Você poderia fornecer detalhes abrangentes sobre todas as opções de pagamento disponíveis, incluindo quaisquer promoções ou descontos em andamento específicos para este modelo? Além disso, gostaria de saber se há alguma mudança iminente que possa afetar essas opções. Qualquer folheto ou documento detalhado que você possa compartilhar seria muito apreciado.
Agradeço antecipadamente pela sua assistência. Estou ansioso para entender todas as opções disponíveis antes de prosseguir com minha compra. Sinta-se à vontade para entrar em contato caso necessite de mais informações da minha parte. Aguardando sua pronta resposta.
Atenciosamente,
&lt;name&gt;
&lt;email_address&gt;
&lt;tel_num&gt;</t>
        </is>
      </c>
      <c r="G280" s="1" t="inlineStr">
        <is>
          <t>Request</t>
        </is>
      </c>
      <c r="H280" s="1" t="inlineStr">
        <is>
          <t>Assunto: Re: Consulta sobre Planos de Pagamento para Dell XPS 13
Caro &lt;name&gt;,
Obrigado por entrar em contato conosco sobre os planos de pagamento para o modelo Dell XPS 13 Ultrabook 9310. Entendemos a importância de ter informações claras antes de realizar uma compra.
Por favor, encontre abaixo os detalhes abrangentes de nossos atuais planos de pagamento para este modelo:
1. Pagamento Total: Um único pagamento no momento da compra.
2. Plano de Parcelamento: Dividir o custo total em pagamentos mensais ao longo de 6, 12 ou 24 meses.
3. Opções de Financiamento: Possíveis através de bancos parceiros com juros baixos ou nulos por um período fixo, sujeito à aprovação de crédito.
Atualmente, estamos com uma promoção oferecendo um desconto de 10% no Dell XPS 13 para pagamentos feitos integralmente até o final deste mês.
Quanto a mudanças futuras nessas opções, atualmente não há ajustes antecipados. No entanto, iremos comunicar prontamente quaisquer atualizações futuras em nosso site e por e-mail.
Enviarei os folhetos detalhando essas opções para sua referência. Se precisar de mais assistência ou informações adicionais, não hesite em perguntar.
Obrigado novamente pelo seu interesse, e estamos ansiosos para ajudá-lo com sua compra.
Atenciosamente,
Suporte ao Cliente da Tech Online Store</t>
        </is>
      </c>
      <c r="I280" s="1" t="inlineStr">
        <is>
          <t>medium</t>
        </is>
      </c>
      <c r="J280" s="1" t="inlineStr">
        <is>
          <t>['Billing Issue', 'Customer Service', 'Sales Inquiry', 'Product Support', 'Payment Processing', 'Refund Request']</t>
        </is>
      </c>
      <c r="K280" s="1" t="inlineStr">
        <is>
          <t>pt</t>
        </is>
      </c>
      <c r="L280" s="1" t="n">
        <v>1083</v>
      </c>
    </row>
    <row r="281" ht="16.5" customHeight="1">
      <c r="A281" s="1" t="n">
        <v>2519</v>
      </c>
      <c r="B281" s="3" t="inlineStr">
        <is>
          <t>Solicitação de Serviço</t>
        </is>
      </c>
      <c r="C281" s="3" t="inlineStr">
        <is>
          <t>Gerenciamento Financeiro</t>
        </is>
      </c>
      <c r="D281" s="1" t="inlineStr">
        <is>
          <t>Inquirindo sobre opções de licenciamento e descontos em compras em volume para o Adobe Photoshop 2024</t>
        </is>
      </c>
      <c r="E281" s="1" t="inlineStr">
        <is>
          <t>Sales and Pre-Sales</t>
        </is>
      </c>
      <c r="F281" s="1" t="inlineStr">
        <is>
          <t>Olá Suporte da Loja Online Tech,
Espero que esta mensagem o encontre bem. Estou entrando em contato para perguntar sobre as opções de licenciamento disponíveis para o Adobe Photoshop 2024. Além disso, estou interessado em entender se existem descontos disponíveis para compras em volume, especialmente na fase de pré-venda. Como estamos planejando integrar isso em nossas novas configurações de estações de trabalho de design, conhecer os detalhes seria benéfico para nossos fins de orçamento. Você poderia fornecer detalhes sobre as faixas de preços, quaisquer descontos potenciais para compras em volume e quaisquer termos e condições relevantes?
Obrigado pela sua assistência.
Atenciosamente,
&lt;name&gt;</t>
        </is>
      </c>
      <c r="G281" s="1" t="inlineStr">
        <is>
          <t>Request</t>
        </is>
      </c>
      <c r="H281" s="1" t="inlineStr">
        <is>
          <t>Olá &lt;name&gt;,
Obrigado por entrar em contato com o Suporte da Loja Online Tech. Oferecemos várias opções de licenciamento para o Adobe Photoshop 2024 adaptadas às suas necessidades. Descontos estão disponíveis para compras em volume, especialmente durante a fase de pré-venda. As faixas de preços variam com base no volume e no tipo de licença escolhido. Por favor, nos informe a quantidade que você está considerando e forneceremos um orçamento detalhado incluindo termos e condições.
Sinta-se à vontade para entrar em contato conosco para qualquer assistência adicional.
Atenciosamente,
Equipe de Suporte da Loja Online Tech</t>
        </is>
      </c>
      <c r="I281" s="1" t="inlineStr">
        <is>
          <t>low</t>
        </is>
      </c>
      <c r="J281" s="1" t="inlineStr">
        <is>
          <t>['Sales Inquiry', 'Product Support', 'General Inquiry', 'Technical Guidance']</t>
        </is>
      </c>
      <c r="K281" s="1" t="inlineStr">
        <is>
          <t>pt</t>
        </is>
      </c>
      <c r="L281" s="1" t="n">
        <v>706</v>
      </c>
    </row>
    <row r="282" ht="16.5" customHeight="1">
      <c r="A282" s="1" t="n">
        <v>2527</v>
      </c>
      <c r="B282" s="3" t="inlineStr">
        <is>
          <t>Gerenciamento Financeiro</t>
        </is>
      </c>
      <c r="C282" s="3" t="inlineStr">
        <is>
          <t>Gerenciamento de Nível de Serviço</t>
        </is>
      </c>
      <c r="D282" s="1" t="inlineStr">
        <is>
          <t>Esclarecimento sobre Taxa de Assinatura</t>
        </is>
      </c>
      <c r="E282" s="1" t="inlineStr">
        <is>
          <t>Billing and Payments</t>
        </is>
      </c>
      <c r="F282" s="1" t="inlineStr">
        <is>
          <t>Caro Suporte ao Cliente da Tech Online Store,
Espero que esta mensagem o encontre bem. Estou entrando em contato hoje para esclarecer algumas dúvidas sobre os recentes extratos de cobrança relacionados à minha assinatura do Adobe Photoshop 2024. Ao revisar minha conta, notei algumas discrepâncias que me deixaram um pouco confuso. Parece que as taxas mudaram inesperadamente e eu não recebi nenhuma notificação ou explicação prévia sobre essas alterações.
Meu número de conta de assinatura é &lt;acc_num&gt;, e eu geralmente faço os pagamentos via meu cartão terminado em &lt;card_num&gt;. Dada a mudança nos valores de cobrança, eu apreciaria se você pudesse fornecer uma explicação detalhada ou me direcionar para onde eu possa encontrar a documentação ou comunicação sobre essa mudança. É crucial para mim gerenciar meu planejamento financeiro de forma eficaz, e entender essas cobranças é uma parte vital disso.
Além disso, se houver alguma promoção em andamento ou opções de assinatura alternativas que eu possa aproveitar, eu também apreciaria saber sobre essas.
Obrigado pela sua assistência. Aguardo sua pronta clareza sobre este assunto. Sinta-se à vontade para me contatar por e-mail ou pelo meu número de telefone &lt;tel_num&gt;.
Atenciosamente,
&lt;name&gt;</t>
        </is>
      </c>
      <c r="G282" s="1" t="inlineStr">
        <is>
          <t>Request</t>
        </is>
      </c>
      <c r="H282" s="1" t="inlineStr">
        <is>
          <t>Assunto: Re: Esclarecimento sobre Taxa de Assinatura
Caro(a) &lt;name&gt;,
Obrigado por entrar em contato conosco. Eu entendo sua preocupação em relação às mudanças de cobrança para sua assinatura do Adobe Photoshop 2024. Peço desculpas por qualquer inconveniente que isso possa ter causado.
Verifiquei sua conta &lt;acc_num&gt; e parece que houve uma mudança em nossa estrutura de preços. Uma notificação por e-mail foi enviada antes da mudança, mas pode ter acabado na sua pasta de spam ou promoções. Recomendo verificar essas pastas, por precaução.
Para documentação e comunicação detalhadas sobre a mudança, por favor, visite nosso site e navegue até a seção de assinaturas para atualizações sobre políticas e mudanças de taxas.
Quanto a promoções em andamento ou opções de assinatura alternativas, temos algumas ofertas disponíveis. Você pode visualizá-las na seção de promoções em nosso site ou entrar em contato com nossa equipe de vendas para conselhos personalizados.
Sinta-se à vontade para entrar em contato conosco novamente se precisar de mais assistência, seja por este e-mail ou em nossa linha de atendimento ao cliente.
Agradecemos sua compreensão e cooperação.
Atenciosamente,
Suporte ao Cliente da Tech Online Store</t>
        </is>
      </c>
      <c r="I282" s="1" t="inlineStr">
        <is>
          <t>low</t>
        </is>
      </c>
      <c r="J282" s="1" t="inlineStr">
        <is>
          <t>['Customer Service', 'Billing Issue', 'Account Assistance', 'Payment Processing', 'Sales Inquiry', 'General Inquiry']</t>
        </is>
      </c>
      <c r="K282" s="1" t="inlineStr">
        <is>
          <t>pt</t>
        </is>
      </c>
      <c r="L282" s="1" t="n">
        <v>1253</v>
      </c>
    </row>
    <row r="283" ht="16.5" customHeight="1">
      <c r="A283" s="1" t="n">
        <v>2545</v>
      </c>
      <c r="B283" s="3" t="inlineStr">
        <is>
          <t>Gerenciamento de Incidentes</t>
        </is>
      </c>
      <c r="C283" s="3" t="inlineStr">
        <is>
          <t>Gerenciamento de Disponibilidade</t>
        </is>
      </c>
      <c r="D283" s="1" t="inlineStr">
        <is>
          <t>Urgente: Problemas de Rede com Router Cisco ISR4331</t>
        </is>
      </c>
      <c r="E283" s="1" t="inlineStr">
        <is>
          <t>Technical Support</t>
        </is>
      </c>
      <c r="F283" s="1" t="inlineStr">
        <is>
          <t>Caro Time de Suporte,
Estou escrevendo para expressar minha preocupação em relação a um problema crítico que estamos enfrentando com nosso Router Cisco ISR4331. Temos enfrentado desconexões frequentes que impactaram severamente a estabilidade da rede em todo o nosso local. Este problema se tornou bastante problemático, afetando tanto a produtividade quanto as operações comerciais gerais. Como o router é um componente crucial da nossa infraestrutura de TI, garantir seu desempenho ideal é essencial para nossas atividades diárias. Solicitamos assistência imediata para resolução, pois quaisquer atrasos podem levar a mais interrupções. Por favor, me avise quais passos devemos seguir a seguir ou se um técnico poderia nos ajudar na primeira oportunidade.
Aguardando sua pronta resposta.
Atenciosamente,
&lt;name&gt;
&lt;company_name&gt;
&lt;tel_num&gt;</t>
        </is>
      </c>
      <c r="G283" s="1" t="inlineStr">
        <is>
          <t>Problem</t>
        </is>
      </c>
      <c r="H283" s="1" t="inlineStr">
        <is>
          <t>Caro &lt;name&gt;,
Obrigado por contatar sobre o problema com seu Router Cisco ISR4331. Entendemos a urgência e a importância de resolver esse problema rapidamente. Por favor, tente reiniciar o router e verifique todas as conexões para garantir que estão seguras. Além disso, confirme se foram feitas alterações recentes nas configurações da rede. Estamos organizando para que um técnico lhe assista o mais rápido possível. Enquanto isso, mantenha-nos informados sobre quaisquer mudanças ou a situação atual. Se o problema persistir, por favor, nos avise imediatamente para que possamos tomar as medidas necessárias.
Atenciosamente,
Time de Suporte</t>
        </is>
      </c>
      <c r="I283" s="1" t="inlineStr">
        <is>
          <t>high</t>
        </is>
      </c>
      <c r="J283" s="1" t="inlineStr">
        <is>
          <t>['Network Issue', 'Urgent Issue', 'IT Support', 'Problem Resolution', 'Technical Support', 'Service Disruption']</t>
        </is>
      </c>
      <c r="K283" s="1" t="inlineStr">
        <is>
          <t>pt</t>
        </is>
      </c>
      <c r="L283" s="1" t="n">
        <v>841</v>
      </c>
    </row>
    <row r="284" ht="16.5" customHeight="1">
      <c r="A284" s="1" t="n">
        <v>2563</v>
      </c>
      <c r="B284" s="3" t="inlineStr">
        <is>
          <t>Gerenciamento de Incidentes</t>
        </is>
      </c>
      <c r="C284" s="3" t="inlineStr">
        <is>
          <t>Gerenciamento de Capacidade</t>
        </is>
      </c>
      <c r="D284" s="1" t="inlineStr">
        <is>
          <t>Preciso de Assistência para Resposta Lenta a Consultas no MySQL 8.0.30</t>
        </is>
      </c>
      <c r="E284" s="1" t="inlineStr">
        <is>
          <t>Customer Service</t>
        </is>
      </c>
      <c r="F284" s="1" t="inlineStr">
        <is>
          <t>Prezado Suporte ao Cliente de Serviços de TI,
Estou escrevendo para solicitar assistência em relação aos problemas de desempenho que estamos enfrentando com nosso banco de dados MySQL 8.0.30. Notamos que as respostas das consultas ficaram significativamente lentas, o que está impactando nossa produtividade geral e o desempenho do aplicativo. Acreditamos que possa haver necessidade de otimização de desempenho para resolver esses problemas.
Já tentamos otimizar índices e executar diagnósticos, mas, infelizmente, o problema persiste. Suspeitamos que possa estar relacionado a configurações específicas da versão do MySQL ou gargalos de recursos.
Você poderia nos aconselhar sobre possíveis otimizações que devemos considerar ou nos ajudar a solucionar esses problemas de forma mais eficaz? Qualquer orientação ou recomendação especializada de sua equipe seria muito apreciada. Nosso número da conta é &lt;acc_num&gt;, e estamos disponíveis para novas discussões na sua conveniência.
Obrigado pela sua atenção a este assunto.
Atenciosamente,
&lt;name&gt;
Equipe de Suporte &lt;company&gt;
Contato: &lt;tel_num&gt;</t>
        </is>
      </c>
      <c r="G284" s="1" t="inlineStr">
        <is>
          <t>Problem</t>
        </is>
      </c>
      <c r="H284" s="1" t="inlineStr">
        <is>
          <t>Prezado &lt;name&gt;,
Obrigado por entrar em contato com os Serviços de TI sobre os problemas de desempenho com seu banco de dados MySQL 8.0.30. Com base na sua descrição, existem várias abordagens que podemos explorar para otimização.
1. **Verificação de Configurações**: Revise a configuração do MySQL para garantir que esteja alinhada com as melhores práticas de desempenho para a versão 8.0.30. Preste atenção especial às configurações de memória e cache.
2. **Monitoramento de Recursos**: Verifique se há gargalos de CPU, memória ou disco I/O no servidor que hospeda o MySQL. Usar ferramentas de monitoramento pode fornecer insights sobre possíveis restrições de hardware.
3. **Otimização de Consultas**: Além da indexação, examine consultas lentas usando o log de consultas lentas do MySQL para identificar consultas ineficientes que podem precisar ser reescritas ou ajustadas.
4. **Manutenção do Banco de Dados**: Assegure-se de realizar ações regulares como desfragmentação ou aplicação de quaisquer otimizações de esquema que possam reduzir a carga no mecanismo do banco de dados.
5. **Revisão de Atualizações**: Embora você esteja na versão MySQL 8.0.30, verifique se foram lançadas quaisquer pequenas atualizações que abordem problemas conhecidos de desempenho ou bugs.
6. **Discutir com Especialistas**: Recomendamos agendar uma sessão com um de nossos especialistas em banco de dados que pode realizar uma análise detalhada da sua configuração. Por favor, nos avise sua disponibilidade.
Sinta-se à vontade para entrar em contato pelo &lt;tel_num&gt; se precisar de assistência imediata ou para agendar uma reunião com nossa equipe. Estamos comprometidos em ajudá-lo a resolver esses problemas rapidamente.
Atenciosamente,
Suporte ao Cliente de Serviços de TI</t>
        </is>
      </c>
      <c r="I284" s="1" t="inlineStr">
        <is>
          <t>low</t>
        </is>
      </c>
      <c r="J284" s="1" t="inlineStr">
        <is>
          <t>['IT Support', 'Technical Support', 'Software Bug', 'Performance Tuning', 'Problem Resolution', 'Database Optimization']</t>
        </is>
      </c>
      <c r="K284" s="1" t="inlineStr">
        <is>
          <t>pt</t>
        </is>
      </c>
      <c r="L284" s="1" t="n">
        <v>1096</v>
      </c>
    </row>
    <row r="285" ht="16.5" customHeight="1">
      <c r="A285" s="1" t="n">
        <v>2569</v>
      </c>
      <c r="B285" s="3" t="inlineStr">
        <is>
          <t>Gerenciamento Financeiro</t>
        </is>
      </c>
      <c r="C285" s="3" t="inlineStr">
        <is>
          <t>Gerenciamento de Incidentes</t>
        </is>
      </c>
      <c r="D285" s="1" t="inlineStr">
        <is>
          <t>Problema de Cobrança com Compra do MySQL</t>
        </is>
      </c>
      <c r="E285" s="1" t="inlineStr">
        <is>
          <t>Billing and Payments</t>
        </is>
      </c>
      <c r="F285" s="1" t="inlineStr">
        <is>
          <t>Caro Equipe de Suporte da Tech Online Store,
Espero que esta mensagem o encontre bem. Estou escrevendo para abordar uma discrepância de cobrança relacionada à minha compra recente em sua loja. Ao revisar minha conta, percebi que fui cobrado duas vezes pelo software de banco de dados MySQL 8.0.30, que comprei apenas uma vez.
Os detalhes da transação são os seguintes: número da conta &lt;acc_num&gt; para MySQL 8.0.30, com a data da transação sendo [inserir data]. Embora apenas uma transação bem-sucedida apareça na minha conta da loja, meu método de pagamento vinculado reflete duas cobranças do mesmo valor. Isso resultou em uma dedução inesperada do meu saldo.
Você poderia, por favor, investigar essa questão e reembolsar a cobrança extra assim que possível? Anexei uma captura de tela do extrato da transação que destaca a cobrança duplicada.
Por favor, não hesite em me contatar assim que possível. Você pode me encontrar por e-mail ou no &lt;tel_num&gt;. Agradeço sua atenção imediata a essa questão e espero que seja resolvida em breve.
Obrigado pela sua compreensão e assistência.
Atenciosamente,
&lt;name&gt;
&lt;tel_num&gt;</t>
        </is>
      </c>
      <c r="G285" s="1" t="inlineStr">
        <is>
          <t>Incident</t>
        </is>
      </c>
      <c r="H285" s="1" t="inlineStr">
        <is>
          <t>Caro &lt;name&gt;,
Obrigado por nos contatar sobre o problema de cobrança com sua compra do MySQL. Pedimos desculpas por qualquer inconveniente causado. Vamos investigar imediatamente a cobrança duplicada em sua conta número &lt;acc_num&gt; para o software MySQL 8.0.30 datada de [inserir data]. A equipe relevante garantirá que seja resolvido, e reembolsaremos a cobrança extra assim que possível.
Obrigado por fornecer a captura de tela do extrato da transação. Isso irá acelerar o processo. Nós o atualizaremos assim que tivermos mais informações e a questão for resolvida.
Se você tiver alguma dúvida ou precisar de mais assistência, sinta-se à vontade para nos contatar por e-mail ou no &lt;tel_num&gt;. Agradecemos sua paciência e compreensão.
Atenciosamente,
Equipe de Suporte da Tech Online Store</t>
        </is>
      </c>
      <c r="I285" s="1" t="inlineStr">
        <is>
          <t>medium</t>
        </is>
      </c>
      <c r="J285" s="1" t="inlineStr">
        <is>
          <t>['Billing Issue', 'Refund Request', 'Payment Processing', 'Customer Service']</t>
        </is>
      </c>
      <c r="K285" s="1" t="inlineStr">
        <is>
          <t>pt</t>
        </is>
      </c>
      <c r="L285" s="1" t="n">
        <v>1119</v>
      </c>
    </row>
    <row r="286" ht="16.5" customHeight="1">
      <c r="A286" s="1" t="n">
        <v>2570</v>
      </c>
      <c r="B286" s="3" t="inlineStr">
        <is>
          <t>Gerenciamento de Incidentes</t>
        </is>
      </c>
      <c r="C286" s="3" t="inlineStr">
        <is>
          <t>Gerenciamento de Problemas</t>
        </is>
      </c>
      <c r="D286" s="1" t="inlineStr">
        <is>
          <t>Problema com o Jira Software 8.20</t>
        </is>
      </c>
      <c r="E286" s="1" t="inlineStr">
        <is>
          <t>Technical Support</t>
        </is>
      </c>
      <c r="F286" s="1" t="inlineStr">
        <is>
          <t>Caro Suporte ao Cliente,
Não consigo criar novos tickets no Jira Software 8.20 após a atualização recente. Você poderia verificar isso com urgência?
Atenciosamente,
&lt;name&gt;</t>
        </is>
      </c>
      <c r="G286" s="1" t="inlineStr">
        <is>
          <t>Incident</t>
        </is>
      </c>
      <c r="H286" s="1" t="inlineStr">
        <is>
          <t>Caro &lt;name&gt;,
Obrigado por sua mensagem. Estamos investigando o problema com o Jira Software 8.20 e entraremos em contato em breve com uma solução.
Atenciosamente,
Suporte ao Cliente</t>
        </is>
      </c>
      <c r="I286" s="1" t="inlineStr">
        <is>
          <t>high</t>
        </is>
      </c>
      <c r="J286" s="1" t="inlineStr">
        <is>
          <t>['Technical Support', 'Software Bug', 'Urgent Issue', 'Problem Resolution']</t>
        </is>
      </c>
      <c r="K286" s="1" t="inlineStr">
        <is>
          <t>pt</t>
        </is>
      </c>
      <c r="L286" s="1" t="n">
        <v>173</v>
      </c>
    </row>
    <row r="287" ht="16.5" customHeight="1">
      <c r="A287" s="1" t="n">
        <v>2573</v>
      </c>
      <c r="B287" s="3" t="inlineStr">
        <is>
          <t>Gerenciamento Financeiro</t>
        </is>
      </c>
      <c r="C287" s="3" t="inlineStr">
        <is>
          <t>Gerenciamento de Incidentes</t>
        </is>
      </c>
      <c r="D287" s="1" t="inlineStr">
        <is>
          <t>Discrepâncias de Cobrança com os Serviços em Nuvem da AWS</t>
        </is>
      </c>
      <c r="E287" s="1" t="inlineStr">
        <is>
          <t>Billing and Payments</t>
        </is>
      </c>
      <c r="F287" s="1" t="inlineStr">
        <is>
          <t>Caro Suporte ao Cliente,
Estou escrevendo para relatar uma discrepância na cobrança pelo Serviço de Gerenciamento da AWS. Notamos um aumento repentino nas cobranças mensais, que parece estar incorreto. Você pode revisar nossa conta &lt;acc_num&gt; e fornecer uma explicação ou correção conforme necessário? Você pode me contatar pelo &lt;tel_num&gt; se precisar de mais detalhes ou tiver alguma dúvida.
Obrigado pela sua pronta atenção a este assunto.
Atenciosamente,
&lt;name&gt;</t>
        </is>
      </c>
      <c r="G287" s="1" t="inlineStr">
        <is>
          <t>Problem</t>
        </is>
      </c>
      <c r="H287" s="1" t="inlineStr">
        <is>
          <t>Caro &lt;name&gt;,
Obrigado por entrar em contato sobre o problema de cobrança com seu Serviço de Gerenciamento da AWS. Entendemos a importância de uma cobrança precisa e estamos aqui para ajudar. Revisaremos sua conta &lt;acc_num&gt; prontamente para identificar quaisquer discrepâncias ou erros.
Agradecemos sua paciência e retornaremos com uma explicação detalhada ou correção assim que possível. Caso precisemos de informações adicionais, entraremos em contato com você pelo &lt;tel_num&gt;.
Obrigado por nos alertar sobre isso.
Atenciosamente,
Equipe de Suporte ao Cliente</t>
        </is>
      </c>
      <c r="I287" s="1" t="inlineStr">
        <is>
          <t>medium</t>
        </is>
      </c>
      <c r="J287" s="1" t="inlineStr">
        <is>
          <t>['Customer Service', 'Billing Issue', 'Account Assistance', 'Problem Resolution']</t>
        </is>
      </c>
      <c r="K287" s="1" t="inlineStr">
        <is>
          <t>pt</t>
        </is>
      </c>
      <c r="L287" s="1" t="n">
        <v>465</v>
      </c>
    </row>
    <row r="288" ht="16.5" customHeight="1">
      <c r="A288" s="1" t="n">
        <v>2575</v>
      </c>
      <c r="B288" s="3" t="inlineStr">
        <is>
          <t>Solicitação de Serviço</t>
        </is>
      </c>
      <c r="C288" s="3" t="inlineStr">
        <is>
          <t>Gerenciamento de Segurança</t>
        </is>
      </c>
      <c r="D288" s="1" t="inlineStr">
        <is>
          <t>Solicitação de Atualizações de Configuração de Email</t>
        </is>
      </c>
      <c r="E288" s="1" t="inlineStr">
        <is>
          <t>IT Support</t>
        </is>
      </c>
      <c r="F288" s="1" t="inlineStr">
        <is>
          <t>Caro Time de Suporte ao Cliente, Espero que esta mensagem o encontre bem. Estou escrevendo para solicitar alterações na nossa configuração de email devido às políticas atualizadas da empresa que agora exigem medidas de segurança aprimoradas para nossos emails comerciais. Atualmente, estamos usando o produto Google Workspace Business Standard, e precisamos garantir que ele atenda efetivamente aos nossos novos padrões de segurança. Nosso departamento de TI identificou certas áreas onde melhorias são necessárias, e esperamos implementar essas mudanças prontamente para minimizar qualquer interrupção em nossas comunicações. Agradeceria sua orientação e apoio na atualização das nossas configurações de email para aderir a esses requisitos de segurança aprimorados. Por favor, nos informe os passos necessários para implementar essas mudanças ou se há alguma documentação ou material de suporte disponível que possa nos ajudar nesse processo. Se precisar de mais informações para dar prosseguimento ao nosso pedido, sinta-se à vontade para entrar em contato comigo pelo &lt;tel_num&gt; ou por meio deste email. Aguardamos sua pronta assistência para aprimorar nossas medidas de segurança de email. Obrigado pela sua cooperação. Atenciosamente, &lt;name&gt; Gerente de TI, &lt;company_name&gt;</t>
        </is>
      </c>
      <c r="G288" s="1" t="inlineStr">
        <is>
          <t>Change</t>
        </is>
      </c>
      <c r="H288" s="1" t="inlineStr">
        <is>
          <t>Olá &lt;name&gt;,
Obrigado por entrar em contato com sua solicitação sobre atualizações de configuração de email para atender aos padrões de segurança aprimorados para sua configuração do Google Workspace Business Standard.
Entendemos a importância de implementar medidas de segurança robustas. Por favor, siga estes passos gerais para aprimorar a segurança do seu email:
1. Ative a verificação em duas etapas para todos os usuários.
2. Implemente o Programa de Proteção Avançada para contas de alto valor.
3. Use as recomendações de segurança do Console do Administrador.
4. Ative o Sandbox de Segurança para escanear emails recebidos em busca de ameaças.
5. Configure DKIM (Domain Keys Identified Mail) e SPF (Sender Policy Framework) para autenticar emails de saída.
Para orientações detalhadas, recomendo consultar o Centro de Ajuda do Google Workspace Admin online ou entrar em contato com o Suporte do Google para documentação ou instruções passo a passo.
Se precisar de mais assistência, não hesite em entrar em contato. Estamos aqui para ajudar a garantir a efetiva transição para suas melhorias de segurança.
Atenciosamente,
Equipe de Suporte ao Cliente</t>
        </is>
      </c>
      <c r="I288" s="1" t="inlineStr">
        <is>
          <t>medium</t>
        </is>
      </c>
      <c r="J288" s="1" t="inlineStr">
        <is>
          <t>['IT Support', 'Account Security', 'Technical Guidance', 'Customer Service', 'System Maintenance', 'Problem Resolution', 'Service Recovery']</t>
        </is>
      </c>
      <c r="K288" s="1" t="inlineStr">
        <is>
          <t>pt</t>
        </is>
      </c>
      <c r="L288" s="1" t="n">
        <v>1276</v>
      </c>
    </row>
    <row r="289" ht="16.5" customHeight="1">
      <c r="A289" s="1" t="n">
        <v>2578</v>
      </c>
      <c r="B289" s="3" t="inlineStr">
        <is>
          <t>Gerenciamento de Incidentes</t>
        </is>
      </c>
      <c r="C289" s="3" t="inlineStr">
        <is>
          <t>Gerenciamento de Disponibilidade</t>
        </is>
      </c>
      <c r="D289" s="1" t="inlineStr">
        <is>
          <t>Suporte Urgente Necessário para Problemas de Conectividade</t>
        </is>
      </c>
      <c r="E289" s="1" t="inlineStr">
        <is>
          <t>Technical Support</t>
        </is>
      </c>
      <c r="F289" s="1" t="inlineStr">
        <is>
          <t>Caro time de suporte da Pit Services,
Estou escrevendo para relatar que o roteador Cisco ISR4331 em nossa empresa está enfrentando graves problemas de conectividade. Este problema está afetando todos os usuários em nossa rede e requer atenção técnica imediata. Tentamos etapas básicas de solução de problemas, como reiniciar o roteador e verificar os cabos, mas o problema persiste. Dada a natureza crítica de nossas operações, uma resolução rápida é essencial para minimizar a interrupção. Por favor, aconselhe sobre os próximos passos ou organize um técnico para diagnosticar e corrigir esse problema.
Obrigado pela sua assistência rápida.
Atenciosamente,
&lt;name&gt;</t>
        </is>
      </c>
      <c r="G289" s="1" t="inlineStr">
        <is>
          <t>Incident</t>
        </is>
      </c>
      <c r="H289" s="1" t="inlineStr">
        <is>
          <t>Assunto: Re: Suporte Urgente Necessário para Problemas de Conectividade
Caro &lt;name&gt;,
Obrigado por entrar em contato conosco sobre os problemas de conectividade com o roteador Cisco ISR4331. Entendemos a urgência e o impacto em suas operações. Por favor, siga estas etapas para resolver o problema:
1. Verifique se o firmware do roteador está atualizado.
2. Verifique se há danos físicos nas portas ou cabos.
3. Teste a conexão usando um roteador diferente, se disponível.
Após seguir estas etapas, se o problema persistir, organizaremos um técnico para visitar seu local o mais rápido possível. Por favor, informe-nos sua disponibilidade para uma visita de serviço.
Agradecemos sua paciência e cooperação.
Atenciosamente,
Time de Suporte da Pit Services</t>
        </is>
      </c>
      <c r="I289" s="1" t="inlineStr">
        <is>
          <t>high</t>
        </is>
      </c>
      <c r="J289" s="1" t="inlineStr">
        <is>
          <t>['Technical Support', 'Network Issue', 'Urgent Issue', 'Problem Resolution', 'Service Disruption', 'Hardware Failure']</t>
        </is>
      </c>
      <c r="K289" s="1" t="inlineStr">
        <is>
          <t>pt</t>
        </is>
      </c>
      <c r="L289" s="1" t="n">
        <v>667</v>
      </c>
    </row>
    <row r="290" ht="16.5" customHeight="1">
      <c r="A290" s="1" t="n">
        <v>2581</v>
      </c>
      <c r="B290" s="3" t="inlineStr">
        <is>
          <t>Gerenciamento de Incidentes</t>
        </is>
      </c>
      <c r="C290" s="3" t="inlineStr">
        <is>
          <t>Gerenciamento de Disponibilidade</t>
        </is>
      </c>
      <c r="D290" s="1" t="inlineStr">
        <is>
          <t>Urgente: Inatividade da Rede - Falha no Roteador Cisco</t>
        </is>
      </c>
      <c r="E290" s="1" t="inlineStr">
        <is>
          <t>Technical Support</t>
        </is>
      </c>
      <c r="F290" s="1" t="inlineStr">
        <is>
          <t>Caro time de suporte de serviços de TI,
Estou escrevendo para informar sobre um problema crítico que está afetando nossa infraestrutura de rede. Nosso cliente, &lt;name&gt;, relatou uma inatividade significativa da rede que parece estar ligada a uma falha no modelo de Roteador Cisco ISR4331. Este problema requer atenção urgente, pois está localizado em uma área de alto tráfego, crucial para nossas operações.
O roteador tem enfrentado interrupções intermitentes nos últimos dias, mas hoje a situação se agravou, derrubando todo o segmento da rede. Os impactos dessa inatividade têm sido severos, causando interrupção em nossas operações de transferência de dados e afetando nossa capacidade de atender os clientes de forma eficaz. Foram feitas tentativas de resolver o problema internamente, incluindo reiniciar o roteador e verificar se há conexões soltas. No entanto, essas medidas não foram bem-sucedidas e a situação persiste.
Dada a natureza crítica e a localização deste roteador, é imperativo que restauremos a funcionalidade total o mais rápido possível. Agradecemos por dar prioridade a este problema e enviar um técnico especializado para diagnosticar e reparar o roteador. Você poderia, por favor, fornecer uma estimativa de tempo para quando um técnico pode estar disponível? Além disso, se houver qualquer solução temporária ou sugestões que pudéssemos empregar nesse interim, isso ajudaria muito a minimizar as interrupções nos negócios.
Por favor, entre em contato comigo na sua conveniência pelo &lt;tel_num&gt; ou através deste e-mail para confirmar o recebimento desta mensagem e para começar a coordenar os esforços de suporte. A estabilidade operacional do nosso cliente é primordial, e sua atenção imediata a este assunto é crucial.
Obrigado pela sua assistência imediata.
Atenciosamente,
&lt;name&gt;
Gerente de Suporte, &lt;Company Name&gt;</t>
        </is>
      </c>
      <c r="G290" s="1" t="inlineStr">
        <is>
          <t>Incident</t>
        </is>
      </c>
      <c r="H290" s="1" t="inlineStr">
        <is>
          <t>Caro &lt;name&gt;,
Obrigado por nos contatar sobre o problema urgente com o Roteador Cisco modelo ISR4331 que está afetando sua rede. Entendemos a natureza crítica deste problema e garantimos que estamos priorizando isso.
Um técnico especializado está sendo enviado à sua localização para diagnosticar e resolver a falha. Nós prevemos a chegada deles nas próximas poucas horas. Enquanto isso, recomendamos continuar monitorando a rede para quaisquer mudanças e garantir que quaisquer dados seguros estejam sendo salvos, se possível, para minimizar potenciais perdas.
Nós permaneceremos em contato e atualizaremos você com qualquer desenvolvimento. Por favor, aguarde uma chamada de seguimento em &lt;tel_num&gt; em breve para confirmação e coordenação.
Obrigado pela sua paciência e cooperação.
Atenciosamente,
[Seu Nome]
Equipe de Suporte de Serviços de TI</t>
        </is>
      </c>
      <c r="I290" s="1" t="inlineStr">
        <is>
          <t>high</t>
        </is>
      </c>
      <c r="J290" s="1" t="inlineStr">
        <is>
          <t>['Service Disruption', 'Network Issue', 'Urgent Issue', 'Technical Support', 'Problem Resolution', 'Critical Failure', 'Incident Report']</t>
        </is>
      </c>
      <c r="K290" s="1" t="inlineStr">
        <is>
          <t>pt</t>
        </is>
      </c>
      <c r="L290" s="1" t="n">
        <v>1849</v>
      </c>
    </row>
    <row r="291" ht="16.5" customHeight="1">
      <c r="A291" s="1" t="n">
        <v>2584</v>
      </c>
      <c r="B291" s="3" t="inlineStr">
        <is>
          <t>Solicitação de Serviço</t>
        </is>
      </c>
      <c r="C291" s="3" t="inlineStr">
        <is>
          <t>Gerenciamento de Ativos de TI</t>
        </is>
      </c>
      <c r="D291" s="1" t="inlineStr">
        <is>
          <t>Consulta sobre o desempenho do MacBook Air M1</t>
        </is>
      </c>
      <c r="E291" s="1" t="inlineStr">
        <is>
          <t>Customer Service</t>
        </is>
      </c>
      <c r="F291" s="1" t="inlineStr">
        <is>
          <t>Caro Time de Suporte da Tech Online Store,
Estou considerando a compra do MacBook Air M1 e gostaria de saber mais sobre sua duração de bateria e desempenho. Você poderia fornecer algumas informações detalhadas sobre sua resistência e quaisquer análises de desempenho de clientes disponíveis?
Obrigado pela sua assistência. Aguardando sua resposta rápida.
Atenciosamente,
&lt;name&gt;</t>
        </is>
      </c>
      <c r="G291" s="1" t="inlineStr">
        <is>
          <t>Request</t>
        </is>
      </c>
      <c r="H291" s="1" t="inlineStr">
        <is>
          <t>Assunto: Re: Consulta sobre o desempenho do MacBook Air M1
Caro &lt;name&gt;,
Obrigado por entrar em contato conosco! O MacBook Air M1 é conhecido por sua excelente duração de bateria, que dura até 18 horas com uma única carga, proporcionando uso durante todo o dia. Ele oferece desempenho impressionante com seu chip M1, entregando velocidades de processamento rápidas e capacidades de multitarefa suaves. As análises dos clientes destacam sua confiabilidade e alto desempenho para tarefas do dia a dia e aplicativos mais exigentes. Por favor, nos avise se precisar de mais informações ou assistência.
Atenciosamente,
Time de Suporte da Tech Online Store</t>
        </is>
      </c>
      <c r="I291" s="1" t="inlineStr">
        <is>
          <t>low</t>
        </is>
      </c>
      <c r="J291" s="1" t="inlineStr">
        <is>
          <t>['Product Support', 'Customer Service', 'General Inquiry', 'Performance Tuning', 'Technical Guidance']</t>
        </is>
      </c>
      <c r="K291" s="1" t="inlineStr">
        <is>
          <t>pt</t>
        </is>
      </c>
      <c r="L291" s="1" t="n">
        <v>381</v>
      </c>
    </row>
    <row r="292" ht="16.5" customHeight="1">
      <c r="A292" s="1" t="n">
        <v>2589</v>
      </c>
      <c r="B292" s="3" t="inlineStr">
        <is>
          <t>Gerenciamento de Incidentes</t>
        </is>
      </c>
      <c r="C292" s="3" t="inlineStr">
        <is>
          <t>Gerenciamento de Capacidade</t>
        </is>
      </c>
      <c r="D292" s="1" t="inlineStr">
        <is>
          <t>Problema de Lentidão do Sistema com o Jira Software 8.20</t>
        </is>
      </c>
      <c r="E292" s="1" t="inlineStr">
        <is>
          <t>Customer Service</t>
        </is>
      </c>
      <c r="F292" s="1" t="inlineStr">
        <is>
          <t>Caro time de suporte ao cliente, Estou escrevendo para relatar um problema de lentidão do sistema que tenho enfrentado com o Jira Software 8.20. Especificamente, o problema surge ao acessar os recursos de gerenciamento de projetos no módulo de tickets do Jira. O atraso ocorre consistentemente e afeta a produtividade, pois dificulta nossa capacidade de rastrear e gerenciar projetos em andamento de forma eficiente. O restante do software parece estar funcionando normalmente, indicando que o problema pode estar isolado neste módulo em particular. Nossa equipe depende muito desta ferramenta para várias tarefas de gerenciamento de projetos, portanto, resolver essa questão o mais rápido possível seria muito apreciado. Tentei todas as etapas básicas de solução de problemas, incluindo limpar o cache e verificar se há atualizações, mas sem sucesso. Por favor, aconselhe sobre quaisquer etapas adicionais que possamos tomar para diagnosticar ou corrigir esse problema. Se necessário, estou disponível para uma chamada ou sessão remota para ajudar com uma investigação mais aprofundada. Sua atenção rápida a este assunto seria benéfica para manter nosso fluxo de trabalho. Obrigado pela sua cooperação e apoio. Atenciosamente, &lt;name&gt; &lt;acc_num&gt; &lt;tel_num&gt; &lt;email&gt;</t>
        </is>
      </c>
      <c r="G292" s="1" t="inlineStr">
        <is>
          <t>Problem</t>
        </is>
      </c>
      <c r="H292" s="1" t="inlineStr">
        <is>
          <t>Caro &lt;name&gt;,
Obrigado por entrar em contato sobre o problema de lentidão do sistema que você encontrou com o Jira Software 8.20, especificamente no módulo de tickets do Jira. Entendemos o quão crucial essa ferramenta é para seu fluxo de trabalho e estamos comprometidos em resolver essa questão rapidamente.
Para diagnosticar melhor o problema, você se importaria em fornecer as seguintes informações?
1. As ações específicas realizadas quando os atrasos ocorrem.
2. A duração dos atrasos experienciados.
3. Qualquer mensagem de erro específica ou logs gerados durante o problema.
Enquanto isso, por favor, tente as seguintes etapas adicionais de solução de problemas:
1. Certifique-se de que sua conectividade de rede esteja estável.
2. Desative quaisquer plugins ativos um por um para identificar se algum deles pode estar causando a lentidão.
3. Verifique se o problema persiste em uma janela de navegação anônima ou privada.
Se essas etapas não resolverem o problema, por favor, informe um horário conveniente para uma sessão remota, para que possamos ajudar você ainda mais.
Nosso objetivo é garantir uma resolução suave e eficiente. Obrigado pela sua paciência e cooperação.
Atenciosamente,
Equipe de Suporte ao Cliente</t>
        </is>
      </c>
      <c r="I292" s="1" t="inlineStr">
        <is>
          <t>medium</t>
        </is>
      </c>
      <c r="J292" s="1" t="inlineStr">
        <is>
          <t>['Technical Support', 'Software Bug', 'Performance Tuning', 'Problem Resolution', 'General Inquiry', 'Service Disruption']</t>
        </is>
      </c>
      <c r="K292" s="1" t="inlineStr">
        <is>
          <t>pt</t>
        </is>
      </c>
      <c r="L292" s="1" t="n">
        <v>1262</v>
      </c>
    </row>
    <row r="293" ht="16.5" customHeight="1">
      <c r="A293" s="1" t="n">
        <v>2595</v>
      </c>
      <c r="B293" s="3" t="inlineStr">
        <is>
          <t>Solicitação de Serviço</t>
        </is>
      </c>
      <c r="C293" s="3" t="inlineStr">
        <is>
          <t>Gerenciamento de Ativos de TI</t>
        </is>
      </c>
      <c r="D293" s="1" t="inlineStr">
        <is>
          <t>Solicitação de Devolução para Canon PIXMA MG3620 Devido a Problemas</t>
        </is>
      </c>
      <c r="E293" s="1" t="inlineStr">
        <is>
          <t>Returns and Exchanges</t>
        </is>
      </c>
      <c r="F293" s="1" t="inlineStr">
        <is>
          <t>Caro Suporte ao Cliente,
Estou escrevendo para solicitar a devolução da minha recente compra de um Canon PIXMA MG3620, número da conta &lt;acc_num&gt;. A impressora frequentemente apresenta atolamentos de papel durante a impressão sem fio, o que está além do limite aceitável para uso regular. Agradeceria se você pudesse me orientar sobre o processo de devolução e quaisquer passos necessários para garantir uma transação tranquila.
Por favor, me informe as opções disponíveis para substituição ou reembolso o mais rápido possível. Aguardo sua assistência rápida para resolver este problema.
Atenciosamente,
&lt;name&gt;</t>
        </is>
      </c>
      <c r="G293" s="1" t="inlineStr">
        <is>
          <t>Problem</t>
        </is>
      </c>
      <c r="H293" s="1" t="inlineStr">
        <is>
          <t>Caro &lt;name&gt;,
Obrigado por entrar em contato conosco sobre sua Canon PIXMA MG3620. Pedimos desculpas pelo inconveniente causado pelos atolamentos de papel durante a impressão sem fio. Para iniciar o processo de devolução, por favor, certifique-se de que a impressora esteja embalada com segurança em sua embalagem original.
Você pode escolher entre uma substituição ou um reembolso. Gentilmente, forneça-nos as seguintes informações:
1. Comprovante de compra.
2. Fotos da impressora e de quaisquer problemas, se possível.
Assim que recebermos essas informações, iremos orientá-lo sobre os próximos passos. Você pode devolver o produto em uma loja local ou podemos agendar um serviço de coleta para você.
Para uma substituição, permita de 7 a 10 dias úteis para processamento. Reembolsos serão processados dentro de 5 a 7 dias úteis após a conclusão da devolução.
Por favor, informe-nos como você gostaria de proceder. Estamos comprometidos em resolver este problema rapidamente.
Atenciosamente,
Equipe de Suporte ao Cliente</t>
        </is>
      </c>
      <c r="I293" s="1" t="inlineStr">
        <is>
          <t>low</t>
        </is>
      </c>
      <c r="J293" s="1" t="inlineStr">
        <is>
          <t>['Returns and Exchanges', 'Customer Service', 'Product Support', 'Refund Request']</t>
        </is>
      </c>
      <c r="K293" s="1" t="inlineStr">
        <is>
          <t>pt</t>
        </is>
      </c>
      <c r="L293" s="1" t="n">
        <v>612</v>
      </c>
    </row>
    <row r="294" ht="16.5" customHeight="1">
      <c r="A294" s="1" t="n">
        <v>2602</v>
      </c>
      <c r="B294" s="3" t="inlineStr">
        <is>
          <t>Gerenciamento de Incidentes</t>
        </is>
      </c>
      <c r="C294" s="3" t="inlineStr">
        <is>
          <t>Gerenciamento de Problemas</t>
        </is>
      </c>
      <c r="D294" s="1" t="inlineStr">
        <is>
          <t>Quedas frequentes com o Visual Studio Code 1.70</t>
        </is>
      </c>
      <c r="E294" s="1" t="inlineStr">
        <is>
          <t>Product Support</t>
        </is>
      </c>
      <c r="F294" s="1" t="inlineStr">
        <is>
          <t>Olá &lt;name&gt;,
Estou escrevendo para relatar um problema com o Visual Studio Code 1.70 no Windows 10. O aplicativo frequentemente trava quando tento carregar extensões. Este problema tem persistido na última semana, tornando extremamente difícil trabalhar de forma eficiente. Tentei várias etapas de solução de problemas, incluindo reinstalar o software, mas o problema persiste. Sua assistência para resolver este problema o mais rápido possível seria muito apreciada.
Obrigado,
&lt;name&gt;
Número da Conta: &lt;acc_num&gt;
Contato: &lt;tel_num&gt;</t>
        </is>
      </c>
      <c r="G294" s="1" t="inlineStr">
        <is>
          <t>Incident</t>
        </is>
      </c>
      <c r="H294" s="1" t="inlineStr">
        <is>
          <t>Olá &lt;name&gt;,
Obrigado por entrar em contato. Lamentamos ouvir sobre os problemas com o Visual Studio Code 1.70. Para ajudá-lo mais, por favor tente redefinir as configurações para o padrão ou executar o Visual Studio Code sem extensões usando `code --disable-extensions` a partir do Prompt de Comando. Se as quedas continuarem, por favor nos forneça quaisquer mensagens de erro que você receber. Agradecemos a sua paciência e nos esforçaremos para resolver isso rapidamente.
Atenciosamente,
[Sua Equipe de Suporte]</t>
        </is>
      </c>
      <c r="I294" s="1" t="inlineStr">
        <is>
          <t>medium</t>
        </is>
      </c>
      <c r="J294" s="1" t="inlineStr">
        <is>
          <t>['Technical Support', 'Software Bug', 'Problem Resolution', 'Urgent Issue', 'System Crash', 'Application Issue']</t>
        </is>
      </c>
      <c r="K294" s="1" t="inlineStr">
        <is>
          <t>pt</t>
        </is>
      </c>
      <c r="L294" s="1" t="n">
        <v>531</v>
      </c>
    </row>
    <row r="295" ht="16.5" customHeight="1">
      <c r="A295" s="1" t="n">
        <v>2608</v>
      </c>
      <c r="B295" s="3" t="inlineStr">
        <is>
          <t>Gerenciamento de Incidentes</t>
        </is>
      </c>
      <c r="C295" s="3" t="inlineStr">
        <is>
          <t>Gerenciamento de Problemas</t>
        </is>
      </c>
      <c r="D295" s="1" t="inlineStr">
        <is>
          <t>Problema frequente de atolamentos de papel com a impressora HP</t>
        </is>
      </c>
      <c r="E295" s="1" t="inlineStr">
        <is>
          <t>Customer Service</t>
        </is>
      </c>
      <c r="F295" s="1" t="inlineStr">
        <is>
          <t>Prezado Suporte ao Cliente da Tech Online Store,
Estou escrevendo para chamar sua atenção para um problema que estou enfrentando com a impressora HP DeskJet 3755, que comprei recentemente em sua loja online. O dispositivo frequentemente encontra atolamentos de papel durante impressões coloridas sem fio, particularmente quando uso minhas configurações preferidas. Este problema persistente tem interrompido significativamente meu fluxo de trabalho.
Certifiquei-me de que todas as etapas de manutenção recomendadas foram seguidas, como carregar o papel corretamente e usar o tipo de papel especificado, mas o problema persiste. Além disso, testei com vários dispositivos para descartar quaisquer problemas de conectividade, mas o problema continua.
Você poderia nos aconselhar sobre como resolver efetivamente este problema ou, se possível, como prosseguir com um reparo ou substituição através do seu processo de garantia? Sua assistência na resolução desta questão de forma rápida seria muito apreciada.
Obrigado pela sua atenção a esta situação. Aguardamos sua resposta.
Atenciosamente,
&lt;name&gt;
&lt;acc_num&gt;</t>
        </is>
      </c>
      <c r="G295" s="1" t="inlineStr">
        <is>
          <t>Problem</t>
        </is>
      </c>
      <c r="H295" s="1" t="inlineStr">
        <is>
          <t>Prezado &lt;name&gt;,
Obrigado por entrar em contato e trazer este problema à nossa atenção. Pedimos desculpas pelo inconveniente que você está enfrentando com a sua impressora HP DeskJet 3755.
Para resolver os atolamentos frequentes de papel, por favor, verifique se a bandeja de papel não está sobrecarregada e se o papel utilizado corresponde às especificações descritas no manual do usuário. Verifique se há pequenos pedaços de papel presos na impressora. Além disso, verifique se os roletes de impressão estão limpos e sem detritos que possam interferir.
Se as etapas acima não resolverem o problema, por favor, nos forneça os detalhes da sua compra em &lt;acc_num&gt; para que possamos ajudá-lo com o processo de reparo ou substituição sob sua garantia. Estamos comprometidos em resolver esta questão rapidamente.
Sinta-se à vontade para nos contatar se precisar de mais assistência.
Atenciosamente,
Suporte ao Cliente da Tech Online Store</t>
        </is>
      </c>
      <c r="I295" s="1" t="inlineStr">
        <is>
          <t>low</t>
        </is>
      </c>
      <c r="J295" s="1" t="inlineStr">
        <is>
          <t>['Technical Support', 'Product Support', 'Hardware Failure', 'Warranty Claim', 'Problem Resolution']</t>
        </is>
      </c>
      <c r="K295" s="1" t="inlineStr">
        <is>
          <t>pt</t>
        </is>
      </c>
      <c r="L295" s="1" t="n">
        <v>1113</v>
      </c>
    </row>
    <row r="296" ht="16.5" customHeight="1">
      <c r="A296" s="1" t="n">
        <v>2613</v>
      </c>
      <c r="B296" s="3" t="inlineStr">
        <is>
          <t>Solicitação de Serviço</t>
        </is>
      </c>
      <c r="C296" s="3" t="inlineStr">
        <is>
          <t>Gerenciamento de Ativos de TI</t>
        </is>
      </c>
      <c r="D296" s="1" t="inlineStr">
        <is>
          <t>Solicitação de Troca devido a Problemas de Flicker no LG OLED C1</t>
        </is>
      </c>
      <c r="E296" s="1" t="inlineStr">
        <is>
          <t>Returns and Exchanges</t>
        </is>
      </c>
      <c r="F296" s="1" t="inlineStr">
        <is>
          <t>Caro Atendimento ao Cliente da Tech Online Store,
Estou escrevendo para relatar um problema com a televisão LG OLED C1 que comprei. A tela está piscando intermitentemente, o que persiste mesmo após redefinir o dispositivo conforme o conselho de solução de problemas fornecido no manual. Este problema está afetando minha experiência de visualização, tornando difícil desfrutar do produto como pretendido. Portanto, solicito gentilmente uma troca desta unidade.
Você poderia, por favor, fornecer orientações sobre os passos para retornar o produto defeituoso e obter uma unidade de substituição?
Obrigado por tratar este assunto prontamente. Aguardo sua rápida resposta.
Atenciosamente,
&lt;name&gt;</t>
        </is>
      </c>
      <c r="G296" s="1" t="inlineStr">
        <is>
          <t>Incident</t>
        </is>
      </c>
      <c r="H296" s="1" t="inlineStr">
        <is>
          <t>Caro &lt;name&gt;,
Obrigado por entrar em contato conosco sobre o problema com sua televisão LG OLED C1. Pedimos desculpas pelo inconveniente causado pela tela piscando. Para ajudá-lo com o processo de troca, siga estas etapas:
1. Prepare a televisão para retorno, embalando-a com segurança em sua caixa original, se possível.
2. Inclua todos os acessórios e o comprovante de compra original.
3. Entre em contato com nosso departamento de devoluções pelo [email/número de telefone] para receber um número de autorização de retorno e mais instruções.
4. Assim que recebermos o produto defeituoso, processaremos sua troca rapidamente e enviaremos uma unidade de substituição.
Se precisar de mais assistência, não hesite em entrar em contato.
Atenciosamente,
Atendimento ao Cliente da Tech Online Store</t>
        </is>
      </c>
      <c r="I296" s="1" t="inlineStr">
        <is>
          <t>low</t>
        </is>
      </c>
      <c r="J296" s="1" t="inlineStr">
        <is>
          <t>['Returns and Exchanges', 'Product Support', 'Customer Service', 'Technical Support', 'Order Issue', 'Product Replacement', 'Problem Resolution']</t>
        </is>
      </c>
      <c r="K296" s="1" t="inlineStr">
        <is>
          <t>pt</t>
        </is>
      </c>
      <c r="L296" s="1" t="n">
        <v>696</v>
      </c>
    </row>
    <row r="297" ht="16.5" customHeight="1">
      <c r="A297" s="1" t="n">
        <v>2622</v>
      </c>
      <c r="B297" s="3" t="inlineStr">
        <is>
          <t>Gerenciamento de Incidentes</t>
        </is>
      </c>
      <c r="C297" s="3" t="inlineStr">
        <is>
          <t>Gerenciamento de Problemas</t>
        </is>
      </c>
      <c r="D297" s="1" t="inlineStr">
        <is>
          <t>Dificuldades ao Habilitar o Norton Antivirus Plus</t>
        </is>
      </c>
      <c r="E297" s="1" t="inlineStr">
        <is>
          <t>Product Support</t>
        </is>
      </c>
      <c r="F297" s="1" t="inlineStr">
        <is>
          <t>Olá &lt;name&gt;,
Estou tendo dificuldades ao tentar habilitar o Norton Antivirus Plus. Sempre que faço a tentativa de ativação, aparece um erro. Poderia me ajudar a solucionar essa questão o mais breve possível?
Cordialmente,
&lt;name&gt;</t>
        </is>
      </c>
      <c r="G297" s="1" t="inlineStr">
        <is>
          <t>Request</t>
        </is>
      </c>
      <c r="H297" s="1" t="inlineStr">
        <is>
          <t>Olá [Nome do Cliente],
Sinto muito pelo inconveniente. Por favor, confirme se sua conexão com a internet está ativa e se você está utilizando a versão mais atual do programa. Caso o problema persista, compartilhe a mensagem de erro exata ou entre em contato diretamente com o Suporte do Norton para obter mais ajuda.
Cordialmente,
[Seu Nome]</t>
        </is>
      </c>
      <c r="I297" s="1" t="inlineStr">
        <is>
          <t>medium</t>
        </is>
      </c>
      <c r="J297" s="1" t="inlineStr">
        <is>
          <t>['Technical Support', 'Software Bug', 'Problem Resolution', 'Urgent Issue']</t>
        </is>
      </c>
      <c r="K297" s="1" t="inlineStr">
        <is>
          <t>pt</t>
        </is>
      </c>
      <c r="L297" s="1" t="n">
        <v>229</v>
      </c>
    </row>
    <row r="298" ht="16.5" customHeight="1">
      <c r="A298" s="1" t="n">
        <v>2638</v>
      </c>
      <c r="B298" s="3" t="inlineStr">
        <is>
          <t>Gerenciamento de Incidentes</t>
        </is>
      </c>
      <c r="C298" s="3" t="inlineStr">
        <is>
          <t>Gerenciamento de Ativos de TI</t>
        </is>
      </c>
      <c r="D298" s="1" t="inlineStr">
        <is>
          <t>Problema com o Dell XPS 13 ao iniciar</t>
        </is>
      </c>
      <c r="E298" s="1" t="inlineStr">
        <is>
          <t>Product Support</t>
        </is>
      </c>
      <c r="F298" s="1" t="inlineStr">
        <is>
          <t>Olá Suporte ao Cliente da Tech Online Store, 
Estou escrevendo para expressar minhas preocupações sobre um problema que estou enfrentando com uma compra recente em sua loja, o Dell XPS 13 9310. Infelizmente, o ultrabook falha intermitentemente ao iniciar corretamente e frequentemente congela na tela de inicialização. Esse problema me impede de usar o laptop de forma eficaz para minhas tarefas relacionadas ao trabalho e projetos pessoais. 
Tentei vários métodos de solução de problemas, incluindo verificar as configurações da BIOS e garantir que todos os drivers estejam atualizados, mas o problema persiste. Além disso, realizar um hard reset também não resolveu a situação. Como um cliente fiel da Tech Online Store, espero que você possa oferecer assistência para resolver esse inconveniente. 
Por favor, oriente sobre os próximos passos para resolver o problema. Acredito que o produto ainda esteja na garantia e solicito gentilmente orientação sobre como proceder, seja por meio de reparo, substituição ou opções de reembolso. 
Obrigado pela sua atenção imediata a este assunto. Aguardo seu apoio para restaurar a plena funcionalidade do meu dispositivo. 
Atenciosamente,
&lt;name&gt;</t>
        </is>
      </c>
      <c r="G298" s="1" t="inlineStr">
        <is>
          <t>Incident</t>
        </is>
      </c>
      <c r="H298" s="1" t="inlineStr">
        <is>
          <t>Olá &lt;name&gt;,
Obrigado por entrar em contato e nos informar sobre os problemas com seu Dell XPS 13 9310. Lamentamos saber sobre as dificuldades que você está enfrentando.
Para prosseguir, siga estas etapas:
1. Nos forneça uma cópia do seu recibo de compra ou número do pedido para verificação.
2. Confirme se a garantia do seu dispositivo ainda está ativa verificando com nossa equipe de atendimento ao cliente ou através da sua conta em nosso site.
Assim que tivermos as informações acima, poderemos orientá-lo nas etapas necessárias para reparo, substituição ou reembolso, dependendo da cobertura da sua garantia.
Agradecemos sua lealdade e estamos comprometidos em resolver esse problema rapidamente.
Atenciosamente,
Suporte ao Cliente da Tech Online Store</t>
        </is>
      </c>
      <c r="I298" s="1" t="inlineStr">
        <is>
          <t>high</t>
        </is>
      </c>
      <c r="J298" s="1" t="inlineStr">
        <is>
          <t>['Technical Support', 'Product Support', 'Hardware Failure', 'Warranty Claim', 'Account Assistance', 'Problem Resolution', 'Service Recovery']</t>
        </is>
      </c>
      <c r="K298" s="1" t="inlineStr">
        <is>
          <t>pt</t>
        </is>
      </c>
      <c r="L298" s="1" t="n">
        <v>1192</v>
      </c>
    </row>
    <row r="299" ht="16.5" customHeight="1">
      <c r="A299" s="1" t="n">
        <v>2653</v>
      </c>
      <c r="B299" s="3" t="inlineStr">
        <is>
          <t>Solicitação de Serviço</t>
        </is>
      </c>
      <c r="C299" s="3" t="inlineStr">
        <is>
          <t>Gerenciamento Financeiro</t>
        </is>
      </c>
      <c r="D299" s="1" t="inlineStr">
        <is>
          <t>Consulta de Compra</t>
        </is>
      </c>
      <c r="E299" s="1" t="inlineStr">
        <is>
          <t>Customer Service</t>
        </is>
      </c>
      <c r="F299" s="1" t="inlineStr">
        <is>
          <t>Caro Time de Suporte ao Cliente, espero que esta mensagem o encontre bem. Estou escrevendo para perguntar sobre as opções de compra para o MacBook Air M1, pois estou interessado em adquirir este produto. Especificamente, estou procurando informações sobre os planos de pagamento disponíveis que sua empresa oferece para este dispositivo. Seria ótimo se você pudesse fornecer informações detalhadas sobre quaisquer parcelas, opções de financiamento ou promoções especiais atualmente disponíveis para o MacBook Air M1. Além disso, eu apreciaria saber o status atual de disponibilidade do MacBook Air M1 em seu estoque. Como um cliente em potencial, entender se este produto está em estoque ou se pode haver atrasos na entrega ou fornecimento me ajudaria a tomar uma decisão informada. Além disso, se possível, por favor, forneça orientações sobre como proceder com uma compra, incluindo qualquer documentação ou pré-requisitos exigidos e o tempo de entrega previsto assim que um pedido for feito. Sua resposta rápida será muito apreciada. Obrigado por fornecer uma seleção tão versátil de produtos e um serviço excepcional. Aguardamos ansiosamente sua resposta em breve com as informações solicitadas. Sinta-se à vontade para entrar em contato comigo assim que possível para discutir mais.</t>
        </is>
      </c>
      <c r="G299" s="1" t="inlineStr">
        <is>
          <t>Request</t>
        </is>
      </c>
      <c r="H299" s="1" t="inlineStr">
        <is>
          <t>Caro &lt;name&gt;,
Obrigado por entrar em contato conosco com seu interesse no MacBook Air M1. Oferecemos várias opções para facilitar sua compra, incluindo planos de parcelamento e financiamento. Também ocasionalmente temos promoções especiais, que podem beneficiar sua compra.
Para obter os detalhes mais precisos sobre promoções atuais e opções de pagamento, recomendamos entrar em contato diretamente com um de nossos representantes de vendas, que pode fornecer as últimas ofertas adaptadas à sua situação.
Quanto à disponibilidade, o MacBook Air M1 está atualmente em estoque. No entanto, os níveis de estoque podem flutuar, e sugiro confirmar isso no momento da sua compra para evitar quaisquer atrasos potenciais. Normalmente, nossa entrega leva cerca de 3-7 dias úteis a partir da data da confirmação do pedido, mas isso pode variar dependendo da sua localização.
Para prosseguir com a compra, você precisará de uma identificação válida e possivelmente comprovante de elegibilidade financeira se optar por um plano de pagamento. Para mais orientações sobre a documentação ou quaisquer requisitos específicos, sinta-se à vontade para entrar em contato com nossa equipe de vendas.
Caso você precise de algo mais ou deseje fazer um pedido, entre em contato conosco assim que possível. Estamos aqui para ajudar.
Atenciosamente,
&lt;Time de Suporte ao Cliente&gt;</t>
        </is>
      </c>
      <c r="I299" s="1" t="inlineStr">
        <is>
          <t>low</t>
        </is>
      </c>
      <c r="J299" s="1" t="inlineStr">
        <is>
          <t>['Sales Inquiry', 'Payment Processing', 'Order Issue', 'General Inquiry', 'Product Support', 'Customer Service']</t>
        </is>
      </c>
      <c r="K299" s="1" t="inlineStr">
        <is>
          <t>pt</t>
        </is>
      </c>
      <c r="L299" s="1" t="n">
        <v>1287</v>
      </c>
    </row>
    <row r="300" ht="16.5" customHeight="1">
      <c r="A300" s="1" t="n">
        <v>2659</v>
      </c>
      <c r="B300" s="3" t="inlineStr">
        <is>
          <t>Gerenciamento Financeiro</t>
        </is>
      </c>
      <c r="C300" s="3" t="inlineStr">
        <is>
          <t>Gerenciamento de Nível de Serviço</t>
        </is>
      </c>
      <c r="D300" s="1" t="inlineStr">
        <is>
          <t>Esclarecimento Necessário Sobre Cobrança de Fatura</t>
        </is>
      </c>
      <c r="E300" s="1" t="inlineStr">
        <is>
          <t>Billing and Payments</t>
        </is>
      </c>
      <c r="F300" s="1" t="inlineStr">
        <is>
          <t>Caro Suporte ao Cliente,
Notei uma cobrança rotulada como 'Licença do Jira Software 8.20' na minha fatura recente. Você poderia esclarecer o que essa cobrança implica? Eu não solicitei licenças adicionais. Obrigado.
Atenciosamente,
&lt;name&gt;</t>
        </is>
      </c>
      <c r="G300" s="1" t="inlineStr">
        <is>
          <t>Request</t>
        </is>
      </c>
      <c r="H300" s="1" t="inlineStr">
        <is>
          <t>Caro &lt;name&gt;, a cobrança pela 'Licença do Jira Software 8.20' pode ser um erro ou uma renovação. Por favor, revise os detalhes da sua assinatura ou entre em contato conosco para mais assistência para resolver este problema. Obrigado!</t>
        </is>
      </c>
      <c r="I300" s="1" t="inlineStr">
        <is>
          <t>medium</t>
        </is>
      </c>
      <c r="J300" s="1" t="inlineStr">
        <is>
          <t>['Billing Issue', 'Customer Service', 'Account Assistance', 'Problem Resolution']</t>
        </is>
      </c>
      <c r="K300" s="1" t="inlineStr">
        <is>
          <t>pt</t>
        </is>
      </c>
      <c r="L300" s="1" t="n">
        <v>240</v>
      </c>
    </row>
    <row r="301" ht="16.5" customHeight="1">
      <c r="A301" s="1" t="n">
        <v>2665</v>
      </c>
      <c r="B301" s="3" t="inlineStr">
        <is>
          <t>Solicitação de Serviço</t>
        </is>
      </c>
      <c r="C301" s="3" t="inlineStr">
        <is>
          <t>Gerenciamento Financeiro</t>
        </is>
      </c>
      <c r="D301" s="1" t="inlineStr">
        <is>
          <t>Propostas de melhorias para o gerenciamento de nuvem multi-conta da AWS</t>
        </is>
      </c>
      <c r="E301" s="1" t="inlineStr">
        <is>
          <t>Technical Support</t>
        </is>
      </c>
      <c r="F301" s="1" t="inlineStr">
        <is>
          <t>Prezado Suporte da Empresa de Consultoria de TI,
Estou escrevendo para propor melhorias para o gerenciamento da infraestrutura de nuvem em várias contas da AWS, focando em melhorar a conformidade e o gerenciamento de custos. Nosso atual Serviço de Gerenciamento da AWS carece de monitoramento unificado e verificações de conformidade proativas, o que representa riscos operacionais.
Para resolver esses problemas, sugiro implementar melhores análises entre contas e ferramentas de gerenciamento de custos automatizadas. Essas melhorias poderiam aumentar significativamente a eficiência, garantindo a adesão às políticas e otimizando a cobrança de recursos.
Por favor, considere esta proposta e informe-nos sobre quaisquer outras discussões necessárias para iniciar essas melhorias.
Obrigado.
Atenciosamente,
&lt;name&gt;
&lt;tel_num&gt;</t>
        </is>
      </c>
      <c r="G301" s="1" t="inlineStr">
        <is>
          <t>Request</t>
        </is>
      </c>
      <c r="H301" s="1" t="inlineStr">
        <is>
          <t>Prezado &lt;name&gt;,
Obrigado pela sua proposta sobre melhorias no gerenciamento da infraestrutura de nuvem da AWS. Agradecemos suas sugestões para melhorar a conformidade e o gerenciamento de custos em várias contas. A implementação de análises entre contas e ferramentas de gerenciamento de custos automatizadas parece promissora para otimizar a eficiência e a adesão às políticas.
Revisaremos sua proposta internamente e entraremos em contato caso precisemos de mais discussões para prosseguir com essas melhorias.
Obrigado pelo contato.
Atenciosamente,
Suporte da Empresa de Consultoria de TI</t>
        </is>
      </c>
      <c r="I301" s="1" t="inlineStr">
        <is>
          <t>high</t>
        </is>
      </c>
      <c r="J301" s="1" t="inlineStr">
        <is>
          <t>['Technical Support', 'Product Support', 'Service Notification', 'General Inquiry', 'Performance Tuning', 'Feature Request']</t>
        </is>
      </c>
      <c r="K301" s="1" t="inlineStr">
        <is>
          <t>pt</t>
        </is>
      </c>
      <c r="L301" s="1" t="n">
        <v>831</v>
      </c>
    </row>
    <row r="302" ht="16.5" customHeight="1">
      <c r="A302" s="1" t="n">
        <v>2672</v>
      </c>
      <c r="B302" s="3" t="inlineStr">
        <is>
          <t>Gerenciamento de Incidentes</t>
        </is>
      </c>
      <c r="C302" s="3" t="inlineStr">
        <is>
          <t>Gerenciamento de Problemas</t>
        </is>
      </c>
      <c r="D302" s="1" t="inlineStr">
        <is>
          <t>Problemas de Conectividade e Desempenho de Wi-Fi com o Roteador Cisco</t>
        </is>
      </c>
      <c r="E302" s="1" t="inlineStr">
        <is>
          <t>Technical Support</t>
        </is>
      </c>
      <c r="F302" s="1" t="inlineStr">
        <is>
          <t>Prezado Suporte ao Cliente,
Estou escrevendo para expressar preocupações sobre problemas contínuos de conectividade Wi-Fi atribuídos ao nosso Roteador Cisco ISR4331. Nas últimas semanas, temos experimentado quedas regulares de desempenho, que suspeitamos ser devido a uma má configuração do roteador. Essas interrupções estão impactando significativamente a confiabilidade da nossa rede empresarial e, portanto, nossas operações comerciais.
Apesar das tentativas de resolver o problema por meio de várias medidas de solução de problemas, o problema persiste, levando a interrupções que afetam nossa eficiência no trabalho. Solicitamos gentilmente sua assistência para resolver essa questão como prioridade. Você poderia nos aconselhar sobre soluções potenciais ou agendar uma visita técnica na primeira oportunidade?
Obrigado pela sua atenção imediata a esta questão urgente.
Atenciosamente,
&lt;name&gt;
&lt;email_address&gt;
&lt;tel_num&gt;</t>
        </is>
      </c>
      <c r="G302" s="1" t="inlineStr">
        <is>
          <t>Incident</t>
        </is>
      </c>
      <c r="H302" s="1" t="inlineStr">
        <is>
          <t>Prezado &lt;name&gt;,
Obrigado por entrar em contato sobre os problemas de conectividade Wi-Fi com seu Roteador Cisco ISR4331. Entendo a urgência e o impacto que isso tem em suas operações.
Para um alívio imediato, você poderia, por favor, garantir que o firmware do roteador esteja atualizado para a versão mais recente? Além disso, verifique se nenhuma configuração foi alterada que possa afetar o desempenho.
Se o problema persistir, ficarei feliz em agendar uma visita técnica na sua primeira oportunidade ou fornecer mais assistência por meio de uma sessão remota. Por favor, nos avise sobre o seu curso de ação preferido.
Obrigado pela sua paciência e compreensão.
Atenciosamente,
Equipe de Suporte ao Cliente</t>
        </is>
      </c>
      <c r="I302" s="1" t="inlineStr">
        <is>
          <t>medium</t>
        </is>
      </c>
      <c r="J302" s="1" t="inlineStr">
        <is>
          <t>['Technical Support', 'Performance Tuning', 'Network Issue', 'Service Disruption', 'Incident Report', 'Urgent Issue']</t>
        </is>
      </c>
      <c r="K302" s="1" t="inlineStr">
        <is>
          <t>pt</t>
        </is>
      </c>
      <c r="L302" s="1" t="n">
        <v>931</v>
      </c>
    </row>
    <row r="303" ht="16.5" customHeight="1">
      <c r="A303" s="1" t="n">
        <v>2688</v>
      </c>
      <c r="B303" s="3" t="inlineStr">
        <is>
          <t>Solicitação de Serviço</t>
        </is>
      </c>
      <c r="C303" s="3" t="inlineStr">
        <is>
          <t>Gerenciamento de Nível de Serviço</t>
        </is>
      </c>
      <c r="D303" s="1" t="inlineStr">
        <is>
          <t>Consulta sobre Administração de Servidores</t>
        </is>
      </c>
      <c r="E303" s="1" t="inlineStr">
        <is>
          <t>General Inquiry</t>
        </is>
      </c>
      <c r="F303" s="1" t="inlineStr">
        <is>
          <t>Caro Suporte ao Cliente da Empresa de Consultoria de TI,
Espero que este e-mail o encontre bem. Meu nome é &lt;name&gt; e estou entrando em contato para perguntar sobre seus serviços de administração de servidores. Estamos explorando várias soluções de TI que podem otimizar nossas operações e aprimorar nossa infraestrutura existente. Você poderia, por favor, nos fornecer informações detalhadas sobre os serviços de administração de servidores oferecidos? Estamos particularmente interessados em quaisquer soluções que se integrem perfeitamente aos sistemas existentes e garantam um desempenho ideal dos servidores.
Além disso, se disponível, eu apreciaria quaisquer brochuras, pacotes de preços ou planos de serviço abrangentes que você pudesse compartilhar. Nosso objetivo é tomar uma decisão informada que esteja alinhada com nossas metas organizacionais.
Aguardamos sua resposta rápida e sinta-se à vontade para entrar em contato assim que possível. Para quaisquer perguntas, por favor, entre em contato comigo pelo &lt;tel_num&gt; ou por e-mail em &lt;email_address&gt;.
Obrigado por sua assistência.
Atenciosamente,
&lt;name&gt;
&lt;company_name&gt;
&lt;acc_num&gt;</t>
        </is>
      </c>
      <c r="G303" s="1" t="inlineStr">
        <is>
          <t>Incident</t>
        </is>
      </c>
      <c r="H303" s="1" t="inlineStr">
        <is>
          <t>Caro &lt;name&gt;,
Obrigado por entrar em contato conosco sobre nossos serviços de administração de servidores. Oferecemos uma variedade de soluções projetadas para otimizar o desempenho do servidor e se integrar perfeitamente aos sistemas existentes. Nossos serviços incluem monitoramento de sistema, gerenciamento de segurança, manutenção de rotina e mais, para garantir eficiência e confiabilidade.
Vou enviar brochuras e pacotes de preços detalhados diretamente para o seu e-mail para ajudá-lo a avaliar nossas ofertas. Sinta-se à vontade para revisar esses materiais e não hesite em entrar em contato se tiver alguma dúvida ou precisar de mais esclarecimentos.
Estamos ansiosos para ajudar a &lt;company_name&gt; a atingir suas metas de TI.
Atenciosamente,
Equipe de Suporte ao Cliente
Empresa de Consultoria de TI</t>
        </is>
      </c>
      <c r="I303" s="1" t="inlineStr">
        <is>
          <t>low</t>
        </is>
      </c>
      <c r="J303" s="1" t="inlineStr">
        <is>
          <t>['Technical Support', 'Product Support', 'General Inquiry', 'Account Assistance', 'Performance Tuning', 'Technical Guidance', 'Service Recovery']</t>
        </is>
      </c>
      <c r="K303" s="1" t="inlineStr">
        <is>
          <t>pt</t>
        </is>
      </c>
      <c r="L303" s="1" t="n">
        <v>1143</v>
      </c>
    </row>
    <row r="304" ht="16.5" customHeight="1">
      <c r="A304" s="1" t="n">
        <v>2702</v>
      </c>
      <c r="B304" s="3" t="inlineStr">
        <is>
          <t>Solicitação de Serviço</t>
        </is>
      </c>
      <c r="C304" s="3" t="inlineStr">
        <is>
          <t>Gerenciamento de Ativos de TI</t>
        </is>
      </c>
      <c r="D304" s="1" t="inlineStr">
        <is>
          <t>Solicitação de Troca: Problema com a Impressora Canon PIXMA MG3620</t>
        </is>
      </c>
      <c r="E304" s="1" t="inlineStr">
        <is>
          <t>Returns and Exchanges</t>
        </is>
      </c>
      <c r="F304" s="1" t="inlineStr">
        <is>
          <t>Caro time de Suporte ao Cliente, recentemente comprei uma impressora Canon PIXMA MG3620 em sua loja online. Ao configurá-la, descubri que as configurações de rede sem fio estavam incorretas. Gostaria de solicitar uma troca deste item. Por favor, informe o procedimento. Obrigado, &lt;name&gt;. Minha referência de pedido é &lt;order_ref_num&gt;.</t>
        </is>
      </c>
      <c r="G304" s="1" t="inlineStr">
        <is>
          <t>Incident</t>
        </is>
      </c>
      <c r="H304" s="1" t="inlineStr">
        <is>
          <t>Caro &lt;name&gt;,
Obrigado por entrar em contato conosco sobre o problema com sua impressora Canon PIXMA MG3620. Pedimos desculpas pelo inconveniente. Para processar uma troca, por favor, devolva a impressora usando a embalagem original, incluindo todos os acessórios. Visite nosso portal de devoluções em nosso site e insira sua referência de pedido &lt;order_ref_num&gt; para iniciar a devolução. Assim que processada, enviaremos uma substituição para você. Se você tiver mais perguntas, não hesite em entrar em contato.
Atenciosamente,
Equipe de Suporte ao Cliente</t>
        </is>
      </c>
      <c r="I304" s="1" t="inlineStr">
        <is>
          <t>low</t>
        </is>
      </c>
      <c r="J304" s="1" t="inlineStr">
        <is>
          <t>['Returns and Exchanges', 'Customer Service', 'Product Replacement', 'Order Issue']</t>
        </is>
      </c>
      <c r="K304" s="1" t="inlineStr">
        <is>
          <t>pt</t>
        </is>
      </c>
      <c r="L304" s="1" t="n">
        <v>333</v>
      </c>
    </row>
    <row r="305" ht="16.5" customHeight="1">
      <c r="A305" s="1" t="n">
        <v>2713</v>
      </c>
      <c r="B305" s="3" t="inlineStr">
        <is>
          <t>Gerenciamento de Incidentes</t>
        </is>
      </c>
      <c r="C305" s="3" t="inlineStr">
        <is>
          <t>Gerenciamento de Mudanças</t>
        </is>
      </c>
      <c r="D305" s="1" t="inlineStr">
        <is>
          <t>Assistência Urgente Necessária para Problema de Implementação de Software</t>
        </is>
      </c>
      <c r="E305" s="1" t="inlineStr">
        <is>
          <t>Customer Service</t>
        </is>
      </c>
      <c r="F305" s="1" t="inlineStr">
        <is>
          <t>Caro Equipe de Suporte ao Cliente,
Estou escrevendo para chamar a sua atenção para um problema que estamos enfrentando com a alocação de implementação de software do seu Serviço de Consultoria de TI. Este problema causou um tempo de inatividade inesperado durante nossas horas de maior movimento, o que afetou severamente nossas operações.
Precisamos de assistência imediata para resolver esta questão, pois nossos negócios dependem fortemente desses serviços estarem disponíveis a todo momento. Você poderia, por favor, priorizar nosso pedido e nos guiar pelos passos necessários para resolver este problema rapidamente?
Agradeço a sua compreensão e ação rápida neste assunto urgente. Caso precise de mais informações, não hesite em entrar em contato.
Obrigado,
&lt;name&gt;
&lt;tel_num&gt;
&lt;acc_num&gt;
Atenciosamente,
&lt;name&gt;</t>
        </is>
      </c>
      <c r="G305" s="1" t="inlineStr">
        <is>
          <t>Problem</t>
        </is>
      </c>
      <c r="H305" s="1" t="inlineStr">
        <is>
          <t>Caro &lt;name&gt;,
Obrigado por entrar em contato e nos informar sobre o problema. Pedimos sinceras desculpas pela inconveniência que isso causou durante suas horas de pico. Entendemos a urgência e priorizamos seu pedido.
Por favor, aguarde um acompanhamento imediato da nossa equipe técnica para orientá-lo no processo de resolução. Eles o ajudarão passo a passo para abordar e resolver este problema de implementação o mais rápido possível.
Se houver qualquer informação adicional que você possa fornecer ou se houver detalhes específicos que possam ajudar nossa equipe, não hesite em compartilhar. Estamos comprometidos em restaurar seus serviços à plena funcionalidade rapidamente.
Obrigado pela sua paciência e compreensão.
Atenciosamente,
Equipe de Suporte ao Cliente</t>
        </is>
      </c>
      <c r="I305" s="1" t="inlineStr">
        <is>
          <t>medium</t>
        </is>
      </c>
      <c r="J305" s="1" t="inlineStr">
        <is>
          <t>['Technical Support', 'Urgent Issue', 'Software Bug', 'Service Disruption', 'Problem Resolution', 'IT Support', 'System Crash']</t>
        </is>
      </c>
      <c r="K305" s="1" t="inlineStr">
        <is>
          <t>pt</t>
        </is>
      </c>
      <c r="L305" s="1" t="n">
        <v>820</v>
      </c>
    </row>
    <row r="306" ht="16.5" customHeight="1">
      <c r="A306" s="1" t="n">
        <v>2736</v>
      </c>
      <c r="B306" s="3" t="inlineStr">
        <is>
          <t>Gerenciamento de Incidentes</t>
        </is>
      </c>
      <c r="C306" s="3" t="inlineStr">
        <is>
          <t>Gerenciamento de Problemas</t>
        </is>
      </c>
      <c r="D306" s="1" t="inlineStr">
        <is>
          <t>Flickering Intermitente da Tela no Dell XPS 13</t>
        </is>
      </c>
      <c r="E306" s="1" t="inlineStr">
        <is>
          <t>Technical Support</t>
        </is>
      </c>
      <c r="F306" s="1" t="inlineStr">
        <is>
          <t>Prezado Suporte ao Cliente,
Estou escrevendo para relatar um problema com meu Dell XPS 13 9310, que apresenta um flickering intermitente na tela. O notebook, um ultrabook de alto desempenho com Windows 10, tem sido confiável até agora, mas esse flickering atrapalha meu trabalho. Tentei a solução de problemas básica, como atualizar drivers e garantir que o software do sistema esteja atualizado. No entanto, o problema persiste. Poderia fornecer orientações ou soluções potenciais para este problema? Sua assistência em resolver esta questão seria muito apreciada.
Obrigado pela atenção a esta preocupação.
Atenciosamente,
&lt;name&gt;</t>
        </is>
      </c>
      <c r="G306" s="1" t="inlineStr">
        <is>
          <t>Incident</t>
        </is>
      </c>
      <c r="H306" s="1" t="inlineStr">
        <is>
          <t>Prezado &lt;name&gt;,
Obrigado por entrar em contato. Para o flickering intermitente da tela no seu Dell XPS 13, por favor, tente o seguinte:
1. **Reinicie em Modo Seguro**: Verifique se o problema persiste em Modo Seguro. Se não, pode ser um conflito de software.
2. **Desativar Aceleração de Hardware**: Desative a aceleração de hardware nas configurações de exibição, pois isso pode às vezes causar flickering.
3. **Teste com Monitor Externo**: Conecte-se a um monitor externo para ver se também ocorre flickering. Isso pode ajudar a identificar se é um problema de tela ou GPU.
4. **Aplicativos em Segundo Plano**: Feche aplicativos desnecessários em segundo plano que possam interferir na renderização da tela.
Se nenhuma dessas opções resolver o problema, pode ser necessário um diagnóstico ou reparo profissional. Por favor, avise-nos se precisar de mais assistência ou se deseja explorar opções de reparo.
Atenciosamente,
Equipe de Suporte ao Cliente</t>
        </is>
      </c>
      <c r="I306" s="1" t="inlineStr">
        <is>
          <t>medium</t>
        </is>
      </c>
      <c r="J306" s="1" t="inlineStr">
        <is>
          <t>['Technical Support', 'Product Support', 'Hardware Failure', 'Problem Resolution', 'Customer Service']</t>
        </is>
      </c>
      <c r="K306" s="1" t="inlineStr">
        <is>
          <t>pt</t>
        </is>
      </c>
      <c r="L306" s="1" t="n">
        <v>634</v>
      </c>
    </row>
    <row r="307" ht="16.5" customHeight="1">
      <c r="A307" s="1" t="n">
        <v>2748</v>
      </c>
      <c r="B307" s="3" t="inlineStr">
        <is>
          <t>Gerenciamento de Incidentes</t>
        </is>
      </c>
      <c r="C307" s="3" t="inlineStr">
        <is>
          <t>Gerenciamento de Mudanças</t>
        </is>
      </c>
      <c r="D307" s="1" t="inlineStr">
        <is>
          <t>Problema Urgente com o Deployment da AWS</t>
        </is>
      </c>
      <c r="E307" s="1" t="inlineStr">
        <is>
          <t>Technical Support</t>
        </is>
      </c>
      <c r="F307" s="1" t="inlineStr">
        <is>
          <t>Caro time de Suporte de Serviços de TI, Estou escrevendo para informá-los sobre um problema crítico que estamos enfrentando com a implementação da nossa infraestrutura AWS, o que está afetando significativamente a eficiência operacional de nossos serviços em nuvem e os esforços de otimização de custos. O problema parece estar relacionado ao Serviço de Gerenciamento da AWS, causando interrupções em nossas operações comerciais regulares. Precisamos urgentemente da sua assistência para corrigir esse problema. Por favor, escale isso como um incidente de alta prioridade e aconselhe sobre os próximos passos possíveis. Anexados estão logs relevantes e dados de desempenho para sua referência. Aguardamos sua rápida resposta. Obrigado, &lt;name&gt;.</t>
        </is>
      </c>
      <c r="G307" s="1" t="inlineStr">
        <is>
          <t>Incident</t>
        </is>
      </c>
      <c r="H307" s="1" t="inlineStr">
        <is>
          <t>Caro &lt;name&gt;,
Obrigado por nos contatar sobre o problema com sua implementação da AWS. Entendemos a urgência da situação e escalamos isso como um incidente de alta prioridade conforme seu pedido.
Nossa equipe está atualmente revisando os logs e os dados de desempenho que você forneceu para diagnosticar o problema com o Serviço de Gerenciamento da AWS. Garantimos que resolver essa questão é nossa maior prioridade. Manteremos você informado sobre nossas descobertas e os próximos passos necessários para restaurar sua eficiência operacional.
Agradecemos sua paciência e cooperação neste assunto. Sinta-se à vontade para nos contatar se tiver mais perguntas ou receber informações adicionais.
Atenciosamente,
Equipe de Suporte de Serviços de TI</t>
        </is>
      </c>
      <c r="I307" s="1" t="inlineStr">
        <is>
          <t>high</t>
        </is>
      </c>
      <c r="J307" s="1" t="inlineStr">
        <is>
          <t>['Technical Support', 'IT Support', 'Urgent Issue', 'Service Disruption', 'Incident Report', 'System Crash', 'Problem Resolution']</t>
        </is>
      </c>
      <c r="K307" s="1" t="inlineStr">
        <is>
          <t>pt</t>
        </is>
      </c>
      <c r="L307" s="1" t="n">
        <v>743</v>
      </c>
    </row>
    <row r="308" ht="16.5" customHeight="1">
      <c r="A308" s="1" t="n">
        <v>2764</v>
      </c>
      <c r="B308" s="3" t="inlineStr">
        <is>
          <t>Gerenciamento de Incidentes</t>
        </is>
      </c>
      <c r="C308" s="3" t="inlineStr">
        <is>
          <t>Gerenciamento de Disponibilidade</t>
        </is>
      </c>
      <c r="D308" s="1" t="inlineStr">
        <is>
          <t>Urgente: Assistência Imediata Necessária para Problema de Administração de Servidor</t>
        </is>
      </c>
      <c r="E308" s="1" t="inlineStr">
        <is>
          <t>IT Support</t>
        </is>
      </c>
      <c r="F308" s="1" t="inlineStr">
        <is>
          <t>Olá Suporte ao Cliente,
Espero que esta mensagem o encontre bem. Atualmente, estamos enfrentando um problema prioritário com a administração do nosso servidor sob seu Serviço de Consultoria de TI. Precisamos urgentemente de sua expertise para identificar a causa raiz e implementar soluções necessárias. O problema está impactando significativamente nossas operações e precisa de atenção imediata. Por favor, entre em contato conosco o mais rápido possível para discutir como podemos proceder para resolver este problema rapidamente.
Obrigado.
Atenciosamente,
&lt;name&gt;
&lt;acc_num&gt;
&lt;tel_num&gt;</t>
        </is>
      </c>
      <c r="G308" s="1" t="inlineStr">
        <is>
          <t>Problem</t>
        </is>
      </c>
      <c r="H308" s="1" t="inlineStr">
        <is>
          <t>Assunto: Re: Urgente: Assistência Imediata Necessária para Problema de Administração de Servidor
Caro &lt;name&gt;,
Obrigado por entrar em contato. Lamentamos saber sobre as dificuldades que você está enfrentando. Estamos designando uma equipe dedicada para investigar imediatamente seu problema de administração de servidor. Um de nossos consultores de TI seniores entrará em contato com você em breve pelo &lt;tel_num&gt; para discutir os detalhes e trabalhar em uma resolução rápida.
Obrigado pela sua paciência e compreensão.
Atenciosamente,
Equipe de Suporte ao Cliente</t>
        </is>
      </c>
      <c r="I308" s="1" t="inlineStr">
        <is>
          <t>high</t>
        </is>
      </c>
      <c r="J308" s="1" t="inlineStr">
        <is>
          <t>['IT Support', 'Urgent Issue', 'Technical Support', 'Problem Resolution', 'Service Disruption', 'Administration Issue']</t>
        </is>
      </c>
      <c r="K308" s="1" t="inlineStr">
        <is>
          <t>pt</t>
        </is>
      </c>
      <c r="L308" s="1" t="n">
        <v>589</v>
      </c>
    </row>
    <row r="309" ht="16.5" customHeight="1">
      <c r="A309" s="1" t="n">
        <v>2778</v>
      </c>
      <c r="B309" s="3" t="inlineStr">
        <is>
          <t>Gerenciamento de Incidentes</t>
        </is>
      </c>
      <c r="C309" s="3" t="inlineStr">
        <is>
          <t>Gerenciamento de Problemas</t>
        </is>
      </c>
      <c r="D309" s="1" t="inlineStr">
        <is>
          <t>Problema com a Criação de Tarefas</t>
        </is>
      </c>
      <c r="E309" s="1" t="inlineStr">
        <is>
          <t>Technical Support</t>
        </is>
      </c>
      <c r="F309" s="1" t="inlineStr">
        <is>
          <t>Caro Suporte de TI, estou encontrando um erro ao tentar criar tarefas e integrá-las com o Confluence em nosso fluxo de trabalho de gerenciamento de projetos usando o Jira Software 8.20. A assistência na resolução deste problema seria apreciada, pois está afetando nossa produtividade. Solicitamos que, por favor, forneçam uma solução assim que possível. Obrigado, &lt;name&gt;, &lt;email&gt;.</t>
        </is>
      </c>
      <c r="G309" s="1" t="inlineStr">
        <is>
          <t>Problem</t>
        </is>
      </c>
      <c r="H309" s="1" t="inlineStr">
        <is>
          <t>Caro &lt;name&gt;,
Obrigado por entrar em contato. Para resolver o problema com a criação de tarefas e a integração com o Confluence no Jira 8.20, por favor, tente os seguintes passos:
1. Certifique-se de que tanto o Jira quanto o Confluence estão atualizados para as versões estáveis mais recentes.
2. Verifique os links dos aplicativos navegando até o painel de administração do Jira &gt; Aplicativos &gt; Links de aplicativos e certifique-se de que o Confluence está corretamente vinculado.
3. Verifique as permissões do usuário para a criação de tarefas e a integração do projeto.
4. Limpe o cache do navegador ou tente outro navegador.
Se o problema persistir, forneça mensagens de erro ou logs para mais assistência.
Atenciosamente,
Suporte de TI</t>
        </is>
      </c>
      <c r="I309" s="1" t="inlineStr">
        <is>
          <t>medium</t>
        </is>
      </c>
      <c r="J309" s="1" t="inlineStr">
        <is>
          <t>['IT Support', 'Technical Support', 'Software Bug', 'Problem Resolution']</t>
        </is>
      </c>
      <c r="K309" s="1" t="inlineStr">
        <is>
          <t>pt</t>
        </is>
      </c>
      <c r="L309" s="1" t="n">
        <v>380</v>
      </c>
    </row>
    <row r="310" ht="16.5" customHeight="1">
      <c r="A310" s="1" t="n">
        <v>2784</v>
      </c>
      <c r="B310" s="3" t="inlineStr">
        <is>
          <t>Gerenciamento de Incidentes</t>
        </is>
      </c>
      <c r="C310" s="3" t="inlineStr">
        <is>
          <t>Gerenciamento de Problemas</t>
        </is>
      </c>
      <c r="D310" s="1" t="inlineStr">
        <is>
          <t>Problema de Instalação Reportado</t>
        </is>
      </c>
      <c r="E310" s="1" t="inlineStr">
        <is>
          <t>Technical Support</t>
        </is>
      </c>
      <c r="F310" s="1" t="inlineStr">
        <is>
          <t>Prezada equipe de suporte &lt;name&gt;,
Estou enfrentando dificuldades com a instalação do Norton Antivirus Plus em meu sistema. O processo de instalação para de maneira abrupta e não consigo avançar. Você poderia me ajudar a solucionar isso?
Agradeço,
&lt;name&gt;
&lt;acc_num&gt;
&lt;tel_num&gt;</t>
        </is>
      </c>
      <c r="G310" s="1" t="inlineStr">
        <is>
          <t>Request</t>
        </is>
      </c>
      <c r="H310" s="1" t="inlineStr">
        <is>
          <t>Prezado [Nome do Cliente],
Agradecemos por nos contatar. Por gentileza, tente reiniciar o seu computador e verifique se todos os softwares antivírus anteriores foram removidos. Caso o problema continue, faça o download do instalador mais recente no site da Norton. Se necessitar de mais ajuda, sinta-se à vontade para nos avisar.
Atenciosamente,
Equipe de Suporte</t>
        </is>
      </c>
      <c r="I310" s="1" t="inlineStr">
        <is>
          <t>medium</t>
        </is>
      </c>
      <c r="J310" s="1" t="inlineStr">
        <is>
          <t>['Technical Support', 'Software Bug', 'Problem Resolution', 'Product Support', 'Urgent Issue']</t>
        </is>
      </c>
      <c r="K310" s="1" t="inlineStr">
        <is>
          <t>pt</t>
        </is>
      </c>
      <c r="L310" s="1" t="n">
        <v>275</v>
      </c>
    </row>
    <row r="311" ht="16.5" customHeight="1">
      <c r="A311" s="1" t="n">
        <v>2786</v>
      </c>
      <c r="B311" s="3" t="inlineStr">
        <is>
          <t>Gerenciamento de Incidentes</t>
        </is>
      </c>
      <c r="C311" s="3" t="inlineStr">
        <is>
          <t>Gerenciamento de Problemas</t>
        </is>
      </c>
      <c r="D311" s="1" t="inlineStr">
        <is>
          <t>Assistência Necessária para Depuração do VS Code</t>
        </is>
      </c>
      <c r="E311" s="1" t="inlineStr">
        <is>
          <t>Technical Support</t>
        </is>
      </c>
      <c r="F311" s="1" t="inlineStr">
        <is>
          <t>Caro Time de Suporte ao Cliente,
Espero que este e-mail os encontre bem. Estou entrando em contato para solicitar assistência com um problema técnico que estou enfrentando ao integrar extensões para depuração no Visual Studio Code. Especificamente, o desafio diz respeito à configuração da versão 1.70 do Visual Studio Code. Apesar de várias tentativas seguindo as diretrizes disponíveis e fóruns da comunidade, o problema persiste, impactando minha capacidade de depurar e testar código efetivamente.
Para fornecer um breve resumo, as extensões destinadas a melhorar o processo de depuração não se integraram tão perfeitamente quanto o esperado. Elas falham ao carregar ou não respondem uma vez que aparecem instaladas. As funções regulares de depuração também parecem comprometidas, necessitando de reinicializações repetidas do Visual Studio Code, o que atrasa ainda mais o fluxo de trabalho e afeta a produtividade.
Certifiquei-me de que todas as extensões estão atualizadas e tentei reinstalar o Visual Studio Code completamente, mas essas ações não resolveram os problemas. Estou incerto sobre quaisquer configurações adicionais que possam ser necessárias para facilitar a integração suave e o funcionamento ininterrupto dessas extensões.
Você poderia, por favor, aconselhar sobre quaisquer etapas específicas de solução de problemas ou configurações que poderiam ajudar a resolver este problema? Alternativamente, se você puder fornecer suporte direto ou ajustes adaptados à minha configuração atual, eu ficaria muito agradecido.
Aguardando sua orientação e suporte para superar rapidamente este obstáculo técnico.
Obrigado antecipadamente pela sua atenção a este assunto.
Atenciosamente,
&lt;name&gt;
&lt;acc_num&gt;
&lt;tel_num&gt;</t>
        </is>
      </c>
      <c r="G311" s="1" t="inlineStr">
        <is>
          <t>Incident</t>
        </is>
      </c>
      <c r="H311" s="1" t="inlineStr">
        <is>
          <t>Caro &lt;name&gt;,
Obrigado por entrar em contato conosco sobre seu problema com a depuração do VS Code. Aqui estão algumas etapas que você pode tentar:
1. **Verifique Conflitos:** Desative todas as extensões e reative uma a uma para identificar quaisquer que possam estar em conflito.
2. **Ferramentas de Desenvolvedor:** Use 'Ativar Ferramentas de Desenvolvedor' (Ajuda &gt; Ativar Ferramentas de Desenvolvedor) no VS Code para inspecionar erros no console.
3. **Configurações do Usuário:** Certifique-se de que não há configurações conflitantes no seu arquivo `settings.json` (Arquivo &gt; Preferências &gt; Configurações).
4. **Logs:** Olhe os logs para identificar erros ou problemas durante as sessões de depuração (Exibir &gt; Saída e depois selecione 'Log (Host da Extensão)').
5. **Configurações de Depuração:** Verifique as configurações de depuração no seu arquivo `launch.json` para qualquer configuração incorreta.
6. **Problemas de Rede:** Verifique se alguma política de rede ou configurações de firewall podem estar bloqueando as extensões de funcionar corretamente.
7. **Atualize o VS Code:** Certifique-se de que o Visual Studio Code está atualizado para a versão estável mais recente, já que patches mais novos podem resolver bugs específicos.
Se essas etapas não resolverem seu problema, por favor, forneça-nos quaisquer mensagens de erro ou uma descrição mais detalhada do problema. Podemos, então, adaptar ainda mais nossa assistência à sua configuração específica.
Estamos confiantes de que juntos podemos resolver este desafio para você.
Atenciosamente,
Equipe de Suporte</t>
        </is>
      </c>
      <c r="I311" s="1" t="inlineStr">
        <is>
          <t>low</t>
        </is>
      </c>
      <c r="J311" s="1" t="inlineStr">
        <is>
          <t>['Technical Support', 'Software Bug', 'Problem Resolution', 'Technical Guidance', 'Product Support']</t>
        </is>
      </c>
      <c r="K311" s="1" t="inlineStr">
        <is>
          <t>pt</t>
        </is>
      </c>
      <c r="L311" s="1" t="n">
        <v>1730</v>
      </c>
    </row>
    <row r="312" ht="16.5" customHeight="1">
      <c r="A312" s="1" t="n">
        <v>2788</v>
      </c>
      <c r="B312" s="3" t="inlineStr">
        <is>
          <t>Solicitação de Serviço</t>
        </is>
      </c>
      <c r="C312" s="3" t="inlineStr">
        <is>
          <t>Gerenciamento de Segurança</t>
        </is>
      </c>
      <c r="D312" s="1" t="inlineStr">
        <is>
          <t>Assistência Necessária para Implementação na AWS</t>
        </is>
      </c>
      <c r="E312" s="1" t="inlineStr">
        <is>
          <t>Technical Support</t>
        </is>
      </c>
      <c r="F312" s="1" t="inlineStr">
        <is>
          <t>Prezado Suporte ao Cliente de Serviços de TI,
Espero que esta mensagem o encontre bem. Preciso de assistência para a implementação de novas aplicações na infraestrutura da AWS, especificamente lidando com escalabilidade ideal e configurações de segurança. Estamos utilizando o Serviço de Gerenciamento da AWS e eu apreciaria qualquer orientação disponível.
Por favor, deixe-me saber quais informações adicionais você pode precisar ou se há um momento conveniente para discutir isso mais a fundo. Sua experiência e suporte são cruciais para garantir uma implementação sem problemas.
Obrigado,
&lt;name&gt;
Número da Conta: &lt;acc_num&gt;
Telefone: &lt;tel_num&gt;</t>
        </is>
      </c>
      <c r="G312" s="1" t="inlineStr">
        <is>
          <t>Request</t>
        </is>
      </c>
      <c r="H312" s="1" t="inlineStr">
        <is>
          <t>Prezado &lt;name&gt;,
Obrigado por entrar em contato conosco sobre sua implantação na AWS. Ficaremos felizes em ajudá-lo com a escalabilidade ideal e as configurações de segurança para suas aplicações. Para fornecer orientação abrangente, por favor, compartilhe detalhes sobre sua configuração atual da AWS e quaisquer desafios específicos que você esteja enfrentando.
Uma vez que tivermos essas informações, podemos agendar um momento conveniente para discutir seus requisitos mais a fundo e garantir um processo de implantação suave. Por favor, nos avise sua disponibilidade para uma chamada, ou sinta-se à vontade para entrar em contato conosco diretamente pelo &lt;tel_num&gt;.
Estamos ansiosos para ajudá-lo.
Atenciosamente,
Suporte ao Cliente de Serviços de TI</t>
        </is>
      </c>
      <c r="I312" s="1" t="inlineStr">
        <is>
          <t>high</t>
        </is>
      </c>
      <c r="J312" s="1" t="inlineStr">
        <is>
          <t>['Technical Support', 'IT Support', 'Product Support', 'Service Notification', 'Technical Guidance', 'Incident Report', 'General Inquiry']</t>
        </is>
      </c>
      <c r="K312" s="1" t="inlineStr">
        <is>
          <t>pt</t>
        </is>
      </c>
      <c r="L312" s="1" t="n">
        <v>649</v>
      </c>
    </row>
    <row r="313" ht="16.5" customHeight="1">
      <c r="A313" s="1" t="n">
        <v>2794</v>
      </c>
      <c r="B313" s="3" t="inlineStr">
        <is>
          <t>Gerenciamento de Incidentes</t>
        </is>
      </c>
      <c r="C313" s="3" t="inlineStr">
        <is>
          <t>Gerenciamento de Ativos de TI</t>
        </is>
      </c>
      <c r="D313" s="1" t="inlineStr">
        <is>
          <t>Problema com o iPad Pro</t>
        </is>
      </c>
      <c r="E313" s="1" t="inlineStr">
        <is>
          <t>General Inquiry</t>
        </is>
      </c>
      <c r="F313" s="1" t="inlineStr">
        <is>
          <t>Prezado Suporte ao Cliente,
Eu adquiri recentemente o meu iPad Pro 2021 e estou enfrentando alguns problemas. Parece haver um defeito no aparelho. Poderia, por gentileza, me auxiliar na resolução desse problema o mais rapidamente possível? Meu número de conta é &lt;acc_num&gt;. Você pode me contactar através do &lt;tel_num&gt;.
Agradeço,
&lt;name&gt;</t>
        </is>
      </c>
      <c r="G313" s="1" t="inlineStr">
        <is>
          <t>Request</t>
        </is>
      </c>
      <c r="H313" s="1" t="inlineStr">
        <is>
          <t>Prezado &lt;name&gt;,
Lamento saber sobre a dificuldade que você está tendo com seu iPad Pro 2021. Estamos aqui para ajudar. Por favor, forneça informações adicionais sobre o defeito ou quaisquer mensagens de erro que você tenha notado. Após receber essas informações, iremos coordenar os próximos passos para o reparo ou troca.
Obrigado pela sua compreensão.
Suporte ao Cliente</t>
        </is>
      </c>
      <c r="I313" s="1" t="inlineStr">
        <is>
          <t>medium</t>
        </is>
      </c>
      <c r="J313" s="1" t="inlineStr">
        <is>
          <t>['Product Support', 'Technical Support', 'Hardware Failure', 'Problem Resolution', 'Service Recovery']</t>
        </is>
      </c>
      <c r="K313" s="1" t="inlineStr">
        <is>
          <t>pt</t>
        </is>
      </c>
      <c r="L313" s="1" t="n">
        <v>336</v>
      </c>
    </row>
    <row r="314" ht="16.5" customHeight="1">
      <c r="A314" s="1" t="n">
        <v>2797</v>
      </c>
      <c r="B314" s="3" t="inlineStr">
        <is>
          <t>Gerenciamento de Incidentes</t>
        </is>
      </c>
      <c r="C314" s="3" t="inlineStr">
        <is>
          <t>Gerenciamento de Disponibilidade</t>
        </is>
      </c>
      <c r="D314" s="1" t="inlineStr">
        <is>
          <t>Urgente: Assistência Imediata Necessária para Problema no Roteador</t>
        </is>
      </c>
      <c r="E314" s="1" t="inlineStr">
        <is>
          <t>Technical Support</t>
        </is>
      </c>
      <c r="F314" s="1" t="inlineStr">
        <is>
          <t>Caro time de suporte de TI,
Nosso Roteador Cisco ISR4331 está atualmente enfrentando quedas de conexão frequentes, impactando significativamente nossas operações comerciais. Precisamos de uma investigação técnica imediata para restaurar a estabilidade da rede e evitar mais interrupções. O problema é persistente há uma semana e afeta vários sistemas críticos dentro da nossa organização. Dependemos muito deste roteador para manter uma comunicação e transferência de dados sem interrupções. Portanto, uma resolução rápida é essencial. Por favor, nos ajude organizando um técnico ou fornecendo orientações sobre os próximos passos. Nossa prioridade é garantir o mínimo de tempo de inatividade.
Obrigado pela sua atenção a este assunto urgente. Aguardamos sua rápida resposta.
Atenciosamente,
&lt;name&gt;</t>
        </is>
      </c>
      <c r="G314" s="1" t="inlineStr">
        <is>
          <t>Incident</t>
        </is>
      </c>
      <c r="H314" s="1" t="inlineStr">
        <is>
          <t>Caro &lt;name&gt;,
Obrigado por entrar em contato conosco sobre o problema com seu Roteador Cisco ISR4331. Entendemos a natureza crítica deste problema e o impacto que ele tem em suas operações comerciais. Nossa equipe está comprometida em fornecer uma resolução rápida.
Elevamos este caso para nossos especialistas em redes e um técnico será designado para investigar o problema como prioridade. Enquanto isso, por favor, assegure-se de que as seguintes verificações preliminares foram concluídas:
1. Verifique se todos os cabos estão conectados de forma segura e sem danos.
2. Confirme se o firmware do roteador está atualizado.
3. Tente reiniciar o roteador, se isso não foi feito recentemente.
Nossa equipe entrará em contato com você em breve para coordenar a assistência no local, se necessário, ou fornecer mais orientações de solução de problemas remotos.
Agradecemos sua paciência e compreensão enquanto trabalhamos para resolver esse problema o mais rápido possível.
Atenciosamente,
Equipe do Service Desk</t>
        </is>
      </c>
      <c r="I314" s="1" t="inlineStr">
        <is>
          <t>high</t>
        </is>
      </c>
      <c r="J314" s="1" t="inlineStr">
        <is>
          <t>['Urgent Issue', 'Network Issue', 'Technical Support', 'Service Disruption', 'Problem Resolution', 'IT Support', 'System Maintenance']</t>
        </is>
      </c>
      <c r="K314" s="1" t="inlineStr">
        <is>
          <t>pt</t>
        </is>
      </c>
      <c r="L314" s="1" t="n">
        <v>801</v>
      </c>
    </row>
    <row r="315" ht="16.5" customHeight="1">
      <c r="A315" s="1" t="n">
        <v>2808</v>
      </c>
      <c r="B315" s="3" t="inlineStr">
        <is>
          <t>Gerenciamento de Incidentes</t>
        </is>
      </c>
      <c r="C315" s="3" t="inlineStr">
        <is>
          <t>Gerenciamento de Problemas</t>
        </is>
      </c>
      <c r="D315" s="1" t="inlineStr">
        <is>
          <t>Problema com o Dell XPS 13 superaquecendo</t>
        </is>
      </c>
      <c r="E315" s="1" t="inlineStr">
        <is>
          <t>Sales and Pre-Sales</t>
        </is>
      </c>
      <c r="F315" s="1" t="inlineStr">
        <is>
          <t>Olá Suporte ao Cliente,
Estou enfrentando problemas de alta temperatura no meu Dell XPS 13 9310 enquanto edito vídeos no Windows 11. Esse problema está afetando meu fluxo de trabalho e produtividade. Você poderia fornecer alguma orientação ou assistência para resolver essa questão? Sua ajuda seria muito apreciada.
Obrigado,
&lt;name&gt;.</t>
        </is>
      </c>
      <c r="G315" s="1" t="inlineStr">
        <is>
          <t>Incident</t>
        </is>
      </c>
      <c r="H315" s="1" t="inlineStr">
        <is>
          <t>Assunto: Re: Problema com o Dell XPS 13 superaquecendo
Olá &lt;name&gt;,
Obrigado por entrar em contato. Para resolver o problema de superaquecimento do seu Dell XPS 13, por favor, tente as seguintes etapas:
1. Certifique-se de que seu sistema esteja atualizado com as últimas atualizações do Windows e drivers do site de suporte da Dell.
2. Mantenha seu laptop em uma superfície dura e plana para permitir a ventilação adequada.
3. Use o Gerenciador de Tarefas para fechar programas desnecessários em segundo plano enquanto edita vídeos.
4. Considere usar um suporte refrigerador para ajudar a dissipar o calor.
Se os problemas persistirem, entre em contato com o suporte da Dell para uma assistência mais personalizada.
Atenciosamente,
Suporte ao Cliente</t>
        </is>
      </c>
      <c r="I315" s="1" t="inlineStr">
        <is>
          <t>medium</t>
        </is>
      </c>
      <c r="J315" s="1" t="inlineStr">
        <is>
          <t>['Technical Support', 'Product Support', 'Hardware Failure', 'Performance Tuning', 'Customer Service']</t>
        </is>
      </c>
      <c r="K315" s="1" t="inlineStr">
        <is>
          <t>pt</t>
        </is>
      </c>
      <c r="L315" s="1" t="n">
        <v>336</v>
      </c>
    </row>
    <row r="316" ht="16.5" customHeight="1">
      <c r="A316" s="1" t="n">
        <v>2809</v>
      </c>
      <c r="B316" s="3" t="inlineStr">
        <is>
          <t>Gerenciamento de Incidentes</t>
        </is>
      </c>
      <c r="C316" s="3" t="inlineStr">
        <is>
          <t>Gerenciamento de Mudanças</t>
        </is>
      </c>
      <c r="D316" s="1" t="inlineStr">
        <is>
          <t>Crítico: Interrupção dos Serviços Durante a Manutenção Planejada</t>
        </is>
      </c>
      <c r="E316" s="1" t="inlineStr">
        <is>
          <t>Service Outages and Maintenance</t>
        </is>
      </c>
      <c r="F316" s="1" t="inlineStr">
        <is>
          <t>Caro Time de Suporte de Serviços de TI, Estou entrando em contato com preocupações relacionadas a uma interrupção notada durante a manutenção planejada dos servidores AWS, o que afetou significativamente nossos serviços em nuvem e projetos de infraestrutura. Confiamos muito no Serviço de Gerenciamento AWS, e essa interrupção infelizmente impediu nossas operações, criando um efeito dominó em nossas iniciativas tecnológicas. Dada a importância deste serviço para nossas tarefas diárias, o retorno atrasado às atividades habituais resultou em desafios consideráveis em nossos cronogramas de desenvolvimento e na entrega de projetos para clientes. Em particular, isso obstruiu nossa capacidade de lançar e gerenciar recursos de forma eficiente, o que é vital para fornecer um serviço ideal aos nossos clientes. Portanto, imploro que sua equipe priorize a resolução dessa questão para diminuir quaisquer novos atrasos. Além disso, uma comunicação clara sobre os prazos esperados para a resolução seria extremamente útil. Obter informações sobre as causas específicas dessa interrupção e quaisquer passos preventivos tomados para evitar incidentes futuros também beneficiaria muito nossa equipe. Solicito gentilmente sua atenção imediata para acelerar a restauração da capacidade operacional total. Se precisar de informações adicionais, sinta-se à vontade para entrar em contato comigo pelo &lt;tel_num&gt;. Agradeço sua rápida atenção a esta situação e aguardo sua pronta resposta. Atenciosamente, &lt;name&gt;</t>
        </is>
      </c>
      <c r="G316" s="1" t="inlineStr">
        <is>
          <t>Incident</t>
        </is>
      </c>
      <c r="H316" s="1" t="inlineStr">
        <is>
          <t>Caro &lt;name&gt;,
Obrigado por entrar em contato conosco sobre a interrupção da AWS durante a manutenção planejada. Pedimos desculpas pelo inconveniente e reconhecemos seu impacto em suas operações. Nossa equipe está atualmente colaborando com a AWS para resolver o problema o mais rápido possível.
Manteremos você informado sobre prazos e medidas preventivas assim que tivermos mais informações disponíveis. Por favor, tenha a certeza de que esta situação é uma prioridade significativa para nós, e nosso objetivo é restaurar o serviço completo prontamente.
Agradecemos sua paciência e compreensão. Caso necessite de mais assistência, não hesite em nos contatar novamente.
Atenciosamente,
Equipe de Suporte de Serviços de TI</t>
        </is>
      </c>
      <c r="I316" s="1" t="inlineStr">
        <is>
          <t>high</t>
        </is>
      </c>
      <c r="J316" s="1" t="inlineStr">
        <is>
          <t>['Service Disruption', 'System Maintenance', 'Incident Report', 'Urgent Issue', 'Technical Support', 'Service Recovery', 'Cloud Services']</t>
        </is>
      </c>
      <c r="K316" s="1" t="inlineStr">
        <is>
          <t>pt</t>
        </is>
      </c>
      <c r="L316" s="1" t="n">
        <v>1498</v>
      </c>
    </row>
    <row r="317" ht="16.5" customHeight="1">
      <c r="A317" s="1" t="n">
        <v>2811</v>
      </c>
      <c r="B317" s="3" t="inlineStr">
        <is>
          <t>Solicitação de Serviço</t>
        </is>
      </c>
      <c r="C317" s="3" t="inlineStr">
        <is>
          <t>Gerenciamento Financeiro</t>
        </is>
      </c>
      <c r="D317" s="1" t="inlineStr">
        <is>
          <t>Assistência com Gestão da AWS</t>
        </is>
      </c>
      <c r="E317" s="1" t="inlineStr">
        <is>
          <t>Billing and Payments</t>
        </is>
      </c>
      <c r="F317" s="1" t="inlineStr">
        <is>
          <t>Caro time de suporte ao cliente,
Espero que esta mensagem os encontre bem. Estou escrevendo para solicitar assistência em relação à otimização de custos e à configuração de faturamento para os serviços de nuvem da nossa organização, atualmente gerenciados via AWS. Como parte integral de nossa infraestrutura de TI, esses serviços são críticos e qualquer potencial melhoria na eficiência de custos seria altamente benéfica.
Temos utilizado o Serviço de Gestão da AWS para gerenciar nossas instalações e transações em nuvem. No entanto, à medida que nosso uso se expande, torna-se cada vez mais importante garantir que estamos empregando as abordagens mais rentáveis. Seria muito apreciado se vocês pudessem nos guiar pelas ferramentas de otimização disponíveis dentro do conjunto de ferramentas de gestão da AWS, que possam ser relevantes para nossa situação.
Além disso, estamos interessados em um detalhamento dos métodos de configuração de faturamento para garantir que nossas contas sejam monitoradas e gerenciadas corretamente. Isso ajudaria a identificar áreas onde despesas desnecessárias podem estar ocorrendo. Seria ótimo se sua equipe pudesse nos fornecer esse suporte.
Por favor, nos avise um horário conveniente e quaisquer etapas preparatórias necessárias antes de qualquer reunião.
Aguardando seu valioso apoio.
Atenciosamente,
&lt;name&gt;
&lt;position&gt;
&lt;organization&gt;
&lt;email&gt;
&lt;tel_num&gt;</t>
        </is>
      </c>
      <c r="G317" s="1" t="inlineStr">
        <is>
          <t>Request</t>
        </is>
      </c>
      <c r="H317" s="1" t="inlineStr">
        <is>
          <t>Caro &lt;name&gt;,
Obrigado por entrar em contato conosco em relação às suas necessidades de Gestão da AWS. Estamos felizes em ajudar a otimizar custos e refinar sua configuração de faturamento.
Para começar com a otimização de custos, recomendamos explorar o Cost Explorer e os Orçamentos da AWS dentro do Console de Gestão da AWS. Essas ferramentas fornecem insights sobre seus padrões de uso e ajudam a definir limites de orçamento. O AWS Trusted Advisor e os Relatórios de Custo e Uso podem ajudar ainda mais a identificar oportunidades de economia.
Para um detalhamento da configuração e gestão do faturamento, nossa equipe pode guiá-lo pelas melhores práticas atuais e soluções personalizadas adaptadas às necessidades da sua organização. Isso garantirá que suas contas sejam monitoradas de forma eficaz, otimizando tanto a visibilidade quanto a gestão de despesas.
Para prosseguir, por favor, forneça sua disponibilidade para uma reunião de consulta. Não são necessárias etapas preparatórias importantes, embora ter acesso à sua configuração atual da conta AWS e declarações de faturamento recentes possa ser vantajoso.
Aguardamos ansiosamente ajudar você a alcançar a configuração mais econômica para seus serviços da AWS.
Atenciosamente,
Equipe de suporte</t>
        </is>
      </c>
      <c r="I317" s="1" t="inlineStr">
        <is>
          <t>low</t>
        </is>
      </c>
      <c r="J317" s="1" t="inlineStr">
        <is>
          <t>['Technical Support', 'Billing Issue', 'IT Support', 'Customer Service', 'Service Notification', 'Problem Resolution', 'Performance Tuning', 'General Inquiry']</t>
        </is>
      </c>
      <c r="K317" s="1" t="inlineStr">
        <is>
          <t>pt</t>
        </is>
      </c>
      <c r="L317" s="1" t="n">
        <v>1399</v>
      </c>
    </row>
    <row r="318" ht="16.5" customHeight="1">
      <c r="A318" s="1" t="n">
        <v>2812</v>
      </c>
      <c r="B318" s="3" t="inlineStr">
        <is>
          <t>Gerenciamento de Incidentes</t>
        </is>
      </c>
      <c r="C318" s="3" t="inlineStr">
        <is>
          <t>Gerenciamento de Problemas</t>
        </is>
      </c>
      <c r="D318" s="1" t="inlineStr">
        <is>
          <t>Problemas com o Roteador Cisco ISR4331</t>
        </is>
      </c>
      <c r="E318" s="1" t="inlineStr">
        <is>
          <t>Technical Support</t>
        </is>
      </c>
      <c r="F318" s="1" t="inlineStr">
        <is>
          <t>Caro Time de Suporte,
Estou escrevendo para relatar que temos enfrentado desconexões frequentes e desempenho lento com nosso Roteador Cisco ISR4331 durante o horário comercial. Esse problema afetou significativamente nossas operações. Poderiam, por favor, fornecer orientação ou uma solução para resolver o que parece ser um problema contínuo? Se houver atualizações de firmware ou alterações de configuração necessárias, estaríamos interessados em implementá-las. Obrigado pela sua pronta atenção a este assunto.
Atenciosamente,
&lt;name&gt;
&lt;tel_num&gt;
&lt;acc_num&gt;</t>
        </is>
      </c>
      <c r="G318" s="1" t="inlineStr">
        <is>
          <t>Incident</t>
        </is>
      </c>
      <c r="H318" s="1" t="inlineStr">
        <is>
          <t>Caro &lt;name&gt;,
Obrigado por entrar em contato sobre os problemas com o seu Roteador Cisco ISR4331. Desconexões frequentes e desempenho lento podem ser resolvidos por meio de atualizações de firmware ou ajustes de configuração. Por favor, certifique-se de que o firmware do roteador esteja atualizado. Você pode baixar as atualizações mais recentes no site oficial da Cisco. Além disso, verifique as configurações do roteador para quaisquer anomalias.
Se o problema persistir, recomendo realizar uma redefinição de fábrica e reconfigurar as configurações. Você também pode considerar entrar em contato com um técnico certificado da Cisco para uma análise mais detalhada.
Sinta-se à vontade para nos contatar para mais assistência. Estamos aqui para ajudar a restaurar suas operações rapidamente.
Atenciosamente,
[Seu Time de Suporte]</t>
        </is>
      </c>
      <c r="I318" s="1" t="inlineStr">
        <is>
          <t>medium</t>
        </is>
      </c>
      <c r="J318" s="1" t="inlineStr">
        <is>
          <t>['Technical Support', 'Network Issue', 'System Maintenance', 'Performance Tuning', 'Problem Resolution']</t>
        </is>
      </c>
      <c r="K318" s="1" t="inlineStr">
        <is>
          <t>pt</t>
        </is>
      </c>
      <c r="L318" s="1" t="n">
        <v>559</v>
      </c>
    </row>
    <row r="319" ht="16.5" customHeight="1">
      <c r="A319" s="1" t="n">
        <v>2825</v>
      </c>
      <c r="B319" s="3" t="inlineStr">
        <is>
          <t>Gerenciamento de Incidentes</t>
        </is>
      </c>
      <c r="C319" s="3" t="inlineStr">
        <is>
          <t>Gerenciamento de Problemas</t>
        </is>
      </c>
      <c r="D319" s="1" t="inlineStr">
        <is>
          <t>Experienciando Desconexões Frequentes com Zoom 5.11.0</t>
        </is>
      </c>
      <c r="E319" s="1" t="inlineStr">
        <is>
          <t>Technical Support</t>
        </is>
      </c>
      <c r="F319" s="1" t="inlineStr">
        <is>
          <t>Caro Time de Suporte ao Cliente,
Espero que esta mensagem o encontre bem. Estou escrevendo para expressar minha preocupação em relação ao software Zoom 5.11.0, que comprei em sua Loja Técnica Online. Nas últimas semanas, enfrentei desconexões frequentes durante videochamadas, o que impactou severamente minha experiência de usuário e produtividade. Tentei solucionar suspeitas comuns como velocidade da internet e compatibilidade do dispositivo, mas sem sucesso. Minhas tentativas de resolver isso atualizando para uma versão mais nova do Zoom ou alterando as configurações foram infrutíferas. Eu apreciaria sua orientação sobre este assunto ou qualquer possível correção para melhorar a estabilidade das videochamadas. Obrigado pela sua rápida resposta. Atenciosamente, &lt;name&gt;</t>
        </is>
      </c>
      <c r="G319" s="1" t="inlineStr">
        <is>
          <t>Problem</t>
        </is>
      </c>
      <c r="H319" s="1" t="inlineStr">
        <is>
          <t>Caro &lt;name&gt;,
Obrigado por entrar em contato e trazer este problema à nossa atenção. Lamento saber sobre os problemas de desconexão que você está enfrentando com o Zoom 5.11.0. Para ajudar a melhorar a estabilidade de suas videochamadas, sugiro os seguintes passos:
1. Certifique-se de que seu software Zoom esteja atualizado para a versão mais recente disponível, pois isso pode conter correções para problemas conhecidos.
2. Verifique se há atualizações pendentes para o sistema operacional do seu dispositivo e aplique-as.
3. Desative aplicativos em segundo plano que possam consumir largura de banda durante suas chamadas, pois isso pode afetar a estabilidade da conexão.
4. Teste uma conexão de internet com fio, se possível, para descartar problemas com o sinal Wi-Fi.
5. Ajuste as configurações de vídeo do Zoom para uma resolução mais baixa para reduzir o uso de largura de banda.
Se o problema persistir após esses passos, você pode considerar entrar em contato com o suporte oficial do Zoom para uma solução mais detalhada, pois podem ter orientações específicas para seus produtos. Fique à vontade para nos contatar se precisar de mais assistência.
Atenciosamente,
Equipe de Suporte da Loja Técnica Online</t>
        </is>
      </c>
      <c r="I319" s="1" t="inlineStr">
        <is>
          <t>medium</t>
        </is>
      </c>
      <c r="J319" s="1" t="inlineStr">
        <is>
          <t>['Technical Support', 'Software Bug', 'Performance Tuning', 'Problem Resolution', 'Customer Service']</t>
        </is>
      </c>
      <c r="K319" s="1" t="inlineStr">
        <is>
          <t>pt</t>
        </is>
      </c>
      <c r="L319" s="1" t="n">
        <v>778</v>
      </c>
    </row>
    <row r="320" ht="16.5" customHeight="1">
      <c r="A320" s="1" t="n">
        <v>2830</v>
      </c>
      <c r="B320" s="3" t="inlineStr">
        <is>
          <t>Gerenciamento de Incidentes</t>
        </is>
      </c>
      <c r="C320" s="3" t="inlineStr">
        <is>
          <t>Gerenciamento de Problemas</t>
        </is>
      </c>
      <c r="D320" s="1" t="inlineStr">
        <is>
          <t>Problema com a Conectividade da Canon PIXMA MG3620</t>
        </is>
      </c>
      <c r="E320" s="1" t="inlineStr">
        <is>
          <t>Product Support</t>
        </is>
      </c>
      <c r="F320" s="1" t="inlineStr">
        <is>
          <t>Caro Suporte ao Cliente da Tech Online Store,
Estou enfrentando problemas contínuos de conectividade sem fio com minha impressora Canon PIXMA MG3620. Esses problemas estão impedindo a impressão duplex bem-sucedida e as operações de impressão móvel. Essa funcionalidade foi uma das principais razões pelas quais comprei este modelo, e sua ausência está afetando seriamente a usabilidade. Você poderia me aconselhar sobre possíveis etapas de solução de problemas ou soluções? Qualquer ajuda para resolver esse problema por meio de recomendações de atualização ou ajustes nas configurações de rede seria muito apreciada. Obrigado pela sua pronta atenção a este assunto.
Atenciosamente,
&lt;name&gt;</t>
        </is>
      </c>
      <c r="G320" s="1" t="inlineStr">
        <is>
          <t>Problem</t>
        </is>
      </c>
      <c r="H320" s="1" t="inlineStr">
        <is>
          <t>Assunto: Re: Problema com a Conectividade da Canon PIXMA MG3620
Caro &lt;name&gt;,
Obrigado por entrar em contato sobre o seu problema de conectividade com a Canon PIXMA MG3620. Aqui estão algumas etapas de solução de problemas para resolver seus problemas de impressão sem fio, duplex e móvel:
1. **Reinicie os Dispositivos**: Desligue sua impressora e o roteador sem fio por alguns minutos e, em seguida, ligue-os novamente.
2. **Rede Wi-Fi**: Certifique-se de que sua impressora está conectada à rede Wi-Fi correta. Uma rede incorreta pode causar problemas de conectividade.
3. **Atualize o Firmware**: Verifique o site oficial da Canon para quaisquer atualizações de firmware disponíveis para o seu modelo de impressora e instale se disponível.
4. **Configurações da Impressora**: Verifique as configurações de impressão duplex e móvel no menu da sua impressora e no aplicativo Canon PRINT Inkjet/SELPHY.
5. **Reinstale os Drivers**: Desinstale os drivers de impressora atuais do seu computador e reinstale a versão mais recente do site da Canon.
Se essas etapas não resolverem o problema, entre em contato conosco para obter mais assistência. Estamos aqui para ajudar!
Atenciosamente,
Suporte ao Cliente da Tech Online Store</t>
        </is>
      </c>
      <c r="I320" s="1" t="inlineStr">
        <is>
          <t>high</t>
        </is>
      </c>
      <c r="J320" s="1" t="inlineStr">
        <is>
          <t>['Technical Support', 'Product Support', 'Printer Issue', 'Network Issue', 'Problem Resolution', 'Customer Service', 'Service Notification']</t>
        </is>
      </c>
      <c r="K320" s="1" t="inlineStr">
        <is>
          <t>pt</t>
        </is>
      </c>
      <c r="L320" s="1" t="n">
        <v>692</v>
      </c>
    </row>
    <row r="321" ht="16.5" customHeight="1">
      <c r="A321" s="1" t="n">
        <v>2832</v>
      </c>
      <c r="B321" s="3" t="inlineStr">
        <is>
          <t>Solicitação de Serviço</t>
        </is>
      </c>
      <c r="C321" s="3" t="inlineStr">
        <is>
          <t>Gerenciamento de Incidentes</t>
        </is>
      </c>
      <c r="D321" s="1" t="inlineStr">
        <is>
          <t>Assistência com Configuração de Impressora</t>
        </is>
      </c>
      <c r="E321" s="1" t="inlineStr">
        <is>
          <t>Technical Support</t>
        </is>
      </c>
      <c r="F321" s="1" t="inlineStr">
        <is>
          <t>Olá suporte ao cliente, preciso de ajuda para mudar a configuração da minha impressora Canon PIXMA MG3620 para impressão sem fio. Por favor, forneça instruções passo a passo para configuração. Aguardo sua resposta rápida. Obrigado, &lt;name&gt;, conta &lt;acc_num&gt;.</t>
        </is>
      </c>
      <c r="G321" s="1" t="inlineStr">
        <is>
          <t>Change</t>
        </is>
      </c>
      <c r="H321" s="1" t="inlineStr">
        <is>
          <t>Olá &lt;name&gt;,
Para configurar sua Canon PIXMA MG3620 para impressão sem fio, siga estas etapas:
1. Ligue a impressora e pressione o botão "Wi-Fi" até que o botão de energia pisque.
2. Pressione o botão "Color" e, em seguida, o botão "Wi-Fi" mais uma vez.
3. Certifique-se de que a luz LED ao lado do botão Wi-Fi está piscando.
4. Instale o aplicativo Canon em seu computador.
5. Siga as instruções do aplicativo para conectar a impressora à sua rede Wi-Fi.
Sinta-se à vontade para entrar em contato se tiver mais perguntas.
Atenciosamente,
Suporte ao Cliente</t>
        </is>
      </c>
      <c r="I321" s="1" t="inlineStr">
        <is>
          <t>medium</t>
        </is>
      </c>
      <c r="J321" s="1" t="inlineStr">
        <is>
          <t>['Technical Support', 'Product Support', 'Customer Service', 'General Inquiry']</t>
        </is>
      </c>
      <c r="K321" s="1" t="inlineStr">
        <is>
          <t>pt</t>
        </is>
      </c>
      <c r="L321" s="1" t="n">
        <v>256</v>
      </c>
    </row>
    <row r="322" ht="16.5" customHeight="1">
      <c r="A322" s="1" t="n">
        <v>2840</v>
      </c>
      <c r="B322" s="3" t="inlineStr">
        <is>
          <t>Gerenciamento de Incidentes</t>
        </is>
      </c>
      <c r="C322" s="3" t="inlineStr">
        <is>
          <t>Gerenciamento de Mudanças</t>
        </is>
      </c>
      <c r="D322" s="1" t="inlineStr">
        <is>
          <t>Urgente: Implementação de Servidor Atrasada Afetando as Operações do Cliente</t>
        </is>
      </c>
      <c r="E322" s="1" t="inlineStr">
        <is>
          <t>Customer Service</t>
        </is>
      </c>
      <c r="F322" s="1" t="inlineStr">
        <is>
          <t>Olá Suporte ao Cliente,
Estamos enfrentando um atraso na implementação da administração do servidor. Isso impacta significativamente as operações dos clientes. A resolução imediata é crucial, pois este problema é de alta prioridade.
Atenciosamente,
&lt;name&gt;
&lt;acc_num&gt;</t>
        </is>
      </c>
      <c r="G322" s="1" t="inlineStr">
        <is>
          <t>Incident</t>
        </is>
      </c>
      <c r="H322" s="1" t="inlineStr">
        <is>
          <t>Olá &lt;name&gt;,
Obrigado por entrar em contato. Entendemos a urgência da situação em relação ao atraso na implementação do servidor que afeta as operações dos clientes. Nossa equipe já está investigando o problema para fornecer uma solução rápida. Manteremos você atualizado sobre o progresso e notificaremos assim que a questão for resolvida. Agradecemos sua paciência e cooperação.
Atenciosamente,
Equipe de Suporte ao Cliente</t>
        </is>
      </c>
      <c r="I322" s="1" t="inlineStr">
        <is>
          <t>high</t>
        </is>
      </c>
      <c r="J322" s="1" t="inlineStr">
        <is>
          <t>['Urgent Issue', 'Service Disruption', 'Technical Support', 'Problem Resolution', 'System Maintenance', 'Customer Service']</t>
        </is>
      </c>
      <c r="K322" s="1" t="inlineStr">
        <is>
          <t>pt</t>
        </is>
      </c>
      <c r="L322" s="1" t="n">
        <v>267</v>
      </c>
    </row>
    <row r="323" ht="16.5" customHeight="1">
      <c r="A323" s="1" t="n">
        <v>2847</v>
      </c>
      <c r="B323" s="3" t="inlineStr">
        <is>
          <t>Gerenciamento de Incidentes</t>
        </is>
      </c>
      <c r="C323" s="3" t="inlineStr">
        <is>
          <t>Gerenciamento de Disponibilidade</t>
        </is>
      </c>
      <c r="D323" s="1" t="inlineStr">
        <is>
          <t>Urgente: Interrupção de Rede pelo Roteador ISR4331</t>
        </is>
      </c>
      <c r="E323" s="1" t="inlineStr">
        <is>
          <t>IT Support</t>
        </is>
      </c>
      <c r="F323" s="1" t="inlineStr">
        <is>
          <t>Caro Time de Suporte, Estamos enfrentando uma interrupção de rede causada por um roteador Cisco ISR4331 com defeito. Isso requer uma intervenção técnica de alta prioridade. Por favor, resolvam este problema o mais rápido possível. Obrigado pela assistência. Atenciosamente, &lt;name&gt;</t>
        </is>
      </c>
      <c r="G323" s="1" t="inlineStr">
        <is>
          <t>Incident</t>
        </is>
      </c>
      <c r="H323" s="1" t="inlineStr">
        <is>
          <t>Caro &lt;name&gt;,
Obrigado por entrar em contato. Entendemos a urgência da interrupção de rede causada pelo roteador Cisco ISR4331. Nossa equipe técnica foi prontamente notificada e abordará este problema como prioridade. Nos esforçamos para resolvê-lo o mais rápido possível e manteremos você atualizado sobre o progresso.
Atenciosamente,
Equipe de Suporte</t>
        </is>
      </c>
      <c r="I323" s="1" t="inlineStr">
        <is>
          <t>high</t>
        </is>
      </c>
      <c r="J323" s="1" t="inlineStr">
        <is>
          <t>['Network Issue', 'Urgent Issue', 'Technical Support', 'Service Disruption', 'Incident Report']</t>
        </is>
      </c>
      <c r="K323" s="1" t="inlineStr">
        <is>
          <t>pt</t>
        </is>
      </c>
      <c r="L323" s="1" t="n">
        <v>280</v>
      </c>
    </row>
    <row r="324" ht="16.5" customHeight="1">
      <c r="A324" s="1" t="n">
        <v>2851</v>
      </c>
      <c r="B324" s="3" t="inlineStr">
        <is>
          <t>Solicitação de Serviço</t>
        </is>
      </c>
      <c r="C324" s="3" t="inlineStr">
        <is>
          <t>Gerenciamento Financeiro</t>
        </is>
      </c>
      <c r="D324" s="1" t="inlineStr">
        <is>
          <t>Solicitação de Otimização da Infraestrutura AWS</t>
        </is>
      </c>
      <c r="E324" s="1" t="inlineStr">
        <is>
          <t>Technical Support</t>
        </is>
      </c>
      <c r="F324" s="1" t="inlineStr">
        <is>
          <t>Caro time de suporte ao cliente,
Espero que esta mensagem os encontre bem. Meu nome é &lt;name&gt;, e estou entrando em contato para buscar assistência na otimização do nosso ambiente de infraestrutura AWS. Nossa empresa tem utilizado seu Serviço de Gerenciamento AWS e está cada vez mais em busca de melhorar sua relação custo-benefício e eficiência. Acreditamos que podem haver várias oportunidades de melhoria.
Dada a sofisticação dos serviços AWS, desejamos garantir que estamos aproveitando todos os recursos disponíveis de forma eficaz, sem incorrer em despesas desnecessárias. Nossos principais objetivos são agilizar nossos processos AWS e alcançar economias tangíveis, mantendo, e idealmente melhorando, o desempenho.
Você pode nos orientar sobre as melhores práticas para alcançar esses objetivos? Quaisquer recomendações específicas ou ferramentas oferecidas por &lt;company_name&gt; que possam ajudar nesse esforço seriam muito apreciadas. Além disso, se houver possibilidades de um serviço de consultoria ou quaisquer workshops disponíveis, seria benéfico discutir essas opções.
Obrigado pela sua atenção a este assunto. Aguardamos suas valiosas percepções.
Atenciosamente,
&lt;name&gt;
&lt;company_name&gt;
&lt;email_address&gt;
&lt;tel_num&gt;</t>
        </is>
      </c>
      <c r="G324" s="1" t="inlineStr">
        <is>
          <t>Change</t>
        </is>
      </c>
      <c r="H324" s="1" t="inlineStr">
        <is>
          <t>Caro &lt;name&gt;,
Obrigado por entrar em contato sobre a otimização da infraestrutura AWS. Estamos felizes em ajudar você a melhorar a relação custo-benefício e a eficiência do seu ambiente AWS.
Para agilizar seus processos e alcançar seus objetivos, recomendamos as seguintes melhores práticas:
1. **Ferramentas de Gerenciamento de Custos**: Utilize o AWS Cost Explorer e o AWS Budgets para monitorar e gerenciar seus gastos de forma eficaz.
2. **Dimensionamento Correto das Instâncias**: Avalie regularmente o uso de suas instâncias para selecionar o tamanho e tipo apropriados para suas necessidades.
3. **Auto Scaling**: Implemente o AWS Auto Scaling para ajustar automaticamente os recursos com base na demanda.
4. **Opções Serverless**: Considere arquiteturas sem servidor, como o AWS Lambda para tarefas baseadas em eventos, a fim de reduzir custos.
5. **Serviços de Otimização**: Aproveite o Trusted Advisor e o AWS Compute Optimizer para receber recomendações personalizadas com base no seu uso.
&lt;company_name&gt; também oferece serviços de consultoria e workshops para ajudá-lo a aproveitar totalmente os recursos do AWS. Ficarei feliz em agendar uma sessão de consultoria ou fornecer detalhes sobre nossos workshops futuros.
Por favor, me avise se houver um horário específico que funcione para você para discutir essas opções ou se precisar de informações adicionais.
Aguardamos ansiosamente para ajudá-lo ainda mais.
Atenciosamente,
&lt;Nome do Agente do Service Desk&gt;
&lt;Equipe do Service Desk&gt;
&lt;tel_num&gt;</t>
        </is>
      </c>
      <c r="I324" s="1" t="inlineStr">
        <is>
          <t>low</t>
        </is>
      </c>
      <c r="J324" s="1" t="inlineStr">
        <is>
          <t>['Technical Support', 'IT Support', 'Performance Tuning', 'Service Recovery', 'Technical Guidance', 'General Inquiry', 'Product Support', 'Consulting Services']</t>
        </is>
      </c>
      <c r="K324" s="1" t="inlineStr">
        <is>
          <t>pt</t>
        </is>
      </c>
      <c r="L324" s="1" t="n">
        <v>1228</v>
      </c>
    </row>
    <row r="325" ht="16.5" customHeight="1">
      <c r="A325" s="1" t="n">
        <v>2862</v>
      </c>
      <c r="B325" s="3" t="inlineStr">
        <is>
          <t>Solicitação de Serviço</t>
        </is>
      </c>
      <c r="C325" s="3" t="inlineStr">
        <is>
          <t>Gerenciamento de Ativos de TI</t>
        </is>
      </c>
      <c r="D325" s="1" t="inlineStr">
        <is>
          <t>Consulta sobre a Disponibilidade do MacBook Air M1</t>
        </is>
      </c>
      <c r="E325" s="1" t="inlineStr">
        <is>
          <t>Customer Service</t>
        </is>
      </c>
      <c r="F325" s="1" t="inlineStr">
        <is>
          <t>Caro Atendimento ao Cliente,&lt;br&gt;&lt;br&gt;Meu nome é &lt;name&gt; e estou interessado em adquirir o MacBook Air M1. Agradeceria se pudesse me fornecer informações sobre a disponibilidade do produto. Além disso, gostaria de perguntar sobre as opções de entrega disponíveis para este produto, pois estou ansioso para comprá-lo o mais rápido possível. Você pode me contatar em &lt;email&gt; ou me ligar em &lt;tel_num&gt; para quaisquer esclarecimentos ou atualizações. Aguardando sua resposta com os detalhes necessários. Obrigado pela sua assistência.&lt;br&gt;&lt;br&gt;Atenciosamente,&lt;br&gt;&lt;name&gt;</t>
        </is>
      </c>
      <c r="G325" s="1" t="inlineStr">
        <is>
          <t>Request</t>
        </is>
      </c>
      <c r="H325" s="1" t="inlineStr">
        <is>
          <t>Assunto: Re: Consulta sobre a Disponibilidade do MacBook Air M1
Caro &lt;name&gt;,
Obrigado por entrar em contato sobre o MacBook Air M1. Atualmente, a disponibilidade deste modelo depende dos nossos níveis de estoque, que geralmente flutuam devido à demanda. Recomendamos visitar nosso site ou a loja mais próxima para as informações mais atualizadas sobre o estoque.
Quanto às opções de entrega, oferecemos envio padrão e expresso, com prazos de entrega estimados fornecidos no checkout. Assim que você selecionar uma opção de envio, receberá um número de rastreamento para monitorar o progresso do seu pedido.
Para mais assistência, fique à vontade para responder a este e-mail ou nos ligar diretamente. Estamos aqui para ajudar e ansiosos para assisti-lo na compra do MacBook Air M1.
Atenciosamente,
Equipe de Atendimento ao Cliente</t>
        </is>
      </c>
      <c r="I325" s="1" t="inlineStr">
        <is>
          <t>medium</t>
        </is>
      </c>
      <c r="J325" s="1" t="inlineStr">
        <is>
          <t>['Customer Service', 'Sales Inquiry', 'Product Support', 'Order Issue', 'Shipment Delay']</t>
        </is>
      </c>
      <c r="K325" s="1" t="inlineStr">
        <is>
          <t>pt</t>
        </is>
      </c>
      <c r="L325" s="1" t="n">
        <v>559</v>
      </c>
    </row>
    <row r="326" ht="16.5" customHeight="1">
      <c r="A326" s="1" t="n">
        <v>2864</v>
      </c>
      <c r="B326" s="3" t="inlineStr">
        <is>
          <t>Gerenciamento de Incidentes</t>
        </is>
      </c>
      <c r="C326" s="3" t="inlineStr">
        <is>
          <t>Gerenciamento de Acesso</t>
        </is>
      </c>
      <c r="D326" s="1" t="inlineStr">
        <is>
          <t>Urgente: Problemas de Login Durante Apresentação Pré-Vendas</t>
        </is>
      </c>
      <c r="E326" s="1" t="inlineStr">
        <is>
          <t>Sales and Pre-Sales</t>
        </is>
      </c>
      <c r="F326" s="1" t="inlineStr">
        <is>
          <t>Caro Time de Suporte ao Cliente,
Estou escrevendo para relatar problemas de login com o Microsoft Office 365 durante uma apresentação crítica de pré-vendas. Nossos clientes não conseguem fazer login, e isso está afetando nossa capacidade de mostrar o produto de forma eficaz. Precisamos de assistência imediata para resolver este assunto rapidamente.
Obrigado por sua compreensão e atenção rápida a este problema urgente.
Atenciosamente,
&lt;name&gt;
&lt;company_name&gt;
&lt;tel_num&gt;
&lt;email&gt;</t>
        </is>
      </c>
      <c r="G326" s="1" t="inlineStr">
        <is>
          <t>Problem</t>
        </is>
      </c>
      <c r="H326" s="1" t="inlineStr">
        <is>
          <t>Caro &lt;name&gt;,
Obrigado por nos contatar. Entendemos a urgência da situação. Por favor, tente limpar o cache e os cookies do seu navegador e certifique-se de que suas assinaturas do Office 365 estão ativas. Se o problema persistir, redefina as configurações de rede ou tente uma rede diferente. Também estamos escalando seu caso para nossa equipe técnica para resolução imediata.
Atenciosamente,
Time de Suporte ao Cliente</t>
        </is>
      </c>
      <c r="I326" s="1" t="inlineStr">
        <is>
          <t>medium</t>
        </is>
      </c>
      <c r="J326" s="1" t="inlineStr">
        <is>
          <t>['Login Issue', 'Urgent Issue', 'Technical Support', 'Product Support', 'IT Support', 'Problem Resolution']</t>
        </is>
      </c>
      <c r="K326" s="1" t="inlineStr">
        <is>
          <t>pt</t>
        </is>
      </c>
      <c r="L326" s="1" t="n">
        <v>481</v>
      </c>
    </row>
    <row r="327" ht="16.5" customHeight="1">
      <c r="A327" s="1" t="n">
        <v>2866</v>
      </c>
      <c r="B327" s="3" t="inlineStr">
        <is>
          <t>Gerenciamento de Incidentes</t>
        </is>
      </c>
      <c r="C327" s="3" t="inlineStr">
        <is>
          <t>Gerenciamento de Problemas</t>
        </is>
      </c>
      <c r="D327" s="1" t="inlineStr">
        <is>
          <t>Problemas de Áudio no Zoom</t>
        </is>
      </c>
      <c r="E327" s="1" t="inlineStr">
        <is>
          <t>Human Resources</t>
        </is>
      </c>
      <c r="F327" s="1" t="inlineStr">
        <is>
          <t>Caro Suporte ao Cliente,
Estou escrevendo para relatar um problema enfrentado pela nossa equipe de Recursos Humanos durante uma chamada no Zoom na versão do produto 5.11.0. Os participantes não conseguiam ouvir uns aos outros claramente devido a problemas de áudio persistentes. Por favor, nos ajude a resolver esta questão rapidamente. Seu apoio para resolver este problema seria muito apreciado para restaurar a comunicação fluida em nossas próximas reuniões. Obrigado.
Atenciosamente,
&lt;name&gt;</t>
        </is>
      </c>
      <c r="G327" s="1" t="inlineStr">
        <is>
          <t>Incident</t>
        </is>
      </c>
      <c r="H327" s="1" t="inlineStr">
        <is>
          <t>Caro &lt;name&gt;,
Obrigado por entrar em contato. Para resolver os problemas de áudio na versão 5.11.0 do Zoom, por favor, assegure-se de que os participantes atualizaram seu aplicativo para a versão mais recente. Além disso, verifique as configurações de áudio de cada dispositivo e assegure-se de que nenhum fone de ouvido ou alto-falante esteja mudo. Se o problema persistir, considere reiniciar o aplicativo ou os dispositivos em uso. Sinta-se à vontade para nos contatar se precisar de mais assistência.
Atenciosamente,
Suporte ao Cliente</t>
        </is>
      </c>
      <c r="I327" s="1" t="inlineStr">
        <is>
          <t>medium</t>
        </is>
      </c>
      <c r="J327" s="1" t="inlineStr">
        <is>
          <t>['Technical Support', 'Product Support', 'Software Bug', 'Problem Resolution', 'Urgent Issue']</t>
        </is>
      </c>
      <c r="K327" s="1" t="inlineStr">
        <is>
          <t>pt</t>
        </is>
      </c>
      <c r="L327" s="1" t="n">
        <v>497</v>
      </c>
    </row>
    <row r="328" ht="16.5" customHeight="1">
      <c r="A328" s="1" t="n">
        <v>2870</v>
      </c>
      <c r="B328" s="3" t="inlineStr">
        <is>
          <t>Solicitação de Serviço</t>
        </is>
      </c>
      <c r="C328" s="3" t="inlineStr">
        <is>
          <t>Gerenciamento de Capacidade</t>
        </is>
      </c>
      <c r="D328" s="1" t="inlineStr">
        <is>
          <t>Explicação Necessária sobre a Otimização de Servidores com Serviços de TI</t>
        </is>
      </c>
      <c r="E328" s="1" t="inlineStr">
        <is>
          <t>Customer Service</t>
        </is>
      </c>
      <c r="F328" s="1" t="inlineStr">
        <is>
          <t>Caro time de suporte de Serviços de TI,
Estou escrevendo para perguntar como posso otimizar nossos servidores usando seu Serviço de Consultoria de TI para melhorar a eficiência do desempenho do sistema. Você poderia fornecer uma explicação detalhada ou quaisquer recursos que possam nos ajudar a alcançar esse objetivo? Estamos ansiosos para melhorar nossas capacidades operacionais e apreciaríamos qualquer orientação que você possa oferecer.
Obrigado pela sua assistência.
Atenciosamente,
&lt;name&gt;</t>
        </is>
      </c>
      <c r="G328" s="1" t="inlineStr">
        <is>
          <t>Problem</t>
        </is>
      </c>
      <c r="H328" s="1" t="inlineStr">
        <is>
          <t>Caro &lt;name&gt;,
Obrigado por entrar em contato. Nosso Serviço de Consultoria de TI oferece otimização de servidores por meio de avaliações de desempenho, balanceamento de carga e diagnósticos de sistema. Podemos personalizar uma estratégia com base em suas necessidades específicas para aumentar a eficiência. Para informações mais detalhadas, recomendamos agendar uma consulta com nossos especialistas. Além disso, podemos fornecer recursos para orientar seu processo de otimização.
Atenciosamente,
Equipe de Suporte de Serviços de TI</t>
        </is>
      </c>
      <c r="I328" s="1" t="inlineStr">
        <is>
          <t>low</t>
        </is>
      </c>
      <c r="J328" s="1" t="inlineStr">
        <is>
          <t>['IT Support', 'Technical Guidance', 'Performance Tuning', 'System Maintenance', 'Problem Resolution']</t>
        </is>
      </c>
      <c r="K328" s="1" t="inlineStr">
        <is>
          <t>pt</t>
        </is>
      </c>
      <c r="L328" s="1" t="n">
        <v>501</v>
      </c>
    </row>
    <row r="329" ht="16.5" customHeight="1">
      <c r="A329" s="1" t="n">
        <v>2881</v>
      </c>
      <c r="B329" s="3" t="inlineStr">
        <is>
          <t>Gerenciamento Financeiro</t>
        </is>
      </c>
      <c r="C329" s="3" t="inlineStr">
        <is>
          <t>Gerenciamento de Incidentes</t>
        </is>
      </c>
      <c r="D329" s="1" t="inlineStr">
        <is>
          <t>Otimização de Custos Urgente Necessária para o Serviço AWS</t>
        </is>
      </c>
      <c r="E329" s="1" t="inlineStr">
        <is>
          <t>Technical Support</t>
        </is>
      </c>
      <c r="F329" s="1" t="inlineStr">
        <is>
          <t>Caro Suporte ao Cliente dos Serviços de TI,
Estou escrevendo para solicitar assistência imediata com nossa conta do Serviço de Gerenciamento AWS, &lt;acc_num&gt;. Recentemente, observamos picos de uso inesperados que levaram a aumentos significativos nos custos. Esses picos são preocupantes e acreditamos que há uma necessidade urgente de otimização de custos para mitigar o impacto financeiro.
Nosso principal objetivo é entender o que está causando esse aumento e encontrar maneiras de reduzir os custos imediatamente. Agradeceria o seu conselho especializado e intervenção rápida para ajudar na identificação das questões subjacentes. Além disso, estamos buscando orientação sobre como ajustar nossa configuração AWS para controlar as despesas imprevistas.
Por favor, priorize este pedido, pois a situação é crítica para nossas operações em andamento. Estamos ansiosos para ouvir suas recomendações ou marcar uma reunião com um de seus especialistas, se necessário.
Agradecemos a sua atenção a este assunto urgente. Aguardamos sua resposta imediata. Você pode nos contatar diretamente pelo &lt;tel_num&gt;.
Atenciosamente,
&lt;name&gt;</t>
        </is>
      </c>
      <c r="G329" s="1" t="inlineStr">
        <is>
          <t>Change</t>
        </is>
      </c>
      <c r="H329" s="1" t="inlineStr">
        <is>
          <t>Caro &lt;name&gt;,
Obrigado por entrar em contato sobre a urgente questão de otimização de custos com sua conta do Serviço de Gerenciamento AWS. Entendemos a natureza crítica dessa situação e estamos comprometidos em ajudá-lo.
Primeiro, recomendamos revisar seus relatórios de custos da AWS e as ferramentas de monitoramento para identificar quaisquer serviços específicos que estejam contribuindo para esses picos. Simultaneamente, nossa equipe irá investigar as causas potenciais para o uso inesperado e sugerir opções de otimização adaptadas às suas necessidades.
Sugerimos agendar uma reunião com um de nossos especialistas em AWS para discutir estratégias detalhadas para redução imediata de custos. Eles podem ajudá-lo a configurar sua configuração AWS para evitar ocorrências futuras.
Priorizamos seu pedido e entraremos em contato em breve para agendar uma consulta.
Obrigado pela sua paciência e confiança.
Atenciosamente,
Equipe de Suporte ao Cliente dos Serviços de TI</t>
        </is>
      </c>
      <c r="I329" s="1" t="inlineStr">
        <is>
          <t>high</t>
        </is>
      </c>
      <c r="J329" s="1" t="inlineStr">
        <is>
          <t>['Technical Support', 'Urgent Issue', 'IT Support', 'Account Assistance', 'Billing Issue', 'Problem Resolution', 'Performance Tuning', 'Service Notification']</t>
        </is>
      </c>
      <c r="K329" s="1" t="inlineStr">
        <is>
          <t>pt</t>
        </is>
      </c>
      <c r="L329" s="1" t="n">
        <v>1127</v>
      </c>
    </row>
    <row r="330" ht="16.5" customHeight="1">
      <c r="A330" s="1" t="n">
        <v>2883</v>
      </c>
      <c r="B330" s="3" t="inlineStr">
        <is>
          <t>Gerenciamento de Incidentes</t>
        </is>
      </c>
      <c r="C330" s="3" t="inlineStr">
        <is>
          <t>Gerenciamento de Problemas</t>
        </is>
      </c>
      <c r="D330" s="1" t="inlineStr">
        <is>
          <t>Necessidade de Assistência Imediata: Dificuldades de Ativação com Kaspersky Internet Security 2024 para o Usuário &lt;name&gt;</t>
        </is>
      </c>
      <c r="E330" s="1" t="inlineStr">
        <is>
          <t>Customer Service</t>
        </is>
      </c>
      <c r="F330" s="1" t="inlineStr">
        <is>
          <t>Olá, Equipe de Atendimento ao Cliente,
O Usuário &lt;name&gt; está tendo dificuldades para ativar o Kaspersky Internet Security 2024 em sua conta &lt;acc_num&gt;. É crucial obter ajuda para resolver essa questão. Por gentileza, contate o usuário através do &lt;tel_num&gt; para fornecer o suporte necessário.
Atenciosamente,
&lt;name&gt;</t>
        </is>
      </c>
      <c r="G330" s="1" t="inlineStr">
        <is>
          <t>Request</t>
        </is>
      </c>
      <c r="H330" s="1" t="inlineStr">
        <is>
          <t>Olá &lt;name&gt;,
Agradecemos por sua mensagem. Entraremos em contato com o Usuário &lt;name&gt; de imediato pelo &lt;tel_num&gt; para auxiliar na resolução das dificuldades de ativação do Kaspersky Internet Security 2024. Valorizamos sua paciência e faremos o nosso melhor para resolver isso rapidamente.
Atenciosamente,
Equipe de Atendimento ao Cliente</t>
        </is>
      </c>
      <c r="I330" s="1" t="inlineStr">
        <is>
          <t>low</t>
        </is>
      </c>
      <c r="J330" s="1" t="inlineStr">
        <is>
          <t>['Technical Support', 'Product Support', 'Urgent Issue', 'Account Assistance', 'Software Bug']</t>
        </is>
      </c>
      <c r="K330" s="1" t="inlineStr">
        <is>
          <t>pt</t>
        </is>
      </c>
      <c r="L330" s="1" t="n">
        <v>315</v>
      </c>
    </row>
    <row r="331" ht="16.5" customHeight="1">
      <c r="A331" s="1" t="n">
        <v>2890</v>
      </c>
      <c r="B331" s="3" t="inlineStr">
        <is>
          <t>Solicitação de Serviço</t>
        </is>
      </c>
      <c r="C331" s="3" t="inlineStr">
        <is>
          <t>Gerenciamento de Nível de Serviço</t>
        </is>
      </c>
      <c r="D331" s="1" t="inlineStr">
        <is>
          <t>Pedido de Assistência em Consultoria de TI</t>
        </is>
      </c>
      <c r="E331" s="1" t="inlineStr">
        <is>
          <t>Customer Service</t>
        </is>
      </c>
      <c r="F331" s="1" t="inlineStr">
        <is>
          <t>Caro time de suporte da empresa de consultoria de TI,
Espero que esta mensagem os encontre bem. Meu nome é &lt;name&gt; e estou entrando em contato para solicitar sua assistência em serviços de consultoria de TI, especificamente voltados para aprimorar nossa administração de servidores e otimizar a implementação de nossas soluções de TI atuais. Como organização, estamos nos esforçando para alcançar maior eficiência e desempenho em nossas operações de TI, e acreditamos que sua expertise e experiência seriam inestimáveis para atingir nossos objetivos.
Estamos particularmente interessados em entender como podemos modernizar nossos processos de administração de servidores para garantir maior segurança, confiabilidade e acessibilidade em toda a organização. Além disso, estamos buscando otimizar a implementação de nossas soluções de TI para garantir que estejam operando em seu máximo potencial. Antecipamos que, com seus serviços de consultoria, podemos identificar áreas para melhoria e implementar mudanças estratégicas para aprimorar nossa infraestrutura de TI como um todo.
Você poderia nos fornecer mais informações sobre como podemos iniciar esse processo? Estamos ansiosos para aprender sobre as etapas envolvidas, prazos aproximados, assim como os custos associados aos seus serviços de consultoria.
Obrigado pelo seu tempo, e aguardo sua resposta rápida. Fique à vontade para me contatar pelo &lt;email&gt; ou &lt;tel_num&gt; para qualquer discussão adicional.
Atenciosamente,
&lt;name&gt;</t>
        </is>
      </c>
      <c r="G331" s="1" t="inlineStr">
        <is>
          <t>Request</t>
        </is>
      </c>
      <c r="H331" s="1" t="inlineStr">
        <is>
          <t>Caro &lt;name&gt;,
Obrigado por entrar em contato conosco a respeito de suas necessidades de consultoria de TI. Estamos muito entusiasmados com a oportunidade de ajudar a melhorar sua administração de servidores e otimizar a implementação de suas soluções de TI.
Para iniciar o processo, recomendamos começar com uma avaliação abrangente de sua infraestrutura de TI atual. Isso nos ajudará a identificar áreas para melhoria e ajustar nossas recomendações estratégicas às suas necessidades específicas. Normalmente, isso começa com uma sessão de consulta introdutória, onde discutimos seus objetivos, desafios e expectativas em detalhes.
As etapas envolvidas geralmente incluem:
1. Consulta Inicial: Entendendo seus objetivos organizacionais e necessidades específicas.
2. Avaliação: Revisão abrangente de seu servidor existente e infraestrutura de TI.
3. Recomendação: Desenvolvimento de um plano personalizado focado em modernização, segurança e otimização.
4. Implementação: Execução passo a passo do plano estratégico dentro dos prazos acordados.
5. Avaliação: Monitoramento contínuo e ajustes para desempenho máximo.
Os prazos para essas fases podem variar com base na complexidade e escopo de seus requisitos. Podemos fornecer um cronograma mais detalhado assim que entendermos mais sobre sua configuração atual e objetivos.
Quanto aos custos, nossos serviços de consultoria normalmente são estruturados com base no escopo de trabalho e recursos necessários. Ficaremos felizes em fornecer uma cotação personalizada após a consulta inicial.
Por favor, nos informe um horário conveniente para discutirmos isso mais a fundo. Sinta-se à vontade para entrar em contato conosco por e-mail ou telefone.
Aguardamos ansiosamente a colaboração com você.
Atenciosamente,
Time de Suporte da Empresa de Consultoria de TI</t>
        </is>
      </c>
      <c r="I331" s="1" t="inlineStr">
        <is>
          <t>medium</t>
        </is>
      </c>
      <c r="J331" s="1" t="inlineStr">
        <is>
          <t>['Technical Support', 'IT Support', 'Service Notification', 'General Inquiry', 'Technical Guidance', 'Problem Resolution', 'Consulting Services']</t>
        </is>
      </c>
      <c r="K331" s="1" t="inlineStr">
        <is>
          <t>pt</t>
        </is>
      </c>
      <c r="L331" s="1" t="n">
        <v>1487</v>
      </c>
    </row>
    <row r="332" ht="16.5" customHeight="1">
      <c r="A332" s="1" t="n">
        <v>2892</v>
      </c>
      <c r="B332" s="3" t="inlineStr">
        <is>
          <t>Gerenciamento de Incidentes</t>
        </is>
      </c>
      <c r="C332" s="3" t="inlineStr">
        <is>
          <t>Gerenciamento de Mudanças</t>
        </is>
      </c>
      <c r="D332" s="1" t="inlineStr">
        <is>
          <t>Solicitação de Suporte de Configuração de Alta Prioridade</t>
        </is>
      </c>
      <c r="E332" s="1" t="inlineStr">
        <is>
          <t>IT Support</t>
        </is>
      </c>
      <c r="F332" s="1" t="inlineStr">
        <is>
          <t>Caro Time de Suporte,
Eu tenho um ticket de alta prioridade solicitando suporte de configuração para o Roteador Cisco ISR4331 em nosso ambiente corporativo. Assistência imediata é necessária para garantir um tempo de inatividade mínimo. Por favor, consulte os detalhes fornecidos sob o número do ticket &lt;ticket_number&gt;. Entre em contato comigo pelo &lt;tel_num&gt; ou por e-mail em &lt;email&gt;.
Obrigado,
&lt;name&gt;</t>
        </is>
      </c>
      <c r="G332" s="1" t="inlineStr">
        <is>
          <t>Request</t>
        </is>
      </c>
      <c r="H332" s="1" t="inlineStr">
        <is>
          <t>Caro &lt;name&gt;,
Obrigado por entrar em contato. Entendemos a urgência do seu pedido em relação à configuração do Roteador Cisco ISR4331. Nossa equipe está priorizando o ticket &lt;ticket_number&gt; e entrará em contato em breve. Para assistência imediata, você pode nos contatar diretamente pelo &lt;tel_num&gt;.
Obrigado pela sua paciência.
Atenciosamente,
Time de Suporte</t>
        </is>
      </c>
      <c r="I332" s="1" t="inlineStr">
        <is>
          <t>high</t>
        </is>
      </c>
      <c r="J332" s="1" t="inlineStr">
        <is>
          <t>['IT Support', 'Technical Support', 'Network Issue', 'Urgent Issue', 'Problem Resolution', 'Service Recovery']</t>
        </is>
      </c>
      <c r="K332" s="1" t="inlineStr">
        <is>
          <t>pt</t>
        </is>
      </c>
      <c r="L332" s="1" t="n">
        <v>403</v>
      </c>
    </row>
    <row r="333" ht="16.5" customHeight="1">
      <c r="A333" s="1" t="n">
        <v>2913</v>
      </c>
      <c r="B333" s="3" t="inlineStr">
        <is>
          <t>Solicitação de Serviço</t>
        </is>
      </c>
      <c r="C333" s="3" t="inlineStr">
        <is>
          <t>Gerenciamento de Nível de Serviço</t>
        </is>
      </c>
      <c r="D333" s="1" t="inlineStr">
        <is>
          <t>Solicitação de Feedback sobre o Desempenho do Servidor</t>
        </is>
      </c>
      <c r="E333" s="1" t="inlineStr">
        <is>
          <t>Customer Service</t>
        </is>
      </c>
      <c r="F333" s="1" t="inlineStr">
        <is>
          <t>Caro Suporte ao Cliente,
Espero que esta mensagem o encontre bem. Estou escrevendo para solicitar feedback sobre o desempenho do servidor e a eficiência de custos em relação aos ajustes do nosso projeto de consultoria de TI em andamento. Nosso cliente, &lt;name&gt;, expressou preocupações em relação ao estado atual e gostaria de explorar melhorias ou alternativas para garantir resultados ótimos. Por favor, forneça-nos informações detalhadas que abordem essas preocupações o mais rápido possível.
Além disso, inclua também pontos de dados relevantes específicos à nossa categoria de produto afetada: Serviço de Consultoria de TI. Sua resposta rápida ajudará muito a alinhar nossas propostas com as expectativas do cliente.
Obrigado pela sua atenção e apoio.
Atenciosamente,
&lt;name&gt;</t>
        </is>
      </c>
      <c r="G333" s="1" t="inlineStr">
        <is>
          <t>Request</t>
        </is>
      </c>
      <c r="H333" s="1" t="inlineStr">
        <is>
          <t>Caro &lt;name&gt;,
Obrigado por entrar em contato com sua solicitação de feedback sobre o desempenho do servidor e a eficiência de custos relacionados ao seu projeto de consultoria de TI. Entendemos a importância de abordar as preocupações do seu cliente para garantir resultados ótimos.
Atualmente, estamos preparando um relatório detalhado que incluirá uma análise das métricas de desempenho do servidor, avaliações de eficiência de custos e possíveis áreas para melhoria. Isso também abrangerá pontos de dados relevantes específicos à sua categoria de Serviço de Consultoria de TI. Nosso objetivo é fornecer a você insights abrangentes para ajudar a alinhar suas propostas com as expectativas de seu cliente.
Aguarde o recebimento dessa informação em breve. Se houver quaisquer especificidades adicionais ou necessidades urgentes, sinta-se à vontade para nos informar.
Obrigado pela sua paciência e confiança em nosso suporte.
Atenciosamente,
Equipe de Suporte ao Cliente</t>
        </is>
      </c>
      <c r="I333" s="1" t="inlineStr">
        <is>
          <t>low</t>
        </is>
      </c>
      <c r="J333" s="1" t="inlineStr">
        <is>
          <t>['Customer Feedback', 'Performance Tuning', 'Technical Support', 'Consulting Services', 'General Inquiry', 'Problem Resolution']</t>
        </is>
      </c>
      <c r="K333" s="1" t="inlineStr">
        <is>
          <t>pt</t>
        </is>
      </c>
      <c r="L333" s="1" t="n">
        <v>782</v>
      </c>
    </row>
    <row r="334" ht="16.5" customHeight="1">
      <c r="A334" s="1" t="n">
        <v>2915</v>
      </c>
      <c r="B334" s="3" t="inlineStr">
        <is>
          <t>Gerenciamento Financeiro</t>
        </is>
      </c>
      <c r="C334" s="3" t="inlineStr">
        <is>
          <t>Gerenciamento de Nível de Serviço</t>
        </is>
      </c>
      <c r="D334" s="1" t="inlineStr">
        <is>
          <t>Problema de Faturamento</t>
        </is>
      </c>
      <c r="E334" s="1" t="inlineStr">
        <is>
          <t>Billing and Payments</t>
        </is>
      </c>
      <c r="F334" s="1" t="inlineStr">
        <is>
          <t>Caro Time de Suporte ao Cliente,
Espero que esta mensagem os encontre bem. Estou escrevendo para trazer à sua atenção um problema de faturamento que encontrei com a recente renovação da minha licença do Jira Software. Apesar de esperar cobranças de acordo com nosso contrato, parece que o valor cobrado pelo período atual de assinatura é maior do que o esperado.
Nos últimos anos, nossa organização contou com o Jira Software 8.20 para gerenciar nossos projetos de maneira eficiente. Nosso número de conta é &lt;acc_num&gt;. Durante nosso período de assinatura, apreciamos o serviço e o suporte oferecidos por sua empresa. No entanto, ao revisar a fatura recente, parece que o valor cobrado excede significativamente os custos de renovação anteriores sem qualquer notificação prévia de aumento de preço ou mudanças nos detalhes da assinatura.
De acordo com a fatura datada de &lt;date&gt;, o valor total é &lt;amount&gt;, enquanto todas as renovações anteriores foram consistentemente cobradas em &lt;previous_amount&gt;. Monitoramos cuidadosamente nosso orçamento e estamos preocupados com as alocações orçamentárias quando ocorrem despesas imprevistas. Solicito gentilmente uma clarificação sobre a(s) razão(ões) para esse aumento. Especificamente, gostaria de entender se houve alguma mudança nos nossos termos de serviço, contrato de licenciamento, ou se esse ajuste pode ser um erro de faturamento.
Seria muito apreciado se uma explicação pudesse ser fornecida, juntamente com um detalhamento das cobranças associadas. Se necessário, estou à disposição para fornecer mais informações ou documentação para ajudar a resolver essa questão rapidamente. 
Agradeço sua pronta atenção a este problema, pois estamos ansiosos para resolvê-lo na sua primeira oportunidade para evitar qualquer interrupção em nosso uso do Jira Software. Aguardo sua resposta.
Atenciosamente,
&lt;name&gt;
Informações de Contato:
Email: &lt;email_addr&gt;
Telefone: &lt;tel_num&gt;</t>
        </is>
      </c>
      <c r="G334" s="1" t="inlineStr">
        <is>
          <t>Problem</t>
        </is>
      </c>
      <c r="H334" s="1" t="inlineStr">
        <is>
          <t>Caro &lt;name&gt;,
Obrigado por nos contatar sobre o problema de faturamento com a renovação da sua licença do Jira Software. Entendemos sua preocupação em relação ao aumento inesperado nas cobranças.
Investigaremos o assunto prontamente para determinar se houve um erro de faturamento ou qualquer mudança não percebida nos seus termos de serviço. Por favor, permita-nos algum tempo para revisar sua conta e os detalhes da fatura recente. 
Enquanto isso, solicitamos que você forneça qualquer documentação adicional que possa ter para ajudar a agilizar o processo. Sua colaboração é muito apreciada.
Fique tranquilo, estamos comprometidos em resolver essa questão rapidamente para garantir o uso ininterrupto do Jira Software. Nós entraremos em contato com você com nossas descobertas e uma resolução apropriada assim que possível.
Obrigado pela sua paciência e compreensão.
Atenciosamente,
Time de Suporte ao Cliente</t>
        </is>
      </c>
      <c r="I334" s="1" t="inlineStr">
        <is>
          <t>medium</t>
        </is>
      </c>
      <c r="J334" s="1" t="inlineStr">
        <is>
          <t>['Billing Issue', 'Customer Service', 'Account Assistance', 'Problem Resolution', 'Refund Request']</t>
        </is>
      </c>
      <c r="K334" s="1" t="inlineStr">
        <is>
          <t>pt</t>
        </is>
      </c>
      <c r="L334" s="1" t="n">
        <v>1922</v>
      </c>
    </row>
    <row r="335" ht="16.5" customHeight="1">
      <c r="A335" s="1" t="n">
        <v>2926</v>
      </c>
      <c r="B335" s="3" t="inlineStr">
        <is>
          <t>Solicitação de Serviço</t>
        </is>
      </c>
      <c r="C335" s="3" t="inlineStr">
        <is>
          <t>Gerenciamento de Capacidade</t>
        </is>
      </c>
      <c r="D335" s="1" t="inlineStr">
        <is>
          <t>Solicitação de Orientação: Implementação Eficiente da Administração de Servidores</t>
        </is>
      </c>
      <c r="E335" s="1" t="inlineStr">
        <is>
          <t>IT Support</t>
        </is>
      </c>
      <c r="F335" s="1" t="inlineStr">
        <is>
          <t>Caro time de Suporte de Serviços de TI,
Espero que este e-mail os encontre bem. Meu nome é &lt;name&gt;, e estou entrando em contato para solicitar sua orientação especializada sobre a administração de servidores dentro de nossa infraestrutura de TI existente. Estamos visando implementar isso de forma eficiente e com interrupções mínimas.
Atualmente, estamos utilizando seu Serviço de Consultoria em TI, que tem sido instrumental em nosso desenvolvimento contínuo de TI. No entanto, com as demandas em evolução de nossas operações, tornou-se crítico aprimorar nossas capacidades de gerenciamento de servidores. Nosso objetivo é otimizar nossos processos e garantir máxima confiabilidade e disponibilidade.
Para fornecer um pouco de contexto, nossa empresa, &lt;company_name&gt;, opera em uma indústria dinâmica onde a eficácia da infraestrutura de TI influencia significativamente nossa capacidade de atender os clientes de forma eficaz. Como tal, é essencial que nossa configuração de servidores seja robusta e escalável.
Estamos buscando otimizar a integração de novas tecnologias de servidores e melhorar as práticas de configuração dentro de nossos sistemas atuais. Entendemos que isso pode envolver revisitar nossa arquitetura de rede, examinar opções de balanceamento de carga e rever protocolos de segurança para melhor alinhar com os padrões do setor.
Dada sua experiência, eu apreciaria quaisquer recomendações detalhadas ou melhores práticas que você possa nos compartilhar. Especificamente, gostaríamos de entender o seguinte:
1. Quais são as ferramentas e tecnologias mais atuais em administração de servidores que você recomendaria implementar?
2. Você pode fornecer um esboço passo a passo de como integrar esses avanços minimizando riscos ou inatividade nas operações em andamento?
3. Como podemos garantir que nossa equipe esteja adequadamente preparada para adotar e manter essas mudanças, incluindo qualquer treinamento ou recursos necessários?
Além disso, quaisquer estudos de caso ou exemplos de implementações semelhantes que tiveram um impacto positivo seriam valiosos para nós avaliarmos e compreender opções viáveis.
Queremos garantir que a administração de nossos servidores não apenas apoie as operações atuais, mas também forneça uma base para o crescimento futuro. Estamos confiantes de que com sua orientação, podemos alcançar esses objetivos de forma harmoniosa.
Por favor, deixe-nos saber um horário adequado para uma reunião ou uma ligação para discutir isso em detalhes. Aguardamos suas valiosas percepções e estamos ansiosos para trabalhar em estreita colaboração com sua equipe.
Obrigado pela sua assistência.
Atenciosamente,
&lt;name&gt;
&lt;position&gt;
&lt;company_name&gt;
&lt;email&gt;
&lt;tel_num&gt;</t>
        </is>
      </c>
      <c r="G335" s="1" t="inlineStr">
        <is>
          <t>Request</t>
        </is>
      </c>
      <c r="H335" s="1" t="inlineStr">
        <is>
          <t>Caro &lt;name&gt;,
Obrigado por entrar em contato com sua solicitação sobre administração de servidores. Estamos felizes em saber sobre sua experiência positiva com nosso Serviço de Consultoria em TI e estamos empolgados para ajudar mais.
Para uma administração eficiente de servidores e para garantir a robustez e escalabilidade do seu sistema, recomendamos as seguintes abordagens:
1. **Ferramentas e Tecnologias**: Considere ferramentas modernas como Docker para containerização, Ansible para automação e Kubernetes para orquestração. Isso facilita o gerenciamento e a implantação eficientes.
2. **Estratégia de Integração**: Para minimizar riscos e inatividade:
   - Comece com uma auditoria detalhada de sua infraestrutura atual.
   - Implemente mudanças incrementais com testes paralelos antes da migração completa.
   - Programe atualizações durante horários de menor movimento.
3. **Preparação da Equipe**: Forneça sessões de treinamento especializadas nas novas ferramentas e práticas. O acesso a recursos como cursos online, workshops e documentação pode ser benéfico.
Além disso, forneceremos casos de estúdio semelhantes para sua equipe revisar. Vamos agendar uma reunião o mais rápido possível para aprofundar essas estratégias e coletar mais informações sobre suas necessidades específicas.
Por favor, sugira horários adequados para nós nos conectarmos e discutirmos mais.
Atenciosamente,
[Seu Nome]
Agente do Service Desk
Equipe de Suporte de Serviços de TI</t>
        </is>
      </c>
      <c r="I335" s="1" t="inlineStr">
        <is>
          <t>medium</t>
        </is>
      </c>
      <c r="J335" s="1" t="inlineStr">
        <is>
          <t>['IT Support', 'Technical Guidance', 'Problem Resolution', 'Documentation Request', 'Training Request', 'Network Issue', 'Performance Tuning']</t>
        </is>
      </c>
      <c r="K335" s="1" t="inlineStr">
        <is>
          <t>pt</t>
        </is>
      </c>
      <c r="L335" s="1" t="n">
        <v>2713</v>
      </c>
    </row>
    <row r="336" ht="16.5" customHeight="1">
      <c r="A336" s="1" t="n">
        <v>2946</v>
      </c>
      <c r="B336" s="3" t="inlineStr">
        <is>
          <t>Solicitação de Serviço</t>
        </is>
      </c>
      <c r="C336" s="3" t="inlineStr">
        <is>
          <t>Gerenciamento de Ativos de TI</t>
        </is>
      </c>
      <c r="D336" s="1" t="inlineStr">
        <is>
          <t>Solicitação de Atualização das Ferramentas de Design</t>
        </is>
      </c>
      <c r="E336" s="1" t="inlineStr">
        <is>
          <t>Product Support</t>
        </is>
      </c>
      <c r="F336" s="1" t="inlineStr">
        <is>
          <t>Caro Equipe de Suporte ao Cliente,
Estou escrevendo para solicitar uma atualização das nossas ferramentas de design atuais, adquirindo o Adobe Photoshop 2024, pois oferece capacidades aprimoradas de edição de fotos e gráficos que são cruciais para nossos projetos. Os recursos melhorados, incluindo tecnologia de IA e opções de edição avançadas, aumentarão significativamente nossa eficiência e a qualidade de nossos resultados. A atualização para a versão mais recente nos permitirá permanecer competitivos no cenário digital em rápida evolução de hoje. Por favor, me avise sobre o procedimento e os custos adicionais envolvidos.
Obrigado pela sua atenção a este assunto.
Atenciosamente,
&lt;name&gt;</t>
        </is>
      </c>
      <c r="G336" s="1" t="inlineStr">
        <is>
          <t>Change</t>
        </is>
      </c>
      <c r="H336" s="1" t="inlineStr">
        <is>
          <t>Caro &lt;name&gt;,
Obrigado por entrar em contato sobre a atualização para o Adobe Photoshop 2024. Entendemos a importância de ter as ferramentas mais recentes para manter a eficiência e a competitividade. Para prosseguir com a atualização, entre em contato com nosso departamento de aquisição de software pelo &lt;email_address&gt; ou ligue para &lt;tel_num&gt;. Eles fornecerão informações detalhadas sobre o procedimento e quaisquer custos adicionais envolvidos. Se você tiver mais perguntas, sinta-se à vontade para perguntar.
Atenciosamente,
Equipe de Suporte ao Cliente</t>
        </is>
      </c>
      <c r="I336" s="1" t="inlineStr">
        <is>
          <t>high</t>
        </is>
      </c>
      <c r="J336" s="1" t="inlineStr">
        <is>
          <t>['Product Support', 'Technical Support', 'Sales Inquiry', 'Feature Request', 'Customer Service']</t>
        </is>
      </c>
      <c r="K336" s="1" t="inlineStr">
        <is>
          <t>pt</t>
        </is>
      </c>
      <c r="L336" s="1" t="n">
        <v>699</v>
      </c>
    </row>
    <row r="337" ht="16.5" customHeight="1">
      <c r="A337" s="1" t="n">
        <v>2960</v>
      </c>
      <c r="B337" s="3" t="inlineStr">
        <is>
          <t>Solicitação de Serviço</t>
        </is>
      </c>
      <c r="C337" s="3" t="inlineStr">
        <is>
          <t>Gerenciamento de Ativos de TI</t>
        </is>
      </c>
      <c r="D337" s="1" t="inlineStr">
        <is>
          <t>Solicitação de Troca da Canon PIXMA MG3620</t>
        </is>
      </c>
      <c r="E337" s="1" t="inlineStr">
        <is>
          <t>Returns and Exchanges</t>
        </is>
      </c>
      <c r="F337" s="1" t="inlineStr">
        <is>
          <t>Caro Suporte ao Cliente da Loja Online Tech,
Espero que esta mensagem te encontre bem. Estou entrando em contato para solicitar uma troca da minha impressora Canon PIXMA MG3620, comprada na conta &lt;acc_num&gt;. Desde a sua chegada recente, encontrei problemas de qualidade de impressão e de conectividade esporádica, que dificultaram significativamente minha experiência como usuário. Eu apreciaria uma resolução rápida para este assunto. Para mais detalhes, sinta-se à vontade para entrar em contato pelo meu número, &lt;tel_num&gt;.
Obrigado pela sua assistência.
Atenciosamente,
&lt;name&gt;</t>
        </is>
      </c>
      <c r="G337" s="1" t="inlineStr">
        <is>
          <t>Request</t>
        </is>
      </c>
      <c r="H337" s="1" t="inlineStr">
        <is>
          <t>Assunto: Re: Solicitação de Troca da Canon PIXMA MG3620
Caro &lt;name&gt;,
Obrigado por entrar em contato a respeito dos problemas com sua impressora Canon PIXMA MG3620. Pedimos desculpas pelo transtorno que isso causou. Para prosseguir com o processo de troca, por favor, assegure-se de que a impressora esteja em sua embalagem original com todos os acessórios incluídos. Nossa equipe iniciará a troca assim que a impressora for devolvida e inspecionada. Você pode usar a etiqueta de retorno fornecida dentro da embalagem para enviar a impressora de volta.
Se você tiver mais perguntas ou precisar de assistência adicional, sinta-se à vontade para nos contatar usando os detalhes de suporte ao cliente em nosso site. Nosso objetivo é resolver este assunto rapidamente para você.
Obrigado pela sua paciência e compreensão.
Atenciosamente,
Suporte ao Cliente da Loja Online Tech</t>
        </is>
      </c>
      <c r="I337" s="1" t="inlineStr">
        <is>
          <t>low</t>
        </is>
      </c>
      <c r="J337" s="1" t="inlineStr">
        <is>
          <t>['Returns and Exchanges', 'Product Support', 'Order Issue', 'Customer Service']</t>
        </is>
      </c>
      <c r="K337" s="1" t="inlineStr">
        <is>
          <t>pt</t>
        </is>
      </c>
      <c r="L337" s="1" t="n">
        <v>582</v>
      </c>
    </row>
    <row r="338" ht="16.5" customHeight="1">
      <c r="A338" s="1" t="n">
        <v>2964</v>
      </c>
      <c r="B338" s="3" t="inlineStr">
        <is>
          <t>Gerenciamento de Incidentes</t>
        </is>
      </c>
      <c r="C338" s="3" t="inlineStr">
        <is>
          <t>Gerenciamento de Ativos de TI</t>
        </is>
      </c>
      <c r="D338" s="1" t="inlineStr">
        <is>
          <t>Problema urgente com o teclado do Dell XPS 13</t>
        </is>
      </c>
      <c r="E338" s="1" t="inlineStr">
        <is>
          <t>Technical Support</t>
        </is>
      </c>
      <c r="F338" s="1" t="inlineStr">
        <is>
          <t>Caro(a) equipe de suporte ao cliente da Tech Online Store, espero que esta mensagem o encontre bem. Estou escrevendo para expressar minha preocupação em relação aos problemas com o teclado que estou enfrentando com o Dell XPS 13 9310, que comprei em sua loja. O teclado ficou completamente inoperante, impactando muito minha produtividade e interrompendo minhas tarefas diárias. Este problema é de alta prioridade para mim e preciso de assistência para resolvê-lo rapidamente. Você poderia, por favor, aconselhar sobre os próximos passos ou fornecer uma solução o mais rápido possível? Agradeceria sua atenção imediata a este assunto. Obrigado pela sua compreensão. Atenciosamente, &lt;name&gt;</t>
        </is>
      </c>
      <c r="G338" s="1" t="inlineStr">
        <is>
          <t>Problem</t>
        </is>
      </c>
      <c r="H338" s="1" t="inlineStr">
        <is>
          <t>Caro(a) &lt;name&gt;,
Obrigado por entrar em contato conosco sobre o problema do teclado com o seu Dell XPS 13 9310. Entendemos o inconveniente que isso causou e estamos comprometidos em resolvê-lo rapidamente.
Por favor, tente seguir estas etapas iniciais:
1. Execute um desligamento forçado segurando o botão de energia por 10 segundos e, em seguida, reinicie seu laptop.
2. Verifique se há atualizações de teclado ou sistema disponíveis através da ferramenta Dell SupportAssist.
Se o problema persistir, considere as seguintes ações:
- Visite nossa loja com seu laptop para que um técnico avalie o problema.
- Contate o suporte ao cliente da Dell diretamente para utilizar os serviços de garantia, se aplicável.
Por favor, nos informe como você deseja proceder ou se precisar de mais orientações. Estamos aqui para ajudar você.
Atenciosamente,
Equipe de Suporte ao Cliente da Tech Online Store</t>
        </is>
      </c>
      <c r="I338" s="1" t="inlineStr">
        <is>
          <t>high</t>
        </is>
      </c>
      <c r="J338" s="1" t="inlineStr">
        <is>
          <t>['Urgent Issue', 'Technical Support', 'Hardware Failure', 'Product Support', 'Problem Resolution']</t>
        </is>
      </c>
      <c r="K338" s="1" t="inlineStr">
        <is>
          <t>pt</t>
        </is>
      </c>
      <c r="L338" s="1" t="n">
        <v>688</v>
      </c>
    </row>
    <row r="339" ht="16.5" customHeight="1">
      <c r="A339" s="1" t="n">
        <v>2967</v>
      </c>
      <c r="B339" s="3" t="inlineStr">
        <is>
          <t>Gerenciamento de Incidentes</t>
        </is>
      </c>
      <c r="C339" s="3" t="inlineStr">
        <is>
          <t>Gerenciamento de Problemas</t>
        </is>
      </c>
      <c r="D339" s="1" t="inlineStr">
        <is>
          <t>Problema de alta prioridade com a atualização do Jira</t>
        </is>
      </c>
      <c r="E339" s="1" t="inlineStr">
        <is>
          <t>Technical Support</t>
        </is>
      </c>
      <c r="F339" s="1" t="inlineStr">
        <is>
          <t>Caro Equipe de Suporte ao Cliente,
Estou escrevendo para expressar nossa necessidade urgente de assistência em relação a um problema crítico que estamos enfrentando com o Jira Software 8.20. Nossa equipe de projeto inteira não consegue atualizar os status dos tickets, o que está perturbando significativamente nosso fluxo de trabalho. Este problema tornou impossível para nós gerenciar tarefas, prioridades e prazos de forma eficaz. É imperativo que resolvamos esta questão rapidamente para garantir que nossa equipe possa continuar seu trabalho sem atrasos adicionais.
O problema começou em 10 de outubro de 2023, e apesar de várias tentativas de solucionar o problema da nossa parte, não conseguimos resolvê-lo. Alterar permissões de usuário e limpar caches foram testados sem resultados positivos. A constante incapacidade de transitar os problemas pelo nosso fluxo de trabalho causou crescente frustração e atrasos nos prazos de entrega do projeto.
Considerando a importância desta ferramenta para nossas operações diárias e seu papel central em nossas estratégias de gerenciamento de projetos, agradeceríamos se sua equipe técnica pudesse priorizar esta solicitação. Esperamos obter insights ou encontrar uma solução de sua parte o mais rápido possível. Fico à disposição para fornecer quaisquer outras informações que você possa precisar.
Nosso gerente de projeto, &lt;name&gt;, está disponível em &lt;email&gt; ou &lt;tel_num&gt; caso você precise de registros técnicos detalhados ou de uma sessão remota. Por favor, aconselhe sobre os próximos passos para facilitar uma resolução rápida e eficiente para esta questão. Esperamos receber sua resposta positiva em breve.
Obrigado pela sua compreensão e atenção urgente a este assunto urgente.
Atenciosamente,
&lt;name&gt;
Número da Conta: &lt;acc_num&gt;
&lt;Company Name&gt;
&lt;email&gt;
&lt;tel_num&gt;</t>
        </is>
      </c>
      <c r="G339" s="1" t="inlineStr">
        <is>
          <t>Problem</t>
        </is>
      </c>
      <c r="H339" s="1" t="inlineStr">
        <is>
          <t>Caro &lt;name&gt;,
Obrigado por entrar em contato conosco sobre a questão urgente com o Jira Software 8.20. Entendemos o impacto que esse problema tem no fluxo de trabalho de sua equipe e estamos priorizando sua solicitação para atenção imediata.
Para ajudar a acelerar a resolução, por favor, assegure-se de que seu gerente de projeto, &lt;name&gt;, nos envie quaisquer registros técnicos disponíveis e se prepare para uma possível sessão remota. Nossa equipe técnica irá revisar esses registros e fornecer instruções detalhadas sobre os próximos passos.
Estamos comprometidos em resolver este problema rapidamente e manteremos você atualizado sobre nosso progresso. Por favor, não hesite em nos contatar se você tiver informações adicionais ou perguntas nesse ínterim.
Atenciosamente,
Equipe de Suporte ao Cliente</t>
        </is>
      </c>
      <c r="I339" s="1" t="inlineStr">
        <is>
          <t>high</t>
        </is>
      </c>
      <c r="J339" s="1" t="inlineStr">
        <is>
          <t>['Technical Support', 'Software Bug', 'Urgent Issue', 'Problem Resolution', 'Service Recovery', 'Customer Service']</t>
        </is>
      </c>
      <c r="K339" s="1" t="inlineStr">
        <is>
          <t>pt</t>
        </is>
      </c>
      <c r="L339" s="1" t="n">
        <v>1820</v>
      </c>
    </row>
    <row r="340" ht="16.5" customHeight="1">
      <c r="A340" s="1" t="n">
        <v>2974</v>
      </c>
      <c r="B340" s="3" t="inlineStr">
        <is>
          <t>Gerenciamento Financeiro</t>
        </is>
      </c>
      <c r="C340" s="3" t="inlineStr">
        <is>
          <t>Gerenciamento de Incidentes</t>
        </is>
      </c>
      <c r="D340" s="1" t="inlineStr">
        <is>
          <t>Cobrado a mais pela assinatura do Microsoft Office 365</t>
        </is>
      </c>
      <c r="E340" s="1" t="inlineStr">
        <is>
          <t>Billing and Payments</t>
        </is>
      </c>
      <c r="F340" s="1" t="inlineStr">
        <is>
          <t>Caro Time de Suporte ao Cliente,
Espero que esta mensagem o encontre bem. Estou escrevendo para chamar sua atenção para um problema relacionado à minha cobrança recente pela assinatura mensal do Microsoft Office 365 sob o número da conta &lt;acc_num&gt;. Notei que fui cobrado a mais em meu último extrato de cobrança. Esperava ser cobrado pelo valor habitual, mas parece que um valor maior foi deduzido. Você poderia investigar e providenciar um reembolso imediato pela cobrança em excesso? Sua atenção rápida a este assunto é muito apreciada.
Obrigado pelo seu apoio.
Atenciosamente,
&lt;name&gt;</t>
        </is>
      </c>
      <c r="G340" s="1" t="inlineStr">
        <is>
          <t>Problem</t>
        </is>
      </c>
      <c r="H340" s="1" t="inlineStr">
        <is>
          <t>Caro &lt;name&gt;,
Obrigado por entrar em contato conosco a respeito do seu problema com a assinatura do Microsoft Office 365. Pedimos desculpas por qualquer inconveniente causado pela cobrança a mais em sua conta &lt;acc_num&gt;. Vamos investigar este assunto prontamente e trabalhar para fornecer um reembolso pelo valor em excesso cobrado. Você pode esperar uma resposta nossa em breve com uma atualização.
Obrigado pela sua paciência e compreensão.
Atenciosamente,
Equipe de Suporte ao Cliente</t>
        </is>
      </c>
      <c r="I340" s="1" t="inlineStr">
        <is>
          <t>high</t>
        </is>
      </c>
      <c r="J340" s="1" t="inlineStr">
        <is>
          <t>['Billing Issue', 'Customer Service', 'Refund Request', 'Payment Processing']</t>
        </is>
      </c>
      <c r="K340" s="1" t="inlineStr">
        <is>
          <t>pt</t>
        </is>
      </c>
      <c r="L340" s="1" t="n">
        <v>590</v>
      </c>
    </row>
    <row r="341" ht="16.5" customHeight="1">
      <c r="A341" s="1" t="n">
        <v>2995</v>
      </c>
      <c r="B341" s="3" t="inlineStr">
        <is>
          <t>Gerenciamento Financeiro</t>
        </is>
      </c>
      <c r="C341" s="3" t="inlineStr">
        <is>
          <t>Gerenciamento de Incidentes</t>
        </is>
      </c>
      <c r="D341" s="1" t="inlineStr">
        <is>
          <t>Problema de Cobrança Incorreta Detectado</t>
        </is>
      </c>
      <c r="E341" s="1" t="inlineStr">
        <is>
          <t>Billing and Payments</t>
        </is>
      </c>
      <c r="F341" s="1" t="inlineStr">
        <is>
          <t>Caro Suporte ao Cliente de Serviços de TI,
Espero que esta mensagem o encontre bem. Estou entrando em contato para expressar minha preocupação em relação a um cálculo de cobrança incorreto que foi detectado recentemente em minha conta. Notei discrepâncias que afetam meu saldo e cálculos de pagamento, especificamente para o AWS Management Service. Este problema está causando um desconforto significativo e pode levar a potenciais mal-entendidos financeiros.
Meu número de conta é &lt;acc_num&gt;, registrado sob o nome &lt;name&gt;. Por favor, revise este problema assim que possível e advise sobre os passos que devemos seguir para resolver esta questão.
Obrigado pela sua rápida atenção.
Atenciosamente,
&lt;name&gt;</t>
        </is>
      </c>
      <c r="G341" s="1" t="inlineStr">
        <is>
          <t>Problem</t>
        </is>
      </c>
      <c r="H341" s="1" t="inlineStr">
        <is>
          <t>Caro &lt;name&gt;,
Obrigado por nos contatar com sua preocupação em relação à cobrança. Pedimos desculpas por qualquer inconveniente que isso possa ter causado. Encaminhei seu problema relacionado à discrepância na cobrança do AWS Management Service para o nosso departamento de faturamento para uma revisão detalhada.
Investigarei cuidadosamente sua conta, &lt;acc_num&gt;, para identificar e corrigir quaisquer erros nos cálculos de saldo e pagamento. Assim que for resolvido, atualizaremos você sobre os passos tomados e quaisquer ajustes feitos em sua conta.
Agradecemos sua paciência e trabalharemos rapidamente para resolver esta questão. Se você tiver outras preocupações ou precisar de assistência adicional, não hesite em nos avisar.
Atenciosamente,
Suporte ao Cliente de Serviços de TI</t>
        </is>
      </c>
      <c r="I341" s="1" t="inlineStr">
        <is>
          <t>high</t>
        </is>
      </c>
      <c r="J341" s="1" t="inlineStr">
        <is>
          <t>['Billing Issue', 'Customer Service', 'Account Assistance', 'Payment Processing', 'Problem Resolution']</t>
        </is>
      </c>
      <c r="K341" s="1" t="inlineStr">
        <is>
          <t>pt</t>
        </is>
      </c>
      <c r="L341" s="1" t="n">
        <v>706</v>
      </c>
    </row>
    <row r="342" ht="16.5" customHeight="1">
      <c r="A342" s="1" t="n">
        <v>3001</v>
      </c>
      <c r="B342" s="3" t="inlineStr">
        <is>
          <t>Gerenciamento de Incidentes</t>
        </is>
      </c>
      <c r="C342" s="3" t="inlineStr">
        <is>
          <t>Gerenciamento de Problemas</t>
        </is>
      </c>
      <c r="D342" s="1" t="inlineStr">
        <is>
          <t>Problemas com Atribuições Scrum do Jira</t>
        </is>
      </c>
      <c r="E342" s="1" t="inlineStr">
        <is>
          <t>Human Resources</t>
        </is>
      </c>
      <c r="F342" s="1" t="inlineStr">
        <is>
          <t>Caro time de suporte ao cliente,
Estou escrevendo para informá-los sobre um problema urgente que estamos enfrentando com o Jira Software (versão 8.20), que está impactando significativamente nossos processos de gestão de RH. Nossa equipe depende fortemente do Scrum para gerenciamento de projetos, e encontramos um problema com o recurso de atribuição de tickets que não está funcionando corretamente. Esse defeito está causando consideráveis atrasos em nosso fluxo de trabalho e dificultando a produtividade geral.
Anteriormente, as atribuições de tickets nos quadros Scrum ocorriam de maneira tranquila, garantindo uma distribuição suave de tarefas entre os membros da equipe. No entanto, desde a atualização recente, as atribuições tornaram-se erráticas e inconsistentes, levando a confusões e gargalos em nossos processos. Essa falha precisa de atenção urgente para restaurar as operações normais.
Solicitamos gentilmente que sua equipe de suporte técnico investigue esse problema e forneça uma solução o mais rápido possível. A capacidade da equipe de gerenciar tarefas de forma eficiente é de suma importância, e essa falha de software é um impedimento direto às suas operações diárias.
Sinta-se à vontade para me contactar pelo &lt;tel_num&gt; caso precise de mais detalhes ou deseje discutir esse assunto mais a fundo. Aguardamos uma resolução rápida para esse problema.
Obrigado pela sua atenção imediata a este assunto.
Atenciosamente,
&lt;name&gt;</t>
        </is>
      </c>
      <c r="G342" s="1" t="inlineStr">
        <is>
          <t>Problem</t>
        </is>
      </c>
      <c r="H342" s="1" t="inlineStr">
        <is>
          <t>Caro &lt;name&gt;,
Obrigado por entrar em contato conosco sobre os problemas com o Jira Software versão 8.20. Pedimos desculpas pelo inconveniente que isso causou aos seus processos de gestão de RH e entendemos a urgência em retificar essa situação.
Nossa equipe de suporte técnico já está ciente do problema com as atribuições de tickets do quadro Scrum após a atualização recente. Estamos investigando ativamente o problema para identificar a causa raiz e desenvolver uma solução o mais rápido possível.
Enquanto isso, por favor, certifique-se de que sua instância do Jira está configurada corretamente de acordo com as notas de atualização, pois às vezes certas configurações podem precisar de ajustes após a atualização.
Manteremos você informado sobre o progresso e notificaremos assim que uma solução estiver em vigor. Caso você tenha mais perguntas ou precise de assistência adicional, não hesite em nos contatar quando for conveniente.
Obrigado pela sua paciência e compreensão.
Atenciosamente,
Equipe do Service Desk</t>
        </is>
      </c>
      <c r="I342" s="1" t="inlineStr">
        <is>
          <t>high</t>
        </is>
      </c>
      <c r="J342" s="1" t="inlineStr">
        <is>
          <t>['Technical Support', 'Software Bug', 'Urgent Issue', 'Problem Resolution', 'IT Support']</t>
        </is>
      </c>
      <c r="K342" s="1" t="inlineStr">
        <is>
          <t>pt</t>
        </is>
      </c>
      <c r="L342" s="1" t="n">
        <v>1453</v>
      </c>
    </row>
    <row r="343" ht="16.5" customHeight="1">
      <c r="A343" s="1" t="n">
        <v>3002</v>
      </c>
      <c r="B343" s="3" t="inlineStr">
        <is>
          <t>Gerenciamento de Incidentes</t>
        </is>
      </c>
      <c r="C343" s="3" t="inlineStr">
        <is>
          <t>Gerenciamento de Disponibilidade</t>
        </is>
      </c>
      <c r="D343" s="1" t="inlineStr">
        <is>
          <t>Resposta imediata necessária: Problema no roteador Cisco ISR4331</t>
        </is>
      </c>
      <c r="E343" s="1" t="inlineStr">
        <is>
          <t>IT Support</t>
        </is>
      </c>
      <c r="F343" s="1" t="inlineStr">
        <is>
          <t>Nossa rede empresarial está inativa devido a uma falha no roteador Cisco ISR4331. Isso requer sua atenção urgente para restaurar a conectividade segura e de alto desempenho imediatamente. Por favor, trate este problema assim que possível.</t>
        </is>
      </c>
      <c r="G343" s="1" t="inlineStr">
        <is>
          <t>Problem</t>
        </is>
      </c>
      <c r="H343" s="1" t="inlineStr">
        <is>
          <t>Estamos cientes do problema com o roteador Cisco ISR4331. Nossa equipe está trabalhando para restaurar a conectividade de alto desempenho da sua rede rapidamente. Pedimos desculpas pelo transtorno e agradecemos sua paciência.</t>
        </is>
      </c>
      <c r="I343" s="1" t="inlineStr">
        <is>
          <t>high</t>
        </is>
      </c>
      <c r="J343" s="1" t="inlineStr">
        <is>
          <t>['Urgent Issue', 'Technical Support', 'Network Issue', 'Service Disruption', 'Performance Tuning', 'Service Recovery']</t>
        </is>
      </c>
      <c r="K343" s="1" t="inlineStr">
        <is>
          <t>pt</t>
        </is>
      </c>
      <c r="L343" s="1" t="n">
        <v>238</v>
      </c>
    </row>
    <row r="344" ht="16.5" customHeight="1">
      <c r="A344" s="1" t="n">
        <v>3006</v>
      </c>
      <c r="B344" s="3" t="inlineStr">
        <is>
          <t>Gerenciamento de Incidentes</t>
        </is>
      </c>
      <c r="C344" s="3" t="inlineStr">
        <is>
          <t>Gerenciamento de Ativos de TI</t>
        </is>
      </c>
      <c r="D344" s="1" t="inlineStr">
        <is>
          <t>Incidente de alta prioridade: Teclado com mal funcionamento no Surface Pro 7</t>
        </is>
      </c>
      <c r="E344" s="1" t="inlineStr">
        <is>
          <t>Technical Support</t>
        </is>
      </c>
      <c r="F344" s="1" t="inlineStr">
        <is>
          <t>Caro Atendimento ao Cliente,
Estou enfrentando um problema de alta prioridade com meu Microsoft Surface Pro 7. O teclado destacável está com mal funcionamento, o que está afetando severamente minha produtividade no trabalho. Qualquer tecla que eu pressione às vezes não é registrada ou registra várias vezes, interrompendo meu fluxo de trabalho. O número de série do meu dispositivo é &lt;serial_num&gt;. Preciso urgentemente de assistência para resolver esse problema. Uma resposta rápida seria muito apreciada.
Obrigado pela sua compreensão e assistência.
Atenciosamente,
&lt;name&gt;
&lt;tel_num&gt;</t>
        </is>
      </c>
      <c r="G344" s="1" t="inlineStr">
        <is>
          <t>Incident</t>
        </is>
      </c>
      <c r="H344" s="1" t="inlineStr">
        <is>
          <t>Caro &lt;name&gt;,
Entendemos a urgência da sua situação em relação ao teclado com mal funcionamento no seu Microsoft Surface Pro 7. Por favor, tente as seguintes etapas:
1. Desconecte e reconecte o teclado para garantir uma conexão segura.
2. Verifique se há atualizações de sistema disponíveis navegando até Configurações &gt; Atualização e Segurança &gt; Atualização do Windows.
3. Redefina as configurações do teclado acessando o Gerenciador de Dispositivos, clicando com o botão direito no dispositivo do teclado e selecionando 'Desinstalar'. Reinicie seu dispositivo para reinstalar os drivers.
Se essas etapas não resolverem o problema, entre em contato com nosso suporte técnico assim que possível utilizando o seguinte link ou opção de telefone.
Obrigado pela sua paciência e cooperação.
Atenciosamente,
Equipe de Suporte ao Cliente</t>
        </is>
      </c>
      <c r="I344" s="1" t="inlineStr">
        <is>
          <t>high</t>
        </is>
      </c>
      <c r="J344" s="1" t="inlineStr">
        <is>
          <t>['Technical Support', 'High Priority', 'Hardware Failure', 'Urgent Issue', 'Problem Resolution', 'Product Support', 'IT Support', 'Customer Service']</t>
        </is>
      </c>
      <c r="K344" s="1" t="inlineStr">
        <is>
          <t>pt</t>
        </is>
      </c>
      <c r="L344" s="1" t="n">
        <v>588</v>
      </c>
    </row>
    <row r="345" ht="16.5" customHeight="1">
      <c r="A345" s="1" t="n">
        <v>3017</v>
      </c>
      <c r="B345" s="3" t="inlineStr">
        <is>
          <t>Gerenciamento de Incidentes</t>
        </is>
      </c>
      <c r="C345" s="3" t="inlineStr">
        <is>
          <t>Gerenciamento de Ativos de TI</t>
        </is>
      </c>
      <c r="D345" s="1" t="inlineStr">
        <is>
          <t>Problema com Surface Pro 7 - Piscar de Tela</t>
        </is>
      </c>
      <c r="E345" s="1" t="inlineStr">
        <is>
          <t>Technical Support</t>
        </is>
      </c>
      <c r="F345" s="1" t="inlineStr">
        <is>
          <t>Caro Suporte da Loja Online de Tecnologia,
Estou escrevendo para relatar um problema persistente com meu Microsoft Surface Pro 7, que foi comprado na conta número &lt;acc_num&gt;. Na última semana, experimentei um piscar de tela frequente e uma tela sensível ao toque que não responde. O problema afeta severamente a usabilidade e a produtividade. Tentativas de solução, incluindo atualizações de software e reinicializações forçadas, não resolveram os problemas.
Você poderia me aconselhar sobre os próximos passos? Estou preocupado que o dispositivo possa estar defeituoso ou precise de manutenção. Agradeceria quaisquer detalhes sobre solução de problemas ou sobre como arranjar reparo ou substituição sob garantia. Por favor, entre em contato comigo pelo &lt;tel_num&gt; para discutir mais.
Obrigado pela sua atenção a este assunto. Aguardo sua resposta rápida.
Atenciosamente,
&lt;name&gt;</t>
        </is>
      </c>
      <c r="G345" s="1" t="inlineStr">
        <is>
          <t>Incident</t>
        </is>
      </c>
      <c r="H345" s="1" t="inlineStr">
        <is>
          <t>Caro &lt;name&gt;,
Obrigado por entrar em contato e trazer isso à nossa atenção. Entendemos o inconveniente causado pelo piscar da tela e a tela sensível ao toque não responsiva no seu Microsoft Surface Pro 7. Como você tentou atualizar o software e realizar reinicializações forçadas sem sucesso, parece mesmo que será necessária uma assistência.
Por favor, siga estas etapas:
1. Certifique-se de que todas as atualizações críticas do Windows estejam instaladas.
2. Execute o Conjunto de Diagnóstico Surface para verificar problemas de hardware; você pode baixá-lo no site da Microsoft.
Se o problema persistir, seu Surface pode precisar de manutenção. Posso ajudá-lo a arranjar um reparo ou substituição sob garantia. Por favor, forneça-nos seu comprovante de compra e confirme seus dados da conta para validação de serviço.
Nosso técnico pode contatar você pelo &lt;tel_num&gt; para mais discussões e agendamentos. Seu caso foi priorizado e você deve ouvir de nós dentro das próximas 48 horas.
Pedimos desculpas por qualquer inconveniente e agradecemos sua paciência.
Atenciosamente,
Equipe de Suporte da Loja Online de Tecnologia</t>
        </is>
      </c>
      <c r="I345" s="1" t="inlineStr">
        <is>
          <t>high</t>
        </is>
      </c>
      <c r="J345" s="1" t="inlineStr">
        <is>
          <t>['Product Support', 'Technical Support', 'Warranty Claim', 'Hardware Failure', 'System Crash', 'Problem Resolution']</t>
        </is>
      </c>
      <c r="K345" s="1" t="inlineStr">
        <is>
          <t>pt</t>
        </is>
      </c>
      <c r="L345" s="1" t="n">
        <v>881</v>
      </c>
    </row>
    <row r="346" ht="16.5" customHeight="1">
      <c r="A346" s="1" t="n">
        <v>3021</v>
      </c>
      <c r="B346" s="3" t="inlineStr">
        <is>
          <t>Solicitação de Serviço</t>
        </is>
      </c>
      <c r="C346" s="3" t="inlineStr">
        <is>
          <t>Gerenciamento de Mudanças</t>
        </is>
      </c>
      <c r="D346" s="1" t="inlineStr">
        <is>
          <t>Solicitação de Atualização de Software</t>
        </is>
      </c>
      <c r="E346" s="1" t="inlineStr">
        <is>
          <t>Product Support</t>
        </is>
      </c>
      <c r="F346" s="1" t="inlineStr">
        <is>
          <t>Caro Time de Suporte, estou escrevendo para solicitar uma atualização do Jira Software 8.20 para a versão mais recente. Precisamos de melhorias na gestão de projetos e aprimoramentos no rastreamento de bugs. Obrigado, &lt;name&gt; &lt;acc_num&gt;.</t>
        </is>
      </c>
      <c r="G346" s="1" t="inlineStr">
        <is>
          <t>Change</t>
        </is>
      </c>
      <c r="H346" s="1" t="inlineStr">
        <is>
          <t>Caro &lt;name&gt;,
Obrigado por entrar em contato. Podemos ajudar com a atualização do seu Jira Software da versão 8.20 para a versão mais recente para melhorar a gestão de projetos e o rastreamento de bugs. Por favor, nos avise um horário adequado para uma janela de manutenção, e nossa equipe prosseguirá com a atualização. Se você tiver algum requisito específico durante a atualização, sinta-se à vontade para nos informar.
Atenciosamente,
Equipe de Service Desk</t>
        </is>
      </c>
      <c r="I346" s="1" t="inlineStr">
        <is>
          <t>high</t>
        </is>
      </c>
      <c r="J346" s="1" t="inlineStr">
        <is>
          <t>['Software Bug', 'Technical Support', 'Feature Request', 'Problem Resolution', 'System Maintenance']</t>
        </is>
      </c>
      <c r="K346" s="1" t="inlineStr">
        <is>
          <t>pt</t>
        </is>
      </c>
      <c r="L346" s="1" t="n">
        <v>235</v>
      </c>
    </row>
    <row r="347" ht="16.5" customHeight="1">
      <c r="A347" s="1" t="n">
        <v>3023</v>
      </c>
      <c r="B347" s="3" t="inlineStr">
        <is>
          <t>Gerenciamento de Incidentes</t>
        </is>
      </c>
      <c r="C347" s="3" t="inlineStr">
        <is>
          <t>Gerenciamento de Problemas</t>
        </is>
      </c>
      <c r="D347" s="1" t="inlineStr">
        <is>
          <t>Problema de Erro de Servidor</t>
        </is>
      </c>
      <c r="E347" s="1" t="inlineStr">
        <is>
          <t>Service Outages and Maintenance</t>
        </is>
      </c>
      <c r="F347" s="1" t="inlineStr">
        <is>
          <t>Caro Suporte ao Cliente,
Nosso Serviço de Consultoria de TI está enfrentando um erro de servidor ao tentar extrair documentos de arquivos de usuários enquanto utiliza o Slack. Os produtos afetados incluem Videoconferência, Webinars, Compartilhamento de Tela e Chat.
Por favor, nos ajude prontamente.
Obrigado,
&lt;name&gt;</t>
        </is>
      </c>
      <c r="G347" s="1" t="inlineStr">
        <is>
          <t>Incident</t>
        </is>
      </c>
      <c r="H347" s="1" t="inlineStr">
        <is>
          <t>Caro &lt;name&gt;,
Obrigado por entrar em contato. Lamentamos saber sobre o erro de servidor que afeta seu Serviço de Consultoria de TI. Nossa equipe está investigando o problema e fornecerá uma solução prontamente. Agradecemos sua paciência.
Atenciosamente,
Suporte ao Cliente</t>
        </is>
      </c>
      <c r="I347" s="1" t="inlineStr">
        <is>
          <t>high</t>
        </is>
      </c>
      <c r="J347" s="1" t="inlineStr">
        <is>
          <t>['Technical Support', 'IT Support', 'Service Disruption', 'System Crash', 'Problem Resolution']</t>
        </is>
      </c>
      <c r="K347" s="1" t="inlineStr">
        <is>
          <t>pt</t>
        </is>
      </c>
      <c r="L347" s="1" t="n">
        <v>319</v>
      </c>
    </row>
    <row r="348" ht="16.5" customHeight="1">
      <c r="A348" s="1" t="n">
        <v>3027</v>
      </c>
      <c r="B348" s="3" t="inlineStr">
        <is>
          <t>Solicitação de Serviço</t>
        </is>
      </c>
      <c r="C348" s="3" t="inlineStr">
        <is>
          <t>Gerenciamento Financeiro</t>
        </is>
      </c>
      <c r="D348" s="1" t="inlineStr">
        <is>
          <t>Assistência com Atualização de Pagamento</t>
        </is>
      </c>
      <c r="E348" s="1" t="inlineStr">
        <is>
          <t>Billing and Payments</t>
        </is>
      </c>
      <c r="F348" s="1" t="inlineStr">
        <is>
          <t>Prezado Suporte ao Cliente,
Preciso de assistência para atualizar o método de pagamento da minha assinatura do Microsoft Office 365 na minha conta. Meu método de pagamento atual está desatualizado e não consigo fazer nenhuma alteração na minha assinatura. Meu número da conta é &lt;acc_num&gt;. Por favor, me orientem sobre os passos necessários para atualizar essas informações assim que possível.
Obrigado,
&lt;name&gt;</t>
        </is>
      </c>
      <c r="G348" s="1" t="inlineStr">
        <is>
          <t>Request</t>
        </is>
      </c>
      <c r="H348" s="1" t="inlineStr">
        <is>
          <t>Prezado &lt;name&gt;,
Obrigado por nos contatar. Para atualizar seu método de pagamento do Microsoft Office 365, siga estes passos:
1. Faça login na sua conta do Office 365.
2. Vá para 'Cobrança' &gt; 'Métodos de pagamento.'
3. Selecione 'Editar método de pagamento' ou 'Adicionar um novo método de pagamento.'
4. Insira seus novos dados de pagamento e salve as alterações.
Se você encontrar algum problema, sinta-se à vontade para entrar em contato novamente.
Atenciosamente,
Suporte ao Cliente</t>
        </is>
      </c>
      <c r="I348" s="1" t="inlineStr">
        <is>
          <t>medium</t>
        </is>
      </c>
      <c r="J348" s="1" t="inlineStr">
        <is>
          <t>['Billing Issue', 'Payment Processing', 'Customer Service', 'Account Assistance', 'Technical Support', 'Problem Resolution']</t>
        </is>
      </c>
      <c r="K348" s="1" t="inlineStr">
        <is>
          <t>pt</t>
        </is>
      </c>
      <c r="L348" s="1" t="n">
        <v>411</v>
      </c>
    </row>
    <row r="349" ht="16.5" customHeight="1">
      <c r="A349" s="1" t="n">
        <v>3040</v>
      </c>
      <c r="B349" s="3" t="inlineStr">
        <is>
          <t>Gerenciamento de Incidentes</t>
        </is>
      </c>
      <c r="C349" s="3" t="inlineStr">
        <is>
          <t>Gerenciamento de Mudanças</t>
        </is>
      </c>
      <c r="D349" s="1" t="inlineStr">
        <is>
          <t>Problemas de Conexão Durante a Implementação</t>
        </is>
      </c>
      <c r="E349" s="1" t="inlineStr">
        <is>
          <t>Customer Service</t>
        </is>
      </c>
      <c r="F349" s="1" t="inlineStr">
        <is>
          <t>O cliente enfrentou desafios de conectividade que afetaram as atividades de gerenciamento de servidor durante a implementação da solução de TI, solicitando resolução imediata para os Serviços de Consultoria de TI.</t>
        </is>
      </c>
      <c r="G349" s="1" t="inlineStr">
        <is>
          <t>Incident</t>
        </is>
      </c>
      <c r="H349" s="1" t="inlineStr">
        <is>
          <t>Agradecemos seu contato. Pedimos sinceras desculpas pelas dificuldades causadas pelos problemas de conectividade durante sua implementação. Nossa equipe de Consultoria de TI está abordando a questão com diligência. Garantiremos mantê-lo atualizado e oferecer uma solução na primeira oportunidade. Obrigado pela sua compreensão.</t>
        </is>
      </c>
      <c r="I349" s="1" t="inlineStr">
        <is>
          <t>medium</t>
        </is>
      </c>
      <c r="J349" s="1" t="inlineStr">
        <is>
          <t>['IT Support', 'Service Disruption', 'Urgent Issue', 'Problem Resolution', 'Technical Support']</t>
        </is>
      </c>
      <c r="K349" s="1" t="inlineStr">
        <is>
          <t>pt</t>
        </is>
      </c>
      <c r="L349" s="1" t="n">
        <v>213</v>
      </c>
    </row>
    <row r="350" ht="16.5" customHeight="1">
      <c r="A350" s="1" t="n">
        <v>3048</v>
      </c>
      <c r="B350" s="3" t="inlineStr">
        <is>
          <t>Gerenciamento de Incidentes</t>
        </is>
      </c>
      <c r="C350" s="3" t="inlineStr">
        <is>
          <t>Gerenciamento de Problemas</t>
        </is>
      </c>
      <c r="D350" s="1" t="inlineStr">
        <is>
          <t>Problema de Flickering na Tela do Dell XPS</t>
        </is>
      </c>
      <c r="E350" s="1" t="inlineStr">
        <is>
          <t>Product Support</t>
        </is>
      </c>
      <c r="F350" s="1" t="inlineStr">
        <is>
          <t>Caro Suporte ao Cliente,
Estou enfrentando problemas de flickering na tela do meu Dell XPS 13 9310 quando está em funcionamento com a bateria. O dispositivo funciona bem quando está conectado, mas o flickering começa assim que é desconectado. Esse problema está afetando minha produtividade e eu apreciaria qualquer orientação que você pudesse fornecer para resolver a questão. Tentei etapas básicas de resolução de problemas, como reiniciar e atualizar os drivers, mas o problema persiste.
Obrigado pela sua assistência rápida. Por favor, me avise se precisar de mais informações.
Atenciosamente,
&lt;name&gt; &lt;tel_num&gt; &lt;acc_num&gt;</t>
        </is>
      </c>
      <c r="G350" s="1" t="inlineStr">
        <is>
          <t>Problem</t>
        </is>
      </c>
      <c r="H350" s="1" t="inlineStr">
        <is>
          <t>Caro &lt;name&gt;,
Obrigado por entrar em contato. Para o problema de flickering na tela do seu Dell XPS 13 quando está funcionando com a bateria, por favor, tente os seguintes passos:
1. Vá até as opções de energia e defina seu dispositivo para o modo de alto desempenho.
2. Desative a aceleração de hardware nas configurações de gráficos.
3. Realize uma atualização de BIOS a partir do site de suporte da Dell.
4. Se o problema persistir, considere redefinir as configurações de gerenciamento de energia no gerenciador de dispositivos.
Se precisar de mais assistência, sinta-se à vontade para entrar em contato conosco.
Atenciosamente,
Equipe de Suporte ao Cliente</t>
        </is>
      </c>
      <c r="I350" s="1" t="inlineStr">
        <is>
          <t>medium</t>
        </is>
      </c>
      <c r="J350" s="1" t="inlineStr">
        <is>
          <t>['Technical Support', 'Product Support', 'Hardware Failure', 'Performance Tuning', 'Problem Resolution']</t>
        </is>
      </c>
      <c r="K350" s="1" t="inlineStr">
        <is>
          <t>pt</t>
        </is>
      </c>
      <c r="L350" s="1" t="n">
        <v>627</v>
      </c>
    </row>
    <row r="351" ht="16.5" customHeight="1">
      <c r="A351" s="1" t="n">
        <v>3056</v>
      </c>
      <c r="B351" s="3" t="inlineStr">
        <is>
          <t>Gerenciamento de Incidentes</t>
        </is>
      </c>
      <c r="C351" s="3" t="inlineStr">
        <is>
          <t>Gerenciamento de Problemas</t>
        </is>
      </c>
      <c r="D351" s="1" t="inlineStr">
        <is>
          <t>Problemas de Instalação com o Adobe Photoshop 2024</t>
        </is>
      </c>
      <c r="E351" s="1" t="inlineStr">
        <is>
          <t>Technical Support</t>
        </is>
      </c>
      <c r="F351" s="1" t="inlineStr">
        <is>
          <t>Caro time de suporte ao cliente, espero que esta mensagem os encontre bem. Atualmente, estou enfrentando erros de instalação com o Adobe Photoshop 2024 durante o processo de configuração via Creative Cloud. A instalação falha no meio, mostrando o código de erro &lt;error_code&gt;. Este problema prejudicou meu fluxo de trabalho significativamente. Você poderia, por favor, fornecer assistência ou uma solução? Entre em contato comigo pelo &lt;tel_num&gt; ou por email em &lt;email&gt;. Obrigado pela sua atenção rápida a este assunto. Atenciosamente, &lt;name&gt; da conta &lt;acc_num&gt;.</t>
        </is>
      </c>
      <c r="G351" s="1" t="inlineStr">
        <is>
          <t>Incident</t>
        </is>
      </c>
      <c r="H351" s="1" t="inlineStr">
        <is>
          <t>Caro &lt;name&gt;,
Obrigado por entrar em contato. Sinto muito saber sobre as dificuldades que você está enfrentando com o Adobe Photoshop 2024. Para resolver esse erro:
1. Certifique-se de que seu sistema atende a todos os requisitos de software.
2. Verifique se sua conexão com a internet é estável.
3. Reinicie seu computador e tente a instalação novamente.
4. Limpe o cache do Creative Cloud navegando até as Preferências do aplicativo Creative Cloud e selecionando "Aplicativos" e, em seguida, "Limpar Todos os Caches".
5. Se o erro persistir, desinstale o Adobe Photoshop 2024 e reinstale-o.
Se esses passos não ajudarem, por favor, forneça o código de erro exato para assistência mais específica. Você também pode nos contatar pelo &lt;tel_num&gt; para suporte direto.
Atenciosamente,
Time de Suporte ao Cliente</t>
        </is>
      </c>
      <c r="I351" s="1" t="inlineStr">
        <is>
          <t>high</t>
        </is>
      </c>
      <c r="J351" s="1" t="inlineStr">
        <is>
          <t>['Technical Support', 'Software Bug', 'Product Support', 'Problem Resolution', 'Customer Service', 'Installation Issues', 'Urgent Issue', 'Creative Cloud']</t>
        </is>
      </c>
      <c r="K351" s="1" t="inlineStr">
        <is>
          <t>pt</t>
        </is>
      </c>
      <c r="L351" s="1" t="n">
        <v>560</v>
      </c>
    </row>
    <row r="352" ht="16.5" customHeight="1">
      <c r="A352" s="1" t="n">
        <v>3062</v>
      </c>
      <c r="B352" s="3" t="inlineStr">
        <is>
          <t>Solicitação de Serviço</t>
        </is>
      </c>
      <c r="C352" s="3" t="inlineStr">
        <is>
          <t>Gerenciamento de Incidentes</t>
        </is>
      </c>
      <c r="D352" s="1" t="inlineStr">
        <is>
          <t>Assistência Necessária: Problemas com HP DeskJet 3755 sem Fio</t>
        </is>
      </c>
      <c r="E352" s="1" t="inlineStr">
        <is>
          <t>Product Support</t>
        </is>
      </c>
      <c r="F352" s="1" t="inlineStr">
        <is>
          <t>Caro Suporte ao Cliente,
Estou enfrentando problemas com a conexão sem fio da minha HP DeskJet 3755. Ela não se conecta à rede, dificultando minhas tarefas de impressão. Você poderia me ajudar a solucionar esse problema?
Obrigado,
&lt;name&gt;</t>
        </is>
      </c>
      <c r="G352" s="1" t="inlineStr">
        <is>
          <t>Problem</t>
        </is>
      </c>
      <c r="H352" s="1" t="inlineStr">
        <is>
          <t>Caro &lt;name&gt;,
Para resolver o problema de conexão sem fio com sua HP DeskJet 3755, tente os seguintes passos: 
1. Reinicie sua impressora e o roteador.
2. Verifique se o recurso sem fio da impressora está ativado.
3. Use o aplicativo HP Smart para solucionar problemas.
4. Tente reconectar a impressora à rede usando o botão WPS em seu roteador.
5. Verifique se há atualizações de firmware.
Se os problemas persistirem, entre em contato para obter mais suporte.
Atenciosamente,
Suporte ao Cliente</t>
        </is>
      </c>
      <c r="I352" s="1" t="inlineStr">
        <is>
          <t>high</t>
        </is>
      </c>
      <c r="J352" s="1" t="inlineStr">
        <is>
          <t>['Technical Support', 'Product Support', 'Hardware Failure', 'Problem Resolution', 'Customer Service']</t>
        </is>
      </c>
      <c r="K352" s="1" t="inlineStr">
        <is>
          <t>pt</t>
        </is>
      </c>
      <c r="L352" s="1" t="n">
        <v>239</v>
      </c>
    </row>
    <row r="353" ht="16.5" customHeight="1">
      <c r="A353" s="1" t="n">
        <v>3068</v>
      </c>
      <c r="B353" s="3" t="inlineStr">
        <is>
          <t>Gerenciamento de Incidentes</t>
        </is>
      </c>
      <c r="C353" s="3" t="inlineStr">
        <is>
          <t>Gerenciamento de Acesso</t>
        </is>
      </c>
      <c r="D353" s="1" t="inlineStr">
        <is>
          <t>Urgente: Problemas de Login Durante a Apresentação de Pré-vendas</t>
        </is>
      </c>
      <c r="E353" s="1" t="inlineStr">
        <is>
          <t>Sales and Pre-Sales</t>
        </is>
      </c>
      <c r="F353" s="1" t="inlineStr">
        <is>
          <t>Caro Time de Suporte ao Cliente,
Estou escrevendo para relatar problemas de login com o Microsoft Office 365 durante uma apresentação de pré-vendas crítica. Nossos clientes não conseguem fazer login, e isso está impactando nossa capacidade de apresentar o produto de forma eficaz. Precisamos de assistência imediata para resolver essa questão rapidamente.
Obrigado pela sua compreensão e atenção rápida a este problema urgente.
Atenciosamente,
&lt;name&gt;
&lt;company_name&gt;
&lt;tel_num&gt;
&lt;email&gt;</t>
        </is>
      </c>
      <c r="G353" s="1" t="inlineStr">
        <is>
          <t>Problem</t>
        </is>
      </c>
      <c r="H353" s="1" t="inlineStr">
        <is>
          <t>Caro &lt;name&gt;,
Obrigado por nos contatar. Entendemos a urgência da situação. Por favor, tente limpar o cache e os cookies do seu navegador e assegure-se de que suas assinaturas do Office 365 estão ativas. Se o problema persistir, redefina suas configurações de rede ou tente uma rede diferente. Também estamos escalando seu caso para nossa equipe técnica para resolução imediata.
Atenciosamente,
Time de Suporte ao Cliente</t>
        </is>
      </c>
      <c r="I353" s="1" t="inlineStr">
        <is>
          <t>medium</t>
        </is>
      </c>
      <c r="J353" s="1" t="inlineStr">
        <is>
          <t>['Login Issue', 'Urgent Issue', 'Technical Support', 'Customer Service', 'Problem Resolution']</t>
        </is>
      </c>
      <c r="K353" s="1" t="inlineStr">
        <is>
          <t>pt</t>
        </is>
      </c>
      <c r="L353" s="1" t="n">
        <v>487</v>
      </c>
    </row>
    <row r="354" ht="16.5" customHeight="1">
      <c r="A354" s="1" t="n">
        <v>3071</v>
      </c>
      <c r="B354" s="3" t="inlineStr">
        <is>
          <t>Solicitação de Serviço</t>
        </is>
      </c>
      <c r="C354" s="3" t="inlineStr">
        <is>
          <t>Gerenciamento de Ativos de TI</t>
        </is>
      </c>
      <c r="D354" s="1" t="inlineStr">
        <is>
          <t>Solicitação de Troca para Canon PIXMA MG3620 Devido a Problemas de Qualidade de Impressão</t>
        </is>
      </c>
      <c r="E354" s="1" t="inlineStr">
        <is>
          <t>Returns and Exchanges</t>
        </is>
      </c>
      <c r="F354" s="1" t="inlineStr">
        <is>
          <t>Caro equipe de suporte da Tech Online Store,
Estou escrevendo para solicitar uma troca de uma impressora Canon PIXMA MG3620 sem fio, comprada recentemente, que tem apresentado problemas de qualidade de impressão. Após a configuração e o uso inicial, percebi que as impressões estão consistentemente riscadas e com cores desbotadas, afetando a qualidade geral dos materiais impressos. Isso persiste apesar de ter seguido todos os passos recomendados para resolução de problemas, incluindo o realinhamento da cabeça de impressão e a limpeza dos bicos.
Comprei a impressora através da sua loja online usando o número da conta &lt;acc_num&gt; no dia 18 de setembro, e ela chegou no dia 22 de setembro. Agradeceria se vocês pudessem facilitar uma troca por uma nova unidade o mais rápido possível, uma vez que dependo desta impressora para tarefas diárias de trabalho. Por favor, me avise como proceder com a devolução e quaisquer detalhes sobre o envio ou documentação adicional que possa ser necessária.
Obrigado por tratar deste assunto prontamente. Aguardo sua rápida resposta.
Atenciosamente,
&lt;name&gt;
Contato: &lt;tel_num&gt;</t>
        </is>
      </c>
      <c r="G354" s="1" t="inlineStr">
        <is>
          <t>Request</t>
        </is>
      </c>
      <c r="H354" s="1" t="inlineStr">
        <is>
          <t>Caro &lt;name&gt;,
Obrigado por entrar em contato e trazer isso à nossa atenção. Pedimos desculpas pelo inconveniente causado pelos problemas de qualidade de impressão com sua impressora Canon PIXMA MG3620.
Para prosseguir com a troca, siga estas etapas:
1. Embale a impressora com segurança em sua embalagem original, se disponível, incluindo todos os acessórios.
2. Utilize sua confirmação de e-mail original ou o número da conta &lt;acc_num&gt; como referência.
3. Aguarde um e-mail nosso com uma etiqueta de envio de retorno pré-paga e mais instruções.
Assim que recebermos a unidade devolvida, enviaremos prontamente uma nova impressora. Se você tiver mais perguntas ou precisar de assistência, entre em contato conosco pelo seu número de telefone &lt;tel_num&gt; ou responda a este e-mail.
Agradecemos sua paciência e compreensão.
Atenciosamente,
Equipe de Suporte da Tech Online Store</t>
        </is>
      </c>
      <c r="I354" s="1" t="inlineStr">
        <is>
          <t>high</t>
        </is>
      </c>
      <c r="J354" s="1" t="inlineStr">
        <is>
          <t>['Returns and Exchanges', 'Product Support', 'Order Issue', 'Customer Service']</t>
        </is>
      </c>
      <c r="K354" s="1" t="inlineStr">
        <is>
          <t>pt</t>
        </is>
      </c>
      <c r="L354" s="1" t="n">
        <v>1118</v>
      </c>
    </row>
    <row r="355" ht="16.5" customHeight="1">
      <c r="A355" s="1" t="n">
        <v>3073</v>
      </c>
      <c r="B355" s="3" t="inlineStr">
        <is>
          <t>Solicitação de Serviço</t>
        </is>
      </c>
      <c r="C355" s="3" t="inlineStr">
        <is>
          <t>Gerenciamento de Capacidade</t>
        </is>
      </c>
      <c r="D355" s="1" t="inlineStr">
        <is>
          <t>Assistência para Desempenho do Servidor</t>
        </is>
      </c>
      <c r="E355" s="1" t="inlineStr">
        <is>
          <t>IT Support</t>
        </is>
      </c>
      <c r="F355" s="1" t="inlineStr">
        <is>
          <t>Caro Suporte ao Cliente dos Serviços de TI,&lt;br&gt;&lt;br&gt;Estamos escrevendo para solicitar sua assistência na otimização do desempenho do nosso servidor. Como parte de seus Serviços de Consultoria em TI, precisamos de uma análise especializada da nossa configuração atual para identificar qualquer gargalo ou ineficiência em potencial. Com nossas operações em expansão, é imperativo que nossos servidores funcionem em sua capacidade máxima para apoiar nossas necessidades comerciais com eficiência. &lt;br&gt;&lt;br&gt;Nossa avaliação preliminar indica que pode haver alguns problemas que afetam o desempenho do servidor, levando a quedas ocasionais e redução nas velocidades de processamento, o que impacta nossa entrega de serviços. Acreditamos que a experiência de sua equipe em diagnosticar e otimizar as configurações do sistema será inestimável nesta situação.&lt;br&gt;&lt;br&gt;Agradeceríamos se um consultor especializado pudesse avaliar nossa configuração de hardware e software, oferecer insights sobre as melhores práticas e recomendar quaisquer mudanças necessárias para melhorar o desempenho. Além disso, gostaríamos de orientação sobre a implementação de técnicas e ferramentas avançadas de otimização adequadas às nossas necessidades operacionais.&lt;br&gt;&lt;br&gt;Por favor, informe-nos sua disponibilidade para uma consulta inicial. Estamos ansiosos para colaborar e resolver os problemas em andamento o mais rápido possível.&lt;br&gt;&lt;br&gt;Agradecemos sua atenção a este assunto.&lt;br&gt;&lt;br&gt;Atenciosamente,&lt;br&gt;&lt;name&gt;&lt;br&gt;Número da Conta: &lt;acc_num&gt;&lt;br&gt;Email: &lt;name&gt;@business.com&lt;br&gt;Número de Contato: &lt;tel_num&gt;</t>
        </is>
      </c>
      <c r="G355" s="1" t="inlineStr">
        <is>
          <t>Request</t>
        </is>
      </c>
      <c r="H355" s="1" t="inlineStr">
        <is>
          <t>Caro &lt;name&gt;,
Obrigado por entrar em contato conosco sobre suas preocupações com o desempenho do servidor. Entendemos a importância de garantir que seus sistemas operem em sua capacidade ideal, especialmente com suas operações em crescimento. Teremos prazer em ajudá-lo com uma análise especializada para identificar e resolver quaisquer gargalos ou ineficiências que afetam sua configuração.
Para prosseguir, por favor, forneça-nos alguns horários adequados para uma consulta inicial. Durante essa sessão, podemos discutir sua configuração atual em mais detalhes e planejar os próximos passos para os processos de análise e otimização.
Aguardamos ansiosos para colaborar com você para melhorar o desempenho do seu servidor.
Atenciosamente,
Equipe de Suporte ao Cliente de Serviços de TI</t>
        </is>
      </c>
      <c r="I355" s="1" t="inlineStr">
        <is>
          <t>low</t>
        </is>
      </c>
      <c r="J355" s="1" t="inlineStr">
        <is>
          <t>['Performance Tuning', 'Technical Support', 'IT Support', 'System Maintenance', 'Problem Resolution', 'Service Recovery']</t>
        </is>
      </c>
      <c r="K355" s="1" t="inlineStr">
        <is>
          <t>pt</t>
        </is>
      </c>
      <c r="L355" s="1" t="n">
        <v>1575</v>
      </c>
    </row>
    <row r="356" ht="16.5" customHeight="1">
      <c r="A356" s="1" t="n">
        <v>3081</v>
      </c>
      <c r="B356" s="3" t="inlineStr">
        <is>
          <t>Gerenciamento de Incidentes</t>
        </is>
      </c>
      <c r="C356" s="3" t="inlineStr">
        <is>
          <t>Gerenciamento de Problemas</t>
        </is>
      </c>
      <c r="D356" s="1" t="inlineStr">
        <is>
          <t>Dificuldade com a impressora Canon PIXMA MG3620 adquirida na loja online</t>
        </is>
      </c>
      <c r="E356" s="1" t="inlineStr">
        <is>
          <t>Service Outages and Maintenance</t>
        </is>
      </c>
      <c r="F356" s="1" t="inlineStr">
        <is>
          <t>Caro Atendimento ao Cliente, recentemente adquiri uma impressora Canon PIXMA MG3620. Infelizmente, estou enfrentando dificuldades com o equipamento. Você poderia me ajudar a solucionar essa questão com urgência? Agradeço. Cordialmente, &lt;name&gt;</t>
        </is>
      </c>
      <c r="G356" s="1" t="inlineStr">
        <is>
          <t>Incident</t>
        </is>
      </c>
      <c r="H356" s="1" t="inlineStr">
        <is>
          <t>Caro &lt;name&gt;,
Sinto muito em saber que você está enfrentando dificuldades com sua Canon PIXMA MG3620. Poderia, por favor, fornecer mais informações sobre o problema, para que possamos ajudá-lo rapidamente?
Obrigado,
Atendimento ao Cliente</t>
        </is>
      </c>
      <c r="I356" s="1" t="inlineStr">
        <is>
          <t>high</t>
        </is>
      </c>
      <c r="J356" s="1" t="inlineStr">
        <is>
          <t>['Product Support', 'Technical Support', 'Customer Service', 'Urgent Issue', 'Problem Resolution']</t>
        </is>
      </c>
      <c r="K356" s="1" t="inlineStr">
        <is>
          <t>pt</t>
        </is>
      </c>
      <c r="L356" s="1" t="n">
        <v>242</v>
      </c>
    </row>
    <row r="357" ht="16.5" customHeight="1">
      <c r="A357" s="1" t="n">
        <v>3105</v>
      </c>
      <c r="B357" s="3" t="inlineStr">
        <is>
          <t>Solicitação de Serviço</t>
        </is>
      </c>
      <c r="C357" s="3" t="inlineStr">
        <is>
          <t>Gerenciamento de Nível de Serviço</t>
        </is>
      </c>
      <c r="D357" s="1" t="inlineStr">
        <is>
          <t>Consulta sobre a Configuração do Sistema de Tickets</t>
        </is>
      </c>
      <c r="E357" s="1" t="inlineStr">
        <is>
          <t>Customer Service</t>
        </is>
      </c>
      <c r="F357" s="1" t="inlineStr">
        <is>
          <t>Caro Suporte ao Cliente,
Estamos atualmente buscando orientações sobre a configuração de um sistema de tickets eficiente para melhorar nosso suporte ao cliente e a gestão operacional. Você poderia fornecer orientações ou recomendar soluções que se alinhem com as nossas necessidades de serviço de consultoria de TI?
Obrigado pela sua assistência.
Atenciosamente,
&lt;name&gt;</t>
        </is>
      </c>
      <c r="G357" s="1" t="inlineStr">
        <is>
          <t>Problem</t>
        </is>
      </c>
      <c r="H357" s="1" t="inlineStr">
        <is>
          <t>Assunto: Re: Consulta sobre a Configuração do Sistema de Tickets
Caro &lt;name&gt;,
Obrigado por entrar em contato. Para configurar um sistema de tickets eficiente para suas necessidades de consultoria de TI, recomendo considerar soluções como Zendesk, Freshdesk ou ServiceNow, que são conhecidas por seus recursos robustos e facilidade de integração. Estas plataformas oferecem ferramentas abrangentes para gerenciar consultas de clientes, rastrear tarefas operacionais e melhorar os tempos de resposta. Se você precisar de mais detalhes ou assistência, sinta-se à vontade para nos informar.
Atenciosamente,
Equipe de Suporte ao Cliente</t>
        </is>
      </c>
      <c r="I357" s="1" t="inlineStr">
        <is>
          <t>low</t>
        </is>
      </c>
      <c r="J357" s="1" t="inlineStr">
        <is>
          <t>['Technical Support', 'Customer Service', 'IT Support', 'Problem Resolution', 'Technical Guidance']</t>
        </is>
      </c>
      <c r="K357" s="1" t="inlineStr">
        <is>
          <t>pt</t>
        </is>
      </c>
      <c r="L357" s="1" t="n">
        <v>372</v>
      </c>
    </row>
    <row r="358" ht="16.5" customHeight="1">
      <c r="A358" s="1" t="n">
        <v>3120</v>
      </c>
      <c r="B358" s="3" t="inlineStr">
        <is>
          <t>Gerenciamento Financeiro</t>
        </is>
      </c>
      <c r="C358" s="3" t="inlineStr">
        <is>
          <t>Gerenciamento de Nível de Serviço</t>
        </is>
      </c>
      <c r="D358" s="1" t="inlineStr">
        <is>
          <t>Pedido de Esclarecimento sobre as Taxas de Renovação Anual</t>
        </is>
      </c>
      <c r="E358" s="1" t="inlineStr">
        <is>
          <t>Billing and Payments</t>
        </is>
      </c>
      <c r="F358" s="1" t="inlineStr">
        <is>
          <t>Prezado Suporte ao Cliente da Tech Online Store,
Estou escrevendo para solicitar esclarecimentos sobre as taxas de renovação anual do Microsoft Office 365 que apareceram recentemente na declaração da minha conta. Meu nome é &lt;name&gt; e meu número de conta é &lt;acc_num&gt;. Ao revisar meu último extrato, notei uma cobrança inesperada relacionada à renovação do Microsoft Office 365 que não me lembro de ter autorizado ou recebido notificação prévia.
Peço gentilmente uma explicação detalhada sobre essa cobrança, incluindo os termos da política de renovação associados ao Microsoft Office 365. Se houver alterações nos termos da assinatura ou nos preços, eu apreciaria receber essas informações. Além disso, se essa cobrança foi um erro, gostaria de saber quais são os passos para ajustar minha declaração de acordo.
Por favor, entre em contato comigo diretamente pelo &lt;tel_num&gt; ou responda a este e-mail assim que possível. Agradeço pela atenção dada a este assunto e por fornecer clareza sobre esta questão.
Atenciosamente,
&lt;name&gt;</t>
        </is>
      </c>
      <c r="G358" s="1" t="inlineStr">
        <is>
          <t>Request</t>
        </is>
      </c>
      <c r="H358" s="1" t="inlineStr">
        <is>
          <t>Prezado &lt;name&gt;,
Obrigado por entrar em contato conosco sobre a inesperada cobrança de renovação do Microsoft Office 365. Pedimos desculpas por qualquer confusão que isso possa ter causado.
A cobrança recente em sua conta foi pela renovação anual de sua assinatura do Microsoft Office 365. Essas renovações são geralmente processadas automaticamente para garantir um serviço ininterrupto. No entanto, entendemos que pode ser inesperado se não for antecipado.
Para esclarecer a cobrança, revisaremos os termos da política de renovação do Office 365 e veremos se houve alterações nos termos da sua assinatura ou preços que possam não ter sido comunicados claramente.
Se você não pretendia renovar ou se essa cobrança foi feita por engano, podemos certamente ajudar a revertê-la. Por favor, nos avise se você precisar que tomemos alguma ação nesse sentido.
Iremos prosseguir com a investigação deste assunto e entraremos em contato em breve com as explicações ou ajustes necessários. Enquanto isso, sinta-se à vontade para entrar em contato conosco diretamente pelo &lt;tel_num&gt; ou continuar a se comunicar por meio deste e-mail.
Obrigado pela sua paciência e compreensão.
Atenciosamente,
Suporte ao Cliente da Tech Online Store</t>
        </is>
      </c>
      <c r="I358" s="1" t="inlineStr">
        <is>
          <t>medium</t>
        </is>
      </c>
      <c r="J358" s="1" t="inlineStr">
        <is>
          <t>['Billing Issue', 'Customer Service', 'Account Assistance', 'Refund Request', 'Product Support']</t>
        </is>
      </c>
      <c r="K358" s="1" t="inlineStr">
        <is>
          <t>pt</t>
        </is>
      </c>
      <c r="L358" s="1" t="n">
        <v>1030</v>
      </c>
    </row>
    <row r="359" ht="16.5" customHeight="1">
      <c r="A359" s="1" t="n">
        <v>3123</v>
      </c>
      <c r="B359" s="3" t="inlineStr">
        <is>
          <t>Gerenciamento de Incidentes</t>
        </is>
      </c>
      <c r="C359" s="3" t="inlineStr">
        <is>
          <t>Gerenciamento de Disponibilidade</t>
        </is>
      </c>
      <c r="D359" s="1" t="inlineStr">
        <is>
          <t>Problema Urgente no Servidor</t>
        </is>
      </c>
      <c r="E359" s="1" t="inlineStr">
        <is>
          <t>IT Support</t>
        </is>
      </c>
      <c r="F359" s="1" t="inlineStr">
        <is>
          <t>Prezado Suporte ao Cliente,
Estou escrevendo para expressar minha preocupação em relação a um problema de alta prioridade com a gestão de servidores e a integração do sistema de tickets em seu Serviço de Consultoria de TI. Este problema requer atenção imediata, pois impacta significativamente nosso tempo operacional e eficiência.
Nossa empresa, &lt;name&gt; Corp, tem enfrentado dificuldades com a gestão de tickets e a disponibilidade do servidor desde a recente integração. O comportamento errático do sistema está causando atrasos e potenciais riscos à segurança que poderiam afetar gravemente nossos serviços aos clientes.
Agradeceríamos se você pudesse priorizar esse problema e providenciar uma resolução rápida. Por favor, entre em contato comigo pelo &lt;tel_num&gt; ou envie um e-mail para &lt;name@domain&gt;.com para discutir isso em mais detalhes ou se mais informações forem necessárias de nossa parte.
Obrigado pela sua atenção rápida a este assunto sério.
Atenciosamente,
&lt;name&gt;</t>
        </is>
      </c>
      <c r="G359" s="1" t="inlineStr">
        <is>
          <t>Problem</t>
        </is>
      </c>
      <c r="H359" s="1" t="inlineStr">
        <is>
          <t>Prezado &lt;name&gt;,
Obrigado por trazer este problema urgente do servidor à nossa atenção. Entendemos a natureza crítica da situação e seu impacto em suas operações. Nossa equipe técnica está priorizando este assunto e iniciará uma investigação completa imediatamente.
Nós garantiremos comunicação com você pelo &lt;tel_num&gt; ou através de &lt;name@domain&gt;.com para discutir o progresso e coletar quaisquer informações adicionais necessárias. Fique tranquilo, estamos comprometidos em resolver essa questão de integração rapidamente para restaurar a estabilidade e segurança dos seus sistemas.
Agradecemos sua paciência e compreensão.
Atenciosamente,
Equipe de Suporte ao Cliente</t>
        </is>
      </c>
      <c r="I359" s="1" t="inlineStr">
        <is>
          <t>high</t>
        </is>
      </c>
      <c r="J359" s="1" t="inlineStr">
        <is>
          <t>['Service Disruption', 'Urgent Issue', 'IT Support', 'System Maintenance', 'Account Security', 'Problem Resolution']</t>
        </is>
      </c>
      <c r="K359" s="1" t="inlineStr">
        <is>
          <t>pt</t>
        </is>
      </c>
      <c r="L359" s="1" t="n">
        <v>982</v>
      </c>
    </row>
    <row r="360" ht="16.5" customHeight="1">
      <c r="A360" s="1" t="n">
        <v>3126</v>
      </c>
      <c r="B360" s="3" t="inlineStr">
        <is>
          <t>Solicitação de Serviço</t>
        </is>
      </c>
      <c r="C360" s="3" t="inlineStr">
        <is>
          <t>Gerenciamento Financeiro</t>
        </is>
      </c>
      <c r="D360" s="1" t="inlineStr">
        <is>
          <t>Solicitação de Modificação de Configuração do AWS</t>
        </is>
      </c>
      <c r="E360" s="1" t="inlineStr">
        <is>
          <t>Technical Support</t>
        </is>
      </c>
      <c r="F360" s="1" t="inlineStr">
        <is>
          <t>Olá Suporte ao Cliente,
Estou buscando assistência para modificar nossas configurações do AWS para melhorar o desempenho da infraestrutura e otimizar custos. O produto em questão é o Serviço de Gerenciamento do AWS. Por favor, aconselhem sobre os próximos passos.
Obrigado,
&lt;name&gt;</t>
        </is>
      </c>
      <c r="G360" s="1" t="inlineStr">
        <is>
          <t>Change</t>
        </is>
      </c>
      <c r="H360" s="1" t="inlineStr">
        <is>
          <t>Olá &lt;name&gt;,
Obrigado por entrar em contato. Para modificar suas configurações do AWS para melhor desempenho e otimização de custos, você precisará revisar suas configurações atuais e identificar as áreas que exigem mudanças. Você pode começar analisando as métricas do CloudWatch e usando o AWS Cost Explorer. Podemos ajudar fornecendo orientações e recomendando as melhores práticas. Por favor, nos informe como você gostaria de proceder ou se precisa de uma consulta detalhada.
Atenciosamente,
Suporte ao Cliente</t>
        </is>
      </c>
      <c r="I360" s="1" t="inlineStr">
        <is>
          <t>medium</t>
        </is>
      </c>
      <c r="J360" s="1" t="inlineStr">
        <is>
          <t>['Technical Support', 'Product Support', 'Performance Tuning', 'Technical Guidance', 'General Inquiry']</t>
        </is>
      </c>
      <c r="K360" s="1" t="inlineStr">
        <is>
          <t>pt</t>
        </is>
      </c>
      <c r="L360" s="1" t="n">
        <v>282</v>
      </c>
    </row>
    <row r="361" ht="16.5" customHeight="1">
      <c r="A361" s="1" t="n">
        <v>3127</v>
      </c>
      <c r="B361" s="3" t="inlineStr">
        <is>
          <t>Gerenciamento de Incidentes</t>
        </is>
      </c>
      <c r="C361" s="3" t="inlineStr">
        <is>
          <t>Gerenciamento de Capacidade</t>
        </is>
      </c>
      <c r="D361" s="1" t="inlineStr">
        <is>
          <t>Problema no Sistema de Bilhetagem: Tempos de Resposta Atrasados no Jira</t>
        </is>
      </c>
      <c r="E361" s="1" t="inlineStr">
        <is>
          <t>Technical Support</t>
        </is>
      </c>
      <c r="F361" s="1" t="inlineStr">
        <is>
          <t>Caro Time de Suporte ao Cliente, 
Estamos escrevendo para relatar um problema com a versão 8.20 do Jira Software, que está sendo enfrentado por inúmeros usuários dentro da nossa organização. Durante os horários de pico, os usuários estão enfrentando tempos de resposta significativamente atrasados ao tentar usar a interface de gerenciamento de projetos. Como você pode entender, esse atraso está diminuindo a produtividade da nossa equipe e causando considerável inconveniência. Gostaríamos de solicitar sua assistência urgente na investigação e resolução desse problema.
Parece que o problema ocorre principalmente em períodos de alta demanda, o que pode sugerir a necessidade de otimização de desempenho, talvez devido à carga do servidor ou restrições de configuração. Se houver soluções conhecidas, atualizações ou correções, por favor, nos oriente sobre como implementá-las de forma eficaz ou ajude em um modo expresso. Por favor, nos avise se mais detalhes ou logs da nossa parte ajudariam a diagnosticar o problema.
Sua resposta rápida e apoio seriam muito apreciados, pois nossa equipe depende fortemente do Jira para coordenar nossas tarefas do projeto. Esperamos uma resolução rápida para manter nosso fluxo de trabalho ininterrupto.
Obrigado pela sua atenção a este assunto.
Atenciosamente,
&lt;name&gt;
&lt;organization's name&gt;
&lt;email_address&gt;
&lt;tel_num&gt;
&lt;acc_num&gt;</t>
        </is>
      </c>
      <c r="G361" s="1" t="inlineStr">
        <is>
          <t>Incident</t>
        </is>
      </c>
      <c r="H361" s="1" t="inlineStr">
        <is>
          <t>Caro &lt;name&gt;,
Obrigado por trazer este problema com a versão 8.20 do Jira Software à nossa atenção. Eu entendo o inconveniente causado pelos tempos de resposta atrasados durante os horários de pico e o impacto na produtividade de sua equipe.
Nossa equipe está comprometida a ajudá-lo a resolver esse problema prontamente. Por favor, envie logs ou detalhes relevantes que possam ajudar a diagnosticar as causas específicas dos atrasos. Enquanto isso, recomendo verificar se há atualizações ou correções disponíveis para o Jira 8.20 que possam abordar problemas de desempenho.
Vamos priorizar seu caso e mantê-lo atualizado sobre quaisquer soluções ou etapas necessárias para otimizar o desempenho. Obrigado pela sua paciência e cooperação.
Atenciosamente,
Agente do Service Desk  
Time de Suporte ao Cliente</t>
        </is>
      </c>
      <c r="I361" s="1" t="inlineStr">
        <is>
          <t>low</t>
        </is>
      </c>
      <c r="J361" s="1" t="inlineStr">
        <is>
          <t>['Technical Support', 'Software Bug', 'Performance Tuning', 'Urgent Issue', 'Problem Resolution', 'Service Disruption']</t>
        </is>
      </c>
      <c r="K361" s="1" t="inlineStr">
        <is>
          <t>pt</t>
        </is>
      </c>
      <c r="L361" s="1" t="n">
        <v>1373</v>
      </c>
    </row>
    <row r="362" ht="16.5" customHeight="1">
      <c r="A362" s="1" t="n">
        <v>3138</v>
      </c>
      <c r="B362" s="3" t="inlineStr">
        <is>
          <t>Solicitação de Serviço</t>
        </is>
      </c>
      <c r="C362" s="3" t="inlineStr">
        <is>
          <t>Gerenciamento de Nível de Serviço</t>
        </is>
      </c>
      <c r="D362" s="1" t="inlineStr">
        <is>
          <t>Consulta sobre Serviço de Consultoria em TI</t>
        </is>
      </c>
      <c r="E362" s="1" t="inlineStr">
        <is>
          <t>Sales and Pre-Sales</t>
        </is>
      </c>
      <c r="F362" s="1" t="inlineStr">
        <is>
          <t>Caro Time de Suporte ao Cliente,
Espero que esta mensagem o encontre bem. Estou entrando em contato para reunir mais informações sobre seus Serviços de Consultoria em TI, especificamente nas áreas de desenvolvimento de software e administração de servidores. Estamos avaliando diferentes prestadores de serviços e apreciaríamos informações detalhadas sobre como sua equipe pode nos ajudar a atender nossas necessidades nesses domínios. Além disso, se você oferecer suporte de personalização ou integração relacionado aos nossos sistemas existentes, seria útil saber sobre essas opções.
Por favor, inclua estruturas de preços potenciais e disponibilidade para sessões de consulta. Você pode me contatar pelo &lt;tel_num&gt; ou me enviar um email para meu endereço de email. Aguardo sua resposta detalhada.
Atenciosamente,
&lt;name&gt;</t>
        </is>
      </c>
      <c r="G362" s="1" t="inlineStr">
        <is>
          <t>Request</t>
        </is>
      </c>
      <c r="H362" s="1" t="inlineStr">
        <is>
          <t>Caro &lt;name&gt;,
Obrigado por entrar em contato conosco sobre nossos Serviços de Consultoria em TI. Oferecemos soluções abrangentes em desenvolvimento de software e administração de servidores, personalizadas para atender suas necessidades específicas. Nossa equipe pode fornecer suporte de personalização e integração para seus sistemas existentes, garantindo operação e integração sem interrupções.
Quanto às estruturas de preços, oferecemos planos flexíveis que podem ser ajustados com base no escopo do projeto e nas necessidades específicas. Ficaremos felizes em agendar uma sessão de consulta para discutir suas necessidades em detalhes e garantir que nossos serviços estejam alinhados com seus objetivos.
Por favor, informe-nos sobre sua disponibilidade, e podemos discutir ainda mais como podemos apoiar sua organização de forma eficaz. Você pode nos contatar pelas informações de contato fornecidas e ficaremos felizes em ajudar.
Atenciosamente,
Equipe de Suporte ao Cliente</t>
        </is>
      </c>
      <c r="I362" s="1" t="inlineStr">
        <is>
          <t>medium</t>
        </is>
      </c>
      <c r="J362" s="1" t="inlineStr">
        <is>
          <t>['Technical Support', 'IT Support', 'Product Support', 'Customer Service', 'General Inquiry', 'Training Request', 'Service Notification', 'Technical Guidance']</t>
        </is>
      </c>
      <c r="K362" s="1" t="inlineStr">
        <is>
          <t>pt</t>
        </is>
      </c>
      <c r="L362" s="1" t="n">
        <v>824</v>
      </c>
    </row>
    <row r="363" ht="16.5" customHeight="1">
      <c r="A363" s="1" t="n">
        <v>3145</v>
      </c>
      <c r="B363" s="3" t="inlineStr">
        <is>
          <t>Gerenciamento de Incidentes</t>
        </is>
      </c>
      <c r="C363" s="3" t="inlineStr">
        <is>
          <t>Gerenciamento de Disponibilidade</t>
        </is>
      </c>
      <c r="D363" s="1" t="inlineStr">
        <is>
          <t>Urgente: Problemas de Conexão com PostgreSQL</t>
        </is>
      </c>
      <c r="E363" s="1" t="inlineStr">
        <is>
          <t>Technical Support</t>
        </is>
      </c>
      <c r="F363" s="1" t="inlineStr">
        <is>
          <t>Olá Suporte ao Cliente,
Estamos enfrentando interrupções frequentes na conexão com nosso banco de dados PostgreSQL 14.3. Este problema requer atenção imediata para restaurar as operações normais do serviço. Por favor, aconselhe sobre uma possível resolução ou agende uma sessão de diagnóstico o mais rápido possível. As constantes interrupções estão afetando nossas funções de negócios, dificultando a produtividade. Agradecemos sua resposta rápida para resolver este assunto urgente. Aguardamos sua assistência rápida.
Obrigado.
Atenciosamente, &lt;name&gt;</t>
        </is>
      </c>
      <c r="G363" s="1" t="inlineStr">
        <is>
          <t>Incident</t>
        </is>
      </c>
      <c r="H363" s="1" t="inlineStr">
        <is>
          <t>Olá &lt;name&gt;,
Obrigado por entrar em contato. Lamentamos saber sobre os problemas de conexão com seu banco de dados PostgreSQL 14.3. Para ajudá-lo rapidamente, por favor, tente reiniciar o serviço do banco de dados e verificar a conexão de rede. Além disso, verifique se houve alterações recentes na configuração. Se o problema persistir, podemos agendar uma sessão de diagnóstico o mais rápido possível para identificar a causa raiz. Informe-nos seu horário preferido para a sessão.
Atenciosamente,
Equipe de Suporte ao Cliente</t>
        </is>
      </c>
      <c r="I363" s="1" t="inlineStr">
        <is>
          <t>high</t>
        </is>
      </c>
      <c r="J363" s="1" t="inlineStr">
        <is>
          <t>['Urgent Issue', 'Service Disruption', 'Network Issue', 'Technical Support', 'Problem Resolution', 'Database Issue', 'Performance Tuning']</t>
        </is>
      </c>
      <c r="K363" s="1" t="inlineStr">
        <is>
          <t>pt</t>
        </is>
      </c>
      <c r="L363" s="1" t="n">
        <v>555</v>
      </c>
    </row>
    <row r="364" ht="16.5" customHeight="1">
      <c r="A364" s="1" t="n">
        <v>3151</v>
      </c>
      <c r="B364" s="3" t="inlineStr">
        <is>
          <t>Gerenciamento de Incidentes</t>
        </is>
      </c>
      <c r="C364" s="3" t="inlineStr">
        <is>
          <t>Gerenciamento de Ativos de TI</t>
        </is>
      </c>
      <c r="D364" s="1" t="inlineStr">
        <is>
          <t>Problema de bateria com o Dell XPS 13</t>
        </is>
      </c>
      <c r="E364" s="1" t="inlineStr">
        <is>
          <t>Technical Support</t>
        </is>
      </c>
      <c r="F364" s="1" t="inlineStr">
        <is>
          <t>Caro time de suporte da Tech Online Store,
Estou enfrentando um problema de bateria com meu Dell XPS 13 9310. A bateria não está segurando uma carga por mais de 2 horas. Como resultado, isso interrompe significativamente meu trabalho. Solicito gentilmente assistência para resolver este problema assim que possível.
Por favor, me avise se alguma informação adicional for necessária.
Obrigado pela sua atenção rápida.
Atenciosamente,
&lt;name&gt;
Contato: &lt;tel_num&gt;</t>
        </is>
      </c>
      <c r="G364" s="1" t="inlineStr">
        <is>
          <t>Incident</t>
        </is>
      </c>
      <c r="H364" s="1" t="inlineStr">
        <is>
          <t>Caro &lt;name&gt;,
Obrigado por entrar em contato conosco. Lamentamos saber sobre o problema da bateria com seu Dell XPS 13 9310. Para resolver isso, recomendamos verificar se há atualizações de BIOS e drivers disponíveis no site de suporte da Dell. Se o problema persistir, por favor, forneça o número de série do seu dispositivo e os detalhes da compra para assistência adicional.
Se você precisar de suporte imediato, entre em contato com nossa equipe técnica pelo &lt;tel_num&gt;.
Atenciosamente,
Equipe de Suporte da Tech Online Store</t>
        </is>
      </c>
      <c r="I364" s="1" t="inlineStr">
        <is>
          <t>medium</t>
        </is>
      </c>
      <c r="J364" s="1" t="inlineStr">
        <is>
          <t>['Technical Support', 'Product Support', 'Hardware Failure', 'Problem Resolution']</t>
        </is>
      </c>
      <c r="K364" s="1" t="inlineStr">
        <is>
          <t>pt</t>
        </is>
      </c>
      <c r="L364" s="1" t="n">
        <v>463</v>
      </c>
    </row>
    <row r="365" ht="16.5" customHeight="1">
      <c r="A365" s="1" t="n">
        <v>3157</v>
      </c>
      <c r="B365" s="3" t="inlineStr">
        <is>
          <t>Gerenciamento de Incidentes</t>
        </is>
      </c>
      <c r="C365" s="3" t="inlineStr">
        <is>
          <t>Gerenciamento de Disponibilidade</t>
        </is>
      </c>
      <c r="D365" s="1" t="inlineStr">
        <is>
          <t>Inatividade do Servidor Requer Atenção Imediata</t>
        </is>
      </c>
      <c r="E365" s="1" t="inlineStr">
        <is>
          <t>Technical Support</t>
        </is>
      </c>
      <c r="F365" s="1" t="inlineStr">
        <is>
          <t>Caro Suporte ao Cliente,
Estou entrando em contato para trazer à sua atenção urgente um problema que estamos enfrentando com seu Serviço de Consultoria de TI. Nosso servidor voltado para o cliente, identificado como &lt;acc_num&gt;, sofreu uma inatividade inesperada, impactando severamente nossos serviços para o usuário final. Essa interrupção está causando grande inconveniência e insatisfação entre nossos clientes.
Dada a natureza crítica deste problema, necessitamos de assistência técnica imediata para restaurar a funcionalidade total dos sistemas afetados. Nossa equipe tentou passos iniciais de resolução de problemas sem sucesso, indicando a necessidade de suporte especializado de seus especialistas.
Por favor, forneça-nos um plano de suporte de emergência, incluindo os detalhes de contato apropriados e os próximos passos para escalar esta questão. Você pode me contatar diretamente pelo &lt;tel_num&gt; para quaisquer detalhes adicionais necessários ou para agendar um horário para uma sessão colaborativa de resolução de problemas.
Sua atenção imediata a este assunto seria muito apreciada para mitigar o impacto em nossos serviços e manter nossa reputação mútua de confiabilidade.
Obrigado pela sua compreensão e resposta rápida.
Atenciosamente,
&lt;name&gt;</t>
        </is>
      </c>
      <c r="G365" s="1" t="inlineStr">
        <is>
          <t>Incident</t>
        </is>
      </c>
      <c r="H365" s="1" t="inlineStr">
        <is>
          <t>Caro &lt;name&gt;,
Obrigado por trazer este problema urgente à nossa atenção. Entendemos a natureza crítica da inatividade do servidor e seu impacto em seus serviços. Nossa equipe técnica está pronta para fornecer assistência imediata para restaurar a funcionalidade total.
Por favor, escale seu problema entrando em contato com nosso suporte de emergência pelo &lt;tel_num&gt;. Nossos especialistas estarão disponíveis para colaborar com sua equipe e orientá-lo pelos passos necessários para resolver a interrupção rapidamente.
Estamos comprometidos em resolver este problema rapidamente para minimizar novos inconvenientes. Obrigado pela sua paciência e compreensão.
Atenciosamente,
Equipe de Suporte ao Cliente</t>
        </is>
      </c>
      <c r="I365" s="1" t="inlineStr">
        <is>
          <t>high</t>
        </is>
      </c>
      <c r="J365" s="1" t="inlineStr">
        <is>
          <t>['Urgent Issue', 'Service Disruption', 'IT Support', 'Technical Support', 'System Crash', 'Incident Report', 'Problem Resolution', 'Service Recovery']</t>
        </is>
      </c>
      <c r="K365" s="1" t="inlineStr">
        <is>
          <t>pt</t>
        </is>
      </c>
      <c r="L365" s="1" t="n">
        <v>1265</v>
      </c>
    </row>
    <row r="366" ht="16.5" customHeight="1">
      <c r="A366" s="1" t="n">
        <v>3167</v>
      </c>
      <c r="B366" s="3" t="inlineStr">
        <is>
          <t>Solicitação de Serviço</t>
        </is>
      </c>
      <c r="C366" s="3" t="inlineStr">
        <is>
          <t>Gerenciamento de Ativos de TI</t>
        </is>
      </c>
      <c r="D366" s="1" t="inlineStr">
        <is>
          <t>Consulta sobre Upgrade do Dell XPS 13 9310</t>
        </is>
      </c>
      <c r="E366" s="1" t="inlineStr">
        <is>
          <t>Customer Service</t>
        </is>
      </c>
      <c r="F366" s="1" t="inlineStr">
        <is>
          <t>Olá,
Espero que esta mensagem o encontre bem. Estou considerando fazer um upgrade na RAM do meu Dell XPS 13 9310 e apreciaria sua orientação. Você poderia, por favor, fornecer informações sobre a compatibilidade e modelos disponíveis? Sua experiência e conselhos sobre este assunto seriam imensamente úteis.
Obrigado.
Atenciosamente,
&lt;name&gt;</t>
        </is>
      </c>
      <c r="G366" s="1" t="inlineStr">
        <is>
          <t>Request</t>
        </is>
      </c>
      <c r="H366" s="1" t="inlineStr">
        <is>
          <t>Olá &lt;name&gt;, para o Dell XPS 13 9310, a RAM é soldada na placa-mãe e não pode ser atualizada. Verifique o site da Dell ou entre em contato com o suporte deles para obter as informações mais recentes e alternativas. Se tiver mais perguntas, fique à vontade para perguntar. Atenciosamente, Agente do Service Desk.</t>
        </is>
      </c>
      <c r="I366" s="1" t="inlineStr">
        <is>
          <t>low</t>
        </is>
      </c>
      <c r="J366" s="1" t="inlineStr">
        <is>
          <t>['Technical Support', 'Product Support', 'Hardware Failure', 'Technical Guidance']</t>
        </is>
      </c>
      <c r="K366" s="1" t="inlineStr">
        <is>
          <t>pt</t>
        </is>
      </c>
      <c r="L366" s="1" t="n">
        <v>343</v>
      </c>
    </row>
    <row r="367" ht="16.5" customHeight="1">
      <c r="A367" s="1" t="n">
        <v>3171</v>
      </c>
      <c r="B367" s="3" t="inlineStr">
        <is>
          <t>Gerenciamento de Incidentes</t>
        </is>
      </c>
      <c r="C367" s="3" t="inlineStr">
        <is>
          <t>Gerenciamento de Mudanças</t>
        </is>
      </c>
      <c r="D367" s="1" t="inlineStr">
        <is>
          <t>Urgente: Suporte para Roteador com Mau Funcionamento</t>
        </is>
      </c>
      <c r="E367" s="1" t="inlineStr">
        <is>
          <t>Technical Support</t>
        </is>
      </c>
      <c r="F367" s="1" t="inlineStr">
        <is>
          <t>Olá Suporte ao Cliente,
Nosso Roteador Cisco ISR4331 está apresentando uma falha repentina, causando grandes interrupções na rede em todo o sistema. Este problema é crítico e exige a sua intervenção técnica imediata. Suspeitamos que a atualização do firmware do roteador possa restaurar sua funcionalidade normal. Pedimos que você agilize o processo para resolver essas interrupções e restaurar nossos serviços na maior brevidade possível. Dependemos fortemente de um serviço contínuo e ininterrupto e agradecemos sua rápida assistência.
Atenciosamente,
&lt;name&gt;
&lt;tel_num&gt;</t>
        </is>
      </c>
      <c r="G367" s="1" t="inlineStr">
        <is>
          <t>Incident</t>
        </is>
      </c>
      <c r="H367" s="1" t="inlineStr">
        <is>
          <t>Assunto: Re: Urgente: Suporte para Roteador com Mau Funcionamento
Olá &lt;name&gt;,
Obrigado por entrar em contato sobre o problema com seu roteador Cisco ISR4331. Entendemos a urgência da situação e estamos aqui para assisti-lo prontamente.
Para abordar o problema suspeito de firmware, por favor, siga os seguintes passos:
1. Baixe a atualização de firmware mais recente para o Cisco ISR4331 no site oficial da Cisco.
2. Siga os passos guiados no site para instalar a atualização. Certifique-se de fazer backup das configurações atuais antes de prosseguir.
Se precisar de mais assistência ou se o problema persistir após a atualização, por favor, responda a este e-mail ou ligue para nossa linha de suporte em [Support Contact Number] para assistência imediata.
Estamos comprometidos em restaurar seu serviço o mais rápido possível.
Atenciosamente,
Equipe de Suporte ao Cliente</t>
        </is>
      </c>
      <c r="I367" s="1" t="inlineStr">
        <is>
          <t>high</t>
        </is>
      </c>
      <c r="J367" s="1" t="inlineStr">
        <is>
          <t>['Technical Support', 'Network Issue', 'Service Disruption', 'Urgent Issue', 'Hardware Failure', 'System Maintenance']</t>
        </is>
      </c>
      <c r="K367" s="1" t="inlineStr">
        <is>
          <t>pt</t>
        </is>
      </c>
      <c r="L367" s="1" t="n">
        <v>572</v>
      </c>
    </row>
    <row r="368" ht="16.5" customHeight="1">
      <c r="A368" s="1" t="n">
        <v>3174</v>
      </c>
      <c r="B368" s="3" t="inlineStr">
        <is>
          <t>Solicitação de Serviço</t>
        </is>
      </c>
      <c r="C368" s="3" t="inlineStr">
        <is>
          <t>Gerenciamento de Mudanças</t>
        </is>
      </c>
      <c r="D368" s="1" t="inlineStr">
        <is>
          <t>Solicitação para Habilitar o Quadro Scrum no Jira Software</t>
        </is>
      </c>
      <c r="E368" s="1" t="inlineStr">
        <is>
          <t>Product Support</t>
        </is>
      </c>
      <c r="F368" s="1" t="inlineStr">
        <is>
          <t>Prezado Suporte ao Cliente,
Atualmente, estamos utilizando a versão 8.20 do Jira Software e precisamos que os recursos do quadro Scrum sejam habilitados para uma gestão de projetos aprimorada. Poderia nos ajudar com esse pedido na sua primeira conveniência? Agradecemos pelo seu suporte.
Atenciosamente,
&lt;name&gt;</t>
        </is>
      </c>
      <c r="G368" s="1" t="inlineStr">
        <is>
          <t>Request</t>
        </is>
      </c>
      <c r="H368" s="1" t="inlineStr">
        <is>
          <t>Prezado &lt;name&gt;,
Obrigado por entrar em contato. Para habilitar os recursos do quadro Scrum na versão 8.20 do Jira Software, por favor, assegure-se de que a opção "Scrum" esteja habilitada nas configurações do seu projeto. Vá para Configurações do Projeto, navegue até Recursos e habilite o Scrum se ainda não estiver ativo. Se você enfrentar qualquer problema, não hesite em entrar em contato para mais assistência.
Atenciosamente,
Agente do Service Desk</t>
        </is>
      </c>
      <c r="I368" s="1" t="inlineStr">
        <is>
          <t>low</t>
        </is>
      </c>
      <c r="J368" s="1" t="inlineStr">
        <is>
          <t>['Technical Support', 'Product Support', 'Software Bug', 'Problem Resolution', 'General Inquiry', 'Technical Guidance']</t>
        </is>
      </c>
      <c r="K368" s="1" t="inlineStr">
        <is>
          <t>pt</t>
        </is>
      </c>
      <c r="L368" s="1" t="n">
        <v>312</v>
      </c>
    </row>
    <row r="369" ht="16.5" customHeight="1">
      <c r="A369" s="1" t="n">
        <v>3175</v>
      </c>
      <c r="B369" s="3" t="inlineStr">
        <is>
          <t>Gerenciamento de Incidentes</t>
        </is>
      </c>
      <c r="C369" s="3" t="inlineStr">
        <is>
          <t>Gerenciamento de Problemas</t>
        </is>
      </c>
      <c r="D369" s="1" t="inlineStr">
        <is>
          <t>Assistência com Configuração do AWS EC2</t>
        </is>
      </c>
      <c r="E369" s="1" t="inlineStr">
        <is>
          <t>Technical Support</t>
        </is>
      </c>
      <c r="F369" s="1" t="inlineStr">
        <is>
          <t>Prezado Time de Suporte ao Cliente,
Espero que esta mensagem o encontre bem. Estou entrando em contato para solicitar sua assistência com um problema que encontrei ao configurar minha instância AWS EC2. Tenho tentado implantar um projeto usando seu Serviço de Gerenciamento AWS, mas enfrentei alguns desafios durante o processo de implantação que não consegui resolver sozinho.
O problema parece surgir ao configurar os grupos de segurança e conectar a instância EC2 com minha VPC. Apesar de seguir a documentação fornecida, continuo a experienciar erros que impedem a configuração e lançamento bem-sucedido da instância. Essas dificuldades estão afetando negativamente meu fluxo de trabalho e cronograma do projeto.
Agradeceria muito por qualquer orientação ou suporte que sua equipe possa fornecer para me ajudar a resolver esse problema. Se for útil, posso fornecer detalhes adicionais sobre as configurações atuais que estou utilizando ou quaisquer outras informações técnicas que possam lançar luz sobre o que pode estar causando esses erros. Além disso, por favor, me avise se uma sessão de solução de problemas remota seria preferível para acelerar o processo de resolução.
Obrigado pela atenção a este assunto. Aguardo sua resposta rápida.
Atenciosamente,
&lt;name&gt;
&lt;tel_num&gt;</t>
        </is>
      </c>
      <c r="G369" s="1" t="inlineStr">
        <is>
          <t>Request</t>
        </is>
      </c>
      <c r="H369" s="1" t="inlineStr">
        <is>
          <t>Prezado &lt;name&gt;,
Obrigado por entrar em contato conosco sobre o seu problema de configuração da instância AWS EC2. Entendemos como isso pode impactar o cronograma do seu projeto e estamos aqui para ajudar.
Para ajudá-lo melhor, por favor forneça detalhes específicos dos erros que você está enfrentando, bem como suas configurações atuais de grupo de segurança e configuração da VPC. Essas informações nos ajudarão a identificar a causa raiz do problema.
Se necessário, podemos agendar uma sessão remota de solução de problemas para resolver essas questões de forma mais eficiente. Por favor, nos informe sua disponibilidade para tal sessão.
Aguardamos sua resposta.
Atenciosamente,
Time de Suporte ao Cliente</t>
        </is>
      </c>
      <c r="I369" s="1" t="inlineStr">
        <is>
          <t>medium</t>
        </is>
      </c>
      <c r="J369" s="1" t="inlineStr">
        <is>
          <t>['Technical Support', 'Product Support', 'IT Support', 'Problem Resolution', 'Technical Guidance', 'General Inquiry']</t>
        </is>
      </c>
      <c r="K369" s="1" t="inlineStr">
        <is>
          <t>pt</t>
        </is>
      </c>
      <c r="L369" s="1" t="n">
        <v>1287</v>
      </c>
    </row>
    <row r="370" ht="16.5" customHeight="1">
      <c r="A370" s="1" t="n">
        <v>3188</v>
      </c>
      <c r="B370" s="3" t="inlineStr">
        <is>
          <t>Solicitação de Serviço</t>
        </is>
      </c>
      <c r="C370" s="3" t="inlineStr">
        <is>
          <t>Gerenciamento de Mudanças</t>
        </is>
      </c>
      <c r="D370" s="1" t="inlineStr">
        <is>
          <t>Solicitação de Mudança na Estratégia de TI</t>
        </is>
      </c>
      <c r="E370" s="1" t="inlineStr">
        <is>
          <t>IT Support</t>
        </is>
      </c>
      <c r="F370" s="1" t="inlineStr">
        <is>
          <t>Nós enviamos uma solicitação para alinhar nossa infraestrutura de TI com os novos objetivos de negócios definidos.</t>
        </is>
      </c>
      <c r="G370" s="1" t="inlineStr">
        <is>
          <t>Change</t>
        </is>
      </c>
      <c r="H370" s="1" t="inlineStr">
        <is>
          <t>Assunto: Solicitação de Mudança na Estratégia de TI
Obrigado pela sua solicitação sobre o alinhamento da estratégia de TI. Revisaremos sua submissão e responderemos com os próximos passos em breve.</t>
        </is>
      </c>
      <c r="I370" s="1" t="inlineStr">
        <is>
          <t>medium</t>
        </is>
      </c>
      <c r="J370" s="1" t="inlineStr">
        <is>
          <t>['IT Support', 'Planned Change', 'Technical Guidance', 'General Inquiry']</t>
        </is>
      </c>
      <c r="K370" s="1" t="inlineStr">
        <is>
          <t>pt</t>
        </is>
      </c>
      <c r="L370" s="1" t="n">
        <v>114</v>
      </c>
    </row>
    <row r="371" ht="16.5" customHeight="1">
      <c r="A371" s="1" t="n">
        <v>3198</v>
      </c>
      <c r="B371" s="3" t="inlineStr">
        <is>
          <t>Gerenciamento de Incidentes</t>
        </is>
      </c>
      <c r="C371" s="3" t="inlineStr">
        <is>
          <t>Gerenciamento de Problemas</t>
        </is>
      </c>
      <c r="D371" s="1" t="inlineStr">
        <is>
          <t>Problemas com Chamadas no Zoom</t>
        </is>
      </c>
      <c r="E371" s="1" t="inlineStr">
        <is>
          <t>Human Resources</t>
        </is>
      </c>
      <c r="F371" s="1" t="inlineStr">
        <is>
          <t>Caro Suporte ao Cliente,
Nossa equipe de RH tem enfrentado quedas freqüentes de chamadas e qualidade de vídeo ruim durante as reuniões usando o Zoom 5.11.0. Isso afeta significativamente nossa produtividade. Por favor, ajude-nos a resolver esses problemas o mais rápido possível.
Atenciosamente,
&lt;name&gt;
&lt;position&gt;
&lt;phone number&gt;
&lt;company&gt;</t>
        </is>
      </c>
      <c r="G371" s="1" t="inlineStr">
        <is>
          <t>Problem</t>
        </is>
      </c>
      <c r="H371" s="1" t="inlineStr">
        <is>
          <t>Caro &lt;name&gt;,
Obrigado por entrar em contato. Para resolver as quedas nas chamadas do Zoom e a má qualidade do vídeo, por favor, assegure-se de ter uma conexão de internet estável, instale as atualizações mais recentes do Zoom e feche quaisquer aplicativos em segundo plano. Se o problema persistir, entre em contato conosco para mais assistência.
Atenciosamente,
Suporte ao Cliente</t>
        </is>
      </c>
      <c r="I371" s="1" t="inlineStr">
        <is>
          <t>medium</t>
        </is>
      </c>
      <c r="J371" s="1" t="inlineStr">
        <is>
          <t>['Technical Support', 'IT Support', 'Service Disruption', 'Problem Resolution', 'Video Conferencing', 'Customer Service', 'Performance Tuning']</t>
        </is>
      </c>
      <c r="K371" s="1" t="inlineStr">
        <is>
          <t>pt</t>
        </is>
      </c>
      <c r="L371" s="1" t="n">
        <v>340</v>
      </c>
    </row>
    <row r="372" ht="16.5" customHeight="1">
      <c r="A372" s="1" t="n">
        <v>3214</v>
      </c>
      <c r="B372" s="3" t="inlineStr">
        <is>
          <t>Gerenciamento de Incidentes</t>
        </is>
      </c>
      <c r="C372" s="3" t="inlineStr">
        <is>
          <t>Gerenciamento de Disponibilidade</t>
        </is>
      </c>
      <c r="D372" s="1" t="inlineStr">
        <is>
          <t>Problema Urgente: Jira Software 8.20 Falhando ao Inicializar</t>
        </is>
      </c>
      <c r="E372" s="1" t="inlineStr">
        <is>
          <t>Technical Support</t>
        </is>
      </c>
      <c r="F372" s="1" t="inlineStr">
        <is>
          <t>Olá Equipe de Suporte ao Cliente,
Encontramos um problema urgente onde o Jira Software 8.20 está falhando ao inicializar, interrompendo severamente nossas atividades de gerenciamento de projetos. Precisamos de assistência imediata para resolver isso. Por favor, trate isso o mais rápido possível.
Obrigado,
&lt;name&gt;</t>
        </is>
      </c>
      <c r="G372" s="1" t="inlineStr">
        <is>
          <t>Incident</t>
        </is>
      </c>
      <c r="H372" s="1" t="inlineStr">
        <is>
          <t>Olá &lt;name&gt;,
Obrigado por entrar em contato. Lamentamos saber que você está enfrentando esse problema. Nossa equipe técnica está analisando isso imediatamente. Atualizaremos você assim que tivermos uma resolução. Obrigado pela sua paciência.
Atenciosamente,
Equipe de Suporte ao Cliente</t>
        </is>
      </c>
      <c r="I372" s="1" t="inlineStr">
        <is>
          <t>high</t>
        </is>
      </c>
      <c r="J372" s="1" t="inlineStr">
        <is>
          <t>['Urgent Issue', 'Technical Support', 'Software Bug', 'Problem Resolution']</t>
        </is>
      </c>
      <c r="K372" s="1" t="inlineStr">
        <is>
          <t>pt</t>
        </is>
      </c>
      <c r="L372" s="1" t="n">
        <v>315</v>
      </c>
    </row>
    <row r="373" ht="16.5" customHeight="1">
      <c r="A373" s="1" t="n">
        <v>3216</v>
      </c>
      <c r="B373" s="3" t="inlineStr">
        <is>
          <t>Gerenciamento de Incidentes</t>
        </is>
      </c>
      <c r="C373" s="3" t="inlineStr">
        <is>
          <t>Gerenciamento de Problemas</t>
        </is>
      </c>
      <c r="D373" s="1" t="inlineStr">
        <is>
          <t>Experienciando Problemas Frequentes de Conexão no Zoom</t>
        </is>
      </c>
      <c r="E373" s="1" t="inlineStr">
        <is>
          <t>Technical Support</t>
        </is>
      </c>
      <c r="F373" s="1" t="inlineStr">
        <is>
          <t>Prezado Suporte ao Cliente de Serviços de TI,
Estou escrevendo para expressar minha preocupação com os problemas de conexão durante minhas videoconferências no Zoom. Tenho enfrentado atrasos significativos e desconexões frequentes, afetando negativamente minha produtividade. O problema persiste na versão 5.11.0 do Zoom. Apesar de ter realizado a solução de problemas e verificado minha conexão de internet, o problema parece continuar. Durante as chamadas, é desafiador comunicar-se efetivamente, frustrando a fluidez de reuniões importantes. Isso tornou consideravelmente problemático manter uma comunicação eficiente com clientes e colegas. Acredito que esse problema pode não ser isolado para mim, pois outros membros da equipe que usam a mesma versão estão enfrentando desafios semelhantes. Agradeceria se sua equipe pudesse investigar este assunto minuciosamente e me aconselhar sobre quaisquer soluções ou atualizações possíveis que poderiam aliviar esses problemas. Sua resposta rápida seria muito apreciada, pois é vital para minha rotina de trabalho ter acesso estável e confiável ao Zoom. Obrigado pela sua atenção imediata a este assunto.
Atenciosamente,
&lt;name&gt;</t>
        </is>
      </c>
      <c r="G373" s="1" t="inlineStr">
        <is>
          <t>Incident</t>
        </is>
      </c>
      <c r="H373" s="1" t="inlineStr">
        <is>
          <t>Prezado &lt;name&gt;,
Obrigado por entrar em contato a respeito dos problemas de conexão no Zoom. Entendemos quão crucial é a videoconferência estável para sua produtividade. Estamos cientes dos problemas relatados com a versão 5.11.0 e estamos investigando o problema.
Enquanto isso, considere as seguintes etapas:
1. Certifique-se de que seu cliente Zoom está atualizado para a versão mais recente.
2. Reinicie seu dispositivo e modem/roteador.
3. Verifique se há aplicativos que consomem muita largura de banda em execução em segundo plano e feche-os.
4. Se possível, troque para uma conexão com fio para mais estabilidade.
Manteremos você atualizado sobre nossas descobertas e quaisquer atualizações oficiais que o Zoom possa divulgar para resolver esses problemas. Agradecemos sua paciência e compreensão.
Atenciosamente,
Suporte ao Cliente de Serviços de TI</t>
        </is>
      </c>
      <c r="I373" s="1" t="inlineStr">
        <is>
          <t>low</t>
        </is>
      </c>
      <c r="J373" s="1" t="inlineStr">
        <is>
          <t>['Technical Support', 'IT Support', 'Service Disruption', 'Network Issue', 'Urgent Issue', 'Software Bug', 'Problem Resolution']</t>
        </is>
      </c>
      <c r="K373" s="1" t="inlineStr">
        <is>
          <t>pt</t>
        </is>
      </c>
      <c r="L373" s="1" t="n">
        <v>1176</v>
      </c>
    </row>
    <row r="374" ht="16.5" customHeight="1">
      <c r="A374" s="1" t="n">
        <v>3247</v>
      </c>
      <c r="B374" s="3" t="inlineStr">
        <is>
          <t>Gerenciamento de Incidentes</t>
        </is>
      </c>
      <c r="C374" s="3" t="inlineStr">
        <is>
          <t>Gerenciamento de Acesso</t>
        </is>
      </c>
      <c r="D374" s="1" t="inlineStr">
        <is>
          <t>Urgente: Problema de Acesso ao Google Workspace Após a Migração</t>
        </is>
      </c>
      <c r="E374" s="1" t="inlineStr">
        <is>
          <t>Product Support</t>
        </is>
      </c>
      <c r="F374" s="1" t="inlineStr">
        <is>
          <t>Prezada Equipe de Suporte,
Após a recente migração da conta, não consigo acessar meu e-mail do Google Workspace e o armazenamento em nuvem. Isso é crucial para as operações da minha empresa. Estou usando o plano Business Standard. Poderiam priorizar esse problema e resolvê-lo o mais rápido possível? Agradeço pela atenção rápida.
Atenciosamente,
&lt;name&gt;
&lt;email_address&gt;
&lt;tel_num&gt;</t>
        </is>
      </c>
      <c r="G374" s="1" t="inlineStr">
        <is>
          <t>Incident</t>
        </is>
      </c>
      <c r="H374" s="1" t="inlineStr">
        <is>
          <t>Prezado &lt;name&gt;,
Obrigado por entrar em contato. Entendemos a urgência da sua situação e pedimos desculpas pelo inconveniente. Nossa equipe está priorizando seu problema em relação ao acesso ao Google Workspace após a migração. Para resolvê-lo rapidamente, por favor, certifique-se de que você limpou o cache do seu navegador e verificou se houve alguma alteração recente na senha. Além disso, verifique se você está fazendo login com as credenciais corretas.
Se o problema persistir, nós o escalonaremos imediatamente para nossa equipe técnica. Agradecemos sua paciência e o manteremos informado em breve.
Atenciosamente,
Equipe de Atendimento</t>
        </is>
      </c>
      <c r="I374" s="1" t="inlineStr">
        <is>
          <t>high</t>
        </is>
      </c>
      <c r="J374" s="1" t="inlineStr">
        <is>
          <t>['Urgent Issue', 'Technical Support', 'Account Assistance', 'Login Issue', 'Service Disruption', 'Problem Resolution', 'Product Support']</t>
        </is>
      </c>
      <c r="K374" s="1" t="inlineStr">
        <is>
          <t>pt</t>
        </is>
      </c>
      <c r="L374" s="1" t="n">
        <v>381</v>
      </c>
    </row>
    <row r="375" ht="16.5" customHeight="1">
      <c r="A375" s="1" t="n">
        <v>3248</v>
      </c>
      <c r="B375" s="3" t="inlineStr">
        <is>
          <t>Gerenciamento de Incidentes</t>
        </is>
      </c>
      <c r="C375" s="3" t="inlineStr">
        <is>
          <t>Gerenciamento de Ativos de TI</t>
        </is>
      </c>
      <c r="D375" s="1" t="inlineStr">
        <is>
          <t>Suporte Urgente Necessário: Problemas com a Bateria do MacBook Air M1</t>
        </is>
      </c>
      <c r="E375" s="1" t="inlineStr">
        <is>
          <t>Customer Service</t>
        </is>
      </c>
      <c r="F375" s="1" t="inlineStr">
        <is>
          <t>Caro time de Suporte ao Cliente,
Estou enfrentando problemas inesperados de drenagem da bateria com meu MacBook Air M1. A duração da bateria está significativamente reduzida e ela se esgota de forma incomum, mesmo quando não estou em uso intenso. Comprei este dispositivo recentemente na sua loja online. Este problema está impactando meu trabalho diário e preciso de suporte técnico urgente para resolvê-lo. Por favor, informe-me quais são os próximos passos que devo tomar. Você pode me contatar pelo &lt;tel_num&gt; com mais instruções.
Obrigado pela sua assistência rápida.
Atenciosamente,
&lt;name&gt;</t>
        </is>
      </c>
      <c r="G375" s="1" t="inlineStr">
        <is>
          <t>Problem</t>
        </is>
      </c>
      <c r="H375" s="1" t="inlineStr">
        <is>
          <t>Assunto: Re: Suporte Urgente Necessário: Problemas com a Bateria do MacBook Air M1
Caro &lt;name&gt;,
Obrigado por entrar em contato sobre o problema da bateria do seu MacBook Air M1. Pedimos desculpas por qualquer inconveniente que isso esteja causando no seu trabalho diário. Por favor, tente os seguintes passos para melhorar o desempenho da bateria:
1. Reinicie seu MacBook Air e assegure-se de que o macOS esteja atualizado para a versão mais recente.
2. Verifique o uso da bateria em Preferências do Sistema &gt; Bateria &gt; Uso da Bateria.
3. Redefina o Controlador de Gestão do Sistema (SMC) para atualizar as configurações da bateria.
Se o problema persistir, leve seu dispositivo à loja Apple mais próxima ou a um prestador de serviços autorizado para um diagnóstico. Alternativamente, nossa equipe técnica entrará em contato com você pelo &lt;tel_num&gt; para oferecer mais assistência.
Obrigado pela sua paciência.
Atenciosamente,
Equipe de Suporte ao Cliente</t>
        </is>
      </c>
      <c r="I375" s="1" t="inlineStr">
        <is>
          <t>high</t>
        </is>
      </c>
      <c r="J375" s="1" t="inlineStr">
        <is>
          <t>['Technical Support', 'Urgent Issue', 'Product Support', 'Hardware Failure', 'Customer Service', 'Problem Resolution']</t>
        </is>
      </c>
      <c r="K375" s="1" t="inlineStr">
        <is>
          <t>pt</t>
        </is>
      </c>
      <c r="L375" s="1" t="n">
        <v>598</v>
      </c>
    </row>
    <row r="376" ht="16.5" customHeight="1">
      <c r="A376" s="1" t="n">
        <v>3253</v>
      </c>
      <c r="B376" s="3" t="inlineStr">
        <is>
          <t>Solicitação de Serviço</t>
        </is>
      </c>
      <c r="C376" s="3" t="inlineStr">
        <is>
          <t>Gerenciamento de Ativos de TI</t>
        </is>
      </c>
      <c r="D376" s="1" t="inlineStr">
        <is>
          <t>Ajuda Urgente Necessária Relativamente à Compra Recente</t>
        </is>
      </c>
      <c r="E376" s="1" t="inlineStr">
        <is>
          <t>Technical Support</t>
        </is>
      </c>
      <c r="F376" s="1" t="inlineStr">
        <is>
          <t>Olá, Equipe de Suporte da Tech Online Store,
Estou entrando em contato para expressar minha decepção e solicitar suporte imediato em relação a uma aquisição recente de sua loja. No [purchase date], comprei um Microsoft Surface Pro 7. Infelizmente, o dispositivo tem apresentado um problema persistente: ele não liga de forma consistente. Esta falha afetou severamente meu trabalho e produtividade, pois dependo deste dispositivo para atividades diárias, e um funcionamento confiável é essencial.
Apesar de seguir todos os métodos de solução de problemas sugeridos no manual e em seu site, o problema permanece sem solução. À luz dessa situação, peço respeitosamente uma substituição completa da unidade defeituosa ou um serviço de reparo urgente para consertar o problema. Abaixo estão os detalhes da minha compra:
- Produto: Microsoft Surface Pro 7  
- Número do Pedido: [order_number]  
- Data da Compra: [purchase_date]
Também anexei cópias do meu recibo e documentos de garantia para acelerar o processo. Você poderia, por favor, me informar os passos que precisamos seguir para resolver essa questão rapidamente?
Sua atenção rápida a este assunto será muito valorizada, pois está causando considerável interrupção à minha vida cotidiana. Aguardo ansiosamente sua resposta rápida. Você pode me contatar por e-mail ou telefone em &lt;tel_num&gt; durante o horário comercial.
Obrigado.
Atenciosamente,
&lt;name&gt;</t>
        </is>
      </c>
      <c r="G376" s="1" t="inlineStr">
        <is>
          <t>Problem</t>
        </is>
      </c>
      <c r="H376" s="1" t="inlineStr">
        <is>
          <t>Olá &lt;name&gt;,
Obrigado por entrar em contato conosco e compartilhar os detalhes sobre o desafio que você está enfrentando com seu Microsoft Surface Pro 7. Pedimos sinceras desculpas pelo inconveniente que isso causou.
Para ajudá-lo sem demora, daremos início ao procedimento para uma substituição ou reparo. Certifique-se de que seu recibo e documentação de garantia estejam incluídos, pois isso ajudará a acelerar o processo.
Nossa equipe entrará em contato com você em breve usando o número de telefone ou e-mail que você forneceu para orientá-lo sobre os próximos passos. Nosso objetivo é resolver isso rapidamente e mitigar quaisquer interrupções adicionais em suas atividades diárias.
Agradecemos sua paciência e compreensão.
Atenciosamente,
Suporte ao Cliente da Tech Online Store</t>
        </is>
      </c>
      <c r="I376" s="1" t="inlineStr">
        <is>
          <t>high</t>
        </is>
      </c>
      <c r="J376" s="1" t="inlineStr">
        <is>
          <t>['Returns and Exchanges', 'Product Support', 'Urgent Issue', 'Hardware Failure', 'Account Assistance', 'Service Recovery']</t>
        </is>
      </c>
      <c r="K376" s="1" t="inlineStr">
        <is>
          <t>pt</t>
        </is>
      </c>
      <c r="L376" s="1" t="n">
        <v>1412</v>
      </c>
    </row>
    <row r="377" ht="16.5" customHeight="1">
      <c r="A377" s="1" t="n">
        <v>3255</v>
      </c>
      <c r="B377" s="3" t="inlineStr">
        <is>
          <t>Gerenciamento Financeiro</t>
        </is>
      </c>
      <c r="C377" s="3" t="inlineStr">
        <is>
          <t>Gerenciamento de Incidentes</t>
        </is>
      </c>
      <c r="D377" s="1" t="inlineStr">
        <is>
          <t>Problema com Cobrança em Duplicidade</t>
        </is>
      </c>
      <c r="E377" s="1" t="inlineStr">
        <is>
          <t>Billing and Payments</t>
        </is>
      </c>
      <c r="F377" s="1" t="inlineStr">
        <is>
          <t>Olá Suporte ao Cliente,
Espero que esta mensagem o encontre bem. Estou escrevendo para chamar sua atenção sobre um problema que encontrei com uma transação recente. Após assinar o Plano Anual do Microsoft Office 365, notei que houve uma cobrança em duplicidade na minha conta. A transação foi feita através da sua Loja Online Tech, e como um cliente fiel, estou muito preocupado com esse problema inesperado.
O produto afetado é o Microsoft Office 365. É crucial que este assunto seja resolvido rapidamente, pois impacta meu saldo de conta e orçamento. Anexei uma cópia do extrato de cobrança mostrando a cobrança duplicada, para sua referência. Meu número de conta é &lt;acc_num&gt;.
Você poderia, por favor, investigar este assunto e me fornecer uma resolução rápida? Se precisar de mais informações ou documentação, sinta-se à vontade para entrar em contato comigo pelo &lt;tel_num&gt;.
Obrigado pela sua atenção a este assunto. Aguardo sua rápida resposta.
Atenciosamente,
&lt;name&gt;</t>
        </is>
      </c>
      <c r="G377" s="1" t="inlineStr">
        <is>
          <t>Problem</t>
        </is>
      </c>
      <c r="H377" s="1" t="inlineStr">
        <is>
          <t>Caro &lt;name&gt;,
Obrigado por entrar em contato conosco e trazer isso à nossa atenção. Peço desculpas pelo inconveniente causado pela cobrança em duplicidade do Plano Anual do Microsoft Office 365 adquirido através da nossa Loja Online Tech.
Iremos investigar urgentemente o assunto para resolver o problema com sua conta. Agradeço por fornecer uma cópia do extrato de cobrança, que nos ajudará a corrigir isso rapidamente.
Farei questão de mantê-lo atualizado sobre nosso progresso e quaisquer ações que tomemos. Para qualquer assistência ou dúvidas, sinta-se à vontade para entrar em contato. Sua satisfação é nossa prioridade.
Obrigado pela sua paciência e por ser um cliente valorizado.
Atenciosamente,
Equipe de Suporte ao Cliente</t>
        </is>
      </c>
      <c r="I377" s="1" t="inlineStr">
        <is>
          <t>high</t>
        </is>
      </c>
      <c r="J377" s="1" t="inlineStr">
        <is>
          <t>['Billing Issue', 'Customer Service', 'Account Assistance', 'Refund Request', 'Payment Processing', 'Urgent Issue', 'Problem Resolution']</t>
        </is>
      </c>
      <c r="K377" s="1" t="inlineStr">
        <is>
          <t>pt</t>
        </is>
      </c>
      <c r="L377" s="1" t="n">
        <v>977</v>
      </c>
    </row>
    <row r="378" ht="16.5" customHeight="1">
      <c r="A378" s="1" t="n">
        <v>3258</v>
      </c>
      <c r="B378" s="3" t="inlineStr">
        <is>
          <t>Gerenciamento de Incidentes</t>
        </is>
      </c>
      <c r="C378" s="3" t="inlineStr">
        <is>
          <t>Gerenciamento de Ativos de TI</t>
        </is>
      </c>
      <c r="D378" s="1" t="inlineStr">
        <is>
          <t>Solicitação de Assistência Imediata com Laptop Dell</t>
        </is>
      </c>
      <c r="E378" s="1" t="inlineStr">
        <is>
          <t>Product Support</t>
        </is>
      </c>
      <c r="F378" s="1" t="inlineStr">
        <is>
          <t>Olá Suporte da Loja Online Tech,
Estou enfrentando problemas com o meu touchpad do Dell XPS 13 9310, que está sem resposta. Preciso de assistência urgente e apreciaria qualquer orientação ou passos para resolver esta situação.
Obrigado,
&lt;name&gt;
&lt;tel_num&gt;</t>
        </is>
      </c>
      <c r="G378" s="1" t="inlineStr">
        <is>
          <t>Incident</t>
        </is>
      </c>
      <c r="H378" s="1" t="inlineStr">
        <is>
          <t>Olá &lt;name&gt;, por favor, tente reiniciar seu laptop e atualizar os drivers do touchpad através do Gerenciador de Dispositivos. Se o problema persistir, entre em contato diretamente com o Suporte da Dell para mais assistência. Informe-nos se houver algo mais com que possamos ajudar.</t>
        </is>
      </c>
      <c r="I378" s="1" t="inlineStr">
        <is>
          <t>low</t>
        </is>
      </c>
      <c r="J378" s="1" t="inlineStr">
        <is>
          <t>['Technical Support', 'IT Support', 'Urgent Issue', 'Problem Resolution', 'Hardware Failure', 'Technical Guidance']</t>
        </is>
      </c>
      <c r="K378" s="1" t="inlineStr">
        <is>
          <t>pt</t>
        </is>
      </c>
      <c r="L378" s="1" t="n">
        <v>256</v>
      </c>
    </row>
    <row r="379" ht="16.5" customHeight="1">
      <c r="A379" s="1" t="n">
        <v>3263</v>
      </c>
      <c r="B379" s="3" t="inlineStr">
        <is>
          <t>Gerenciamento de Incidentes</t>
        </is>
      </c>
      <c r="C379" s="3" t="inlineStr">
        <is>
          <t>Gerenciamento de Problemas</t>
        </is>
      </c>
      <c r="D379" s="1" t="inlineStr">
        <is>
          <t>Urgente: Problemas de Instalação do Adobe Photoshop 2024</t>
        </is>
      </c>
      <c r="E379" s="1" t="inlineStr">
        <is>
          <t>Product Support</t>
        </is>
      </c>
      <c r="F379" s="1" t="inlineStr">
        <is>
          <t>Prezado Suporte ao Cliente,
Estou escrevendo para relatar um problema que estou enfrentando com o Adobe Photoshop 2024 no meu PC com Windows. O processo de instalação está encontrando erros persistentes que impedem a configuração bem-sucedida. Isso está causando atrasos significativos em meus projetos criativos. Encontro mensagens de erro relacionadas a arquivos de instalação ausentes. Apesar de várias tentativas e de consultar os guias de resolução de problemas disponíveis, não consegui resolver o problema.
Meu fluxo de trabalho depende muito do Photoshop. A assistência seria muito apreciada. Por favor, oriente-me sobre como proceder.
Obrigado,
&lt;name&gt;
&lt;acc_num&gt;
&lt;tel_num&gt;</t>
        </is>
      </c>
      <c r="G379" s="1" t="inlineStr">
        <is>
          <t>Incident</t>
        </is>
      </c>
      <c r="H379" s="1" t="inlineStr">
        <is>
          <t>Prezado &lt;name&gt;,
Obrigado por entrar em contato conosco. Entendemos a urgência de resolver seus problemas de instalação do Adobe Photoshop 2024. Aqui estão algumas etapas que você pode tentar:
1. Certifique-se de que seu sistema atende aos requisitos mínimos para o Photoshop 2024.
2. Desative temporariamente qualquer software antivírus ou firewall que possa interferir na instalação.
3. Baixe uma cópia nova do instalador no site oficial da Adobe para garantir que não haja arquivos corrompidos.
4. Execute o instalador como administrador.
5. Certifique-se de que todas as atualizações do Windows estejam instaladas e que seu sistema esteja totalmente atualizado.
Se o problema persistir, por favor, forneça-nos qualquer código de erro específico que você esteja encontrando. Isso nos ajudará a auxiliá-lo de forma mais eficaz. Você também pode considerar entrar em contato com o suporte oficial da Adobe para mais assistência.
Atenciosamente,
Equipe de Suporte ao Cliente</t>
        </is>
      </c>
      <c r="I379" s="1" t="inlineStr">
        <is>
          <t>high</t>
        </is>
      </c>
      <c r="J379" s="1" t="inlineStr">
        <is>
          <t>['Technical Support', 'Product Support', 'Software Bug', 'Urgent Issue', 'Problem Resolution', 'Documentation Request']</t>
        </is>
      </c>
      <c r="K379" s="1" t="inlineStr">
        <is>
          <t>pt</t>
        </is>
      </c>
      <c r="L379" s="1" t="n">
        <v>684</v>
      </c>
    </row>
    <row r="380" ht="16.5" customHeight="1">
      <c r="A380" s="1" t="n">
        <v>3277</v>
      </c>
      <c r="B380" s="3" t="inlineStr">
        <is>
          <t>Gerenciamento de Incidentes</t>
        </is>
      </c>
      <c r="C380" s="3" t="inlineStr">
        <is>
          <t>Gerenciamento de Problemas</t>
        </is>
      </c>
      <c r="D380" s="1" t="inlineStr">
        <is>
          <t>Problemas de Conectividade com a Impressora HP DeskJet 3755</t>
        </is>
      </c>
      <c r="E380" s="1" t="inlineStr">
        <is>
          <t>Technical Support</t>
        </is>
      </c>
      <c r="F380" s="1" t="inlineStr">
        <is>
          <t>Olá Atendimento ao Cliente,
Espero que esta mensagem o encontre bem. Estou entrando em contato sobre alguns problemas de conectividade que estou tendo com minha impressora HP DeskJet 3755 ao tentar conectá-la sem fio ao meu laptop. Para contextualizar, comprei recentemente essa impressora em sua loja online - número do pedido &lt;order_num&gt;. Inicialmente, o processo de configuração parecia simples, mas, infelizmente, meu laptop não conseguiu reconhecer a impressora durante as tentativas de estabelecer uma conexão sem fio.
Tentei vários métodos de solução de problemas descritos no manual da impressora e em seu Centro de Ajuda online, incluindo reiniciar ambos os dispositivos e garantir que eles estão conectados à mesma rede Wi-Fi. Apesar desses esforços, o problema persiste. A luz sem fio da impressora continua piscando, indicando dificuldades de conexão.
Neste ponto, não tenho certeza se este é um problema de hardware com a impressora ou um conflito de software com o sistema operacional do meu laptop. Assim sendo, estou buscando sua orientação sobre os próximos passos. Sua equipe poderia fornecer uma solução para esse problema, ou devo considerar uma substituição?
Obrigado pela sua assistência e aguardo sua resposta rápida.
Atenciosamente,
&lt;name&gt;
&lt;email&gt;</t>
        </is>
      </c>
      <c r="G380" s="1" t="inlineStr">
        <is>
          <t>Incident</t>
        </is>
      </c>
      <c r="H380" s="1" t="inlineStr">
        <is>
          <t>Olá,
Obrigado por entrar em contato sobre os problemas de conectividade com sua impressora HP DeskJet 3755. Lamento saber sobre as dificuldades que você está enfrentando.
Para resolver o problema de conexão sem fio, por favor, tente os seguintes passos:
1. Execute a ferramenta HP Print and Scan Doctor, disponível no site oficial da HP. Essa ferramenta pode diagnosticar e corrigir automaticamente problemas comuns da impressora.
2. Verifique se as configurações do firewall do seu laptop não estão bloqueando a conexão da impressora.
3. Desative temporariamente qualquer software de VPN ou segurança, pois eles podem interferir na conexão.
4. Verifique se o firmware da sua impressora e o sistema operacional do seu laptop estão atualizados para as versões mais recentes.
5. Tente conectar a impressora a outro computador para descartar quaisquer problemas específicos do laptop.
Se o problema persistir após esses passos, pode indicar um possível problema de hardware com a própria impressora. Nesse caso, considerando sua compra recente, recomendo entrar em contato para uma possível substituição ou reparo sob garantia. Por favor, entre em contato com nossa equipe de atendimento ao cliente com seu número de pedido assim que possível para mais assistência.
Deixe-nos saber se você precisa de mais ajuda.
Atenciosamente,
Equipe de Atendimento ao Cliente</t>
        </is>
      </c>
      <c r="I380" s="1" t="inlineStr">
        <is>
          <t>low</t>
        </is>
      </c>
      <c r="J380" s="1" t="inlineStr">
        <is>
          <t>['Technical Support', 'Product Support', 'Hardware Failure', 'Network Issue', 'Software Bug', 'Problem Resolution', 'Service Recovery']</t>
        </is>
      </c>
      <c r="K380" s="1" t="inlineStr">
        <is>
          <t>pt</t>
        </is>
      </c>
      <c r="L380" s="1" t="n">
        <v>1277</v>
      </c>
    </row>
    <row r="381" ht="16.5" customHeight="1">
      <c r="A381" s="1" t="n">
        <v>3296</v>
      </c>
      <c r="B381" s="3" t="inlineStr">
        <is>
          <t>Gerenciamento de Incidentes</t>
        </is>
      </c>
      <c r="C381" s="3" t="inlineStr">
        <is>
          <t>Gerenciamento de Mudanças</t>
        </is>
      </c>
      <c r="D381" s="1" t="inlineStr">
        <is>
          <t>Urgente: Problema de Interrupção do Serviço de Gerenciamento da AWS</t>
        </is>
      </c>
      <c r="E381" s="1" t="inlineStr">
        <is>
          <t>Service Outages and Maintenance</t>
        </is>
      </c>
      <c r="F381" s="1" t="inlineStr">
        <is>
          <t>Caro Time de Suporte de Serviços de TI,
Estou escrevendo para trazer à sua atenção imediata uma solicitação de mudança de alta prioridade que requer intervenção urgente envolvendo nosso Serviço de Gerenciamento da AWS. Recentemente, temos enfrentado interrupções frequentes que impactam severamente nossas operações comerciais. Os problemas têm sido disruptivos, levando a um tempo de inatividade significativo e, consequentemente, afetando nossa entrega de serviços para os clientes. É crucial que abordemos esta questão prontamente para restaurar a estabilidade e prevenir novas interrupções.
Nossa equipe tentou os passos iniciais de solução de problemas; no entanto, a complexidade da situação necessitou de intervenção especializada. Agradeceríamos muito se sua equipe de especialistas pudesse dedicar recursos urgentes para investigar e implementar uma solução. Isso inclui uma análise detalhada das configurações atuais, a identificação da causa raiz das interrupções e a instituição de medidas preventivas.
Anexo todos os logs e configurações relevantes para sua revisão. Esperamos que sua expertise facilite uma resolução rápida.
Aguardamos sua resposta e apoio imediato para corrigir esta situação.
Obrigado,
&lt;name&gt; &lt;acc_num&gt;
&lt;name&gt;@companyemail.com
&lt;tel_num&gt;</t>
        </is>
      </c>
      <c r="G381" s="1" t="inlineStr">
        <is>
          <t>Change</t>
        </is>
      </c>
      <c r="H381" s="1" t="inlineStr">
        <is>
          <t>Caro &lt;name&gt;,
Obrigado por nos contatar sobre as interrupções urgentes no Serviço de Gerenciamento da AWS. Entendemos a natureza crítica deste problema e o impacto que ele tem em suas operações.
Nossa equipe de especialistas está priorizando esta questão e começará imediatamente uma investigação detalhada. Vamos revisar os logs e configurações que você forneceu para identificar a causa raiz e implementar as medidas corretivas necessárias. Nosso objetivo é restaurar a estabilidade do seu serviço o mais rápido possível.
Fique tranquilo, estamos dedicando nossos recursos para resolver este problema de maneira eficiente. Manteremos você informado sobre nosso progresso e quaisquer desenvolvimentos.
Obrigado pela sua paciência e cooperação.
Atenciosamente,
Equipe de Suporte de Serviços de TI</t>
        </is>
      </c>
      <c r="I381" s="1" t="inlineStr">
        <is>
          <t>high</t>
        </is>
      </c>
      <c r="J381" s="1" t="inlineStr">
        <is>
          <t>['Service Disruption', 'Urgent Issue', 'Technical Support', 'IT Support', 'System Maintenance', 'Problem Resolution', 'Service Recovery']</t>
        </is>
      </c>
      <c r="K381" s="1" t="inlineStr">
        <is>
          <t>pt</t>
        </is>
      </c>
      <c r="L381" s="1" t="n">
        <v>1275</v>
      </c>
    </row>
    <row r="382" ht="16.5" customHeight="1">
      <c r="A382" s="1" t="n">
        <v>3308</v>
      </c>
      <c r="B382" s="3" t="inlineStr">
        <is>
          <t>Gerenciamento de Incidentes</t>
        </is>
      </c>
      <c r="C382" s="3" t="inlineStr">
        <is>
          <t>Gerenciamento Financeiro</t>
        </is>
      </c>
      <c r="D382" s="1" t="inlineStr">
        <is>
          <t>Urgente: Problema de Infraestrutura da AWS</t>
        </is>
      </c>
      <c r="E382" s="1" t="inlineStr">
        <is>
          <t>IT Support</t>
        </is>
      </c>
      <c r="F382" s="1" t="inlineStr">
        <is>
          <t>Caro Suporte ao Cliente,
Estamos enfrentando um problema de alta prioridade com o nosso Serviço de Gerenciamento da AWS que requer atenção imediata. A resolução imediata é necessária para evitar possível tempo de inatividade e otimizar custos. A sua assistência rápida nesta questão é crítica.
Obrigado,
&lt;name&gt;</t>
        </is>
      </c>
      <c r="G382" s="1" t="inlineStr">
        <is>
          <t>Request</t>
        </is>
      </c>
      <c r="H382" s="1" t="inlineStr">
        <is>
          <t>Caro &lt;name&gt;,
Obrigado por entrar em contato. Entendemos a urgência da situação com o seu Serviço de Gerenciamento da AWS. Nossa equipe está investigando o problema e priorizando sua resolução para mitigar qualquer possível tempo de inatividade e gerenciar os custos de forma eficaz. Iremos atualizá-lo sobre nosso progresso em breve. Por favor, nos avise se houver detalhes ou contatos adicionais que devemos conhecer.
Atenciosamente,
Equipe de Atendimento ao Serviço</t>
        </is>
      </c>
      <c r="I382" s="1" t="inlineStr">
        <is>
          <t>high</t>
        </is>
      </c>
      <c r="J382" s="1" t="inlineStr">
        <is>
          <t>['Technical Support', 'Service Outage', 'Urgent Issue', 'Problem Resolution', 'Network Issue']</t>
        </is>
      </c>
      <c r="K382" s="1" t="inlineStr">
        <is>
          <t>pt</t>
        </is>
      </c>
      <c r="L382" s="1" t="n">
        <v>312</v>
      </c>
    </row>
    <row r="383" ht="16.5" customHeight="1">
      <c r="A383" s="1" t="n">
        <v>3313</v>
      </c>
      <c r="B383" s="3" t="inlineStr">
        <is>
          <t>Solicitação de Serviço</t>
        </is>
      </c>
      <c r="C383" s="3" t="inlineStr">
        <is>
          <t>Gerenciamento de Incidentes</t>
        </is>
      </c>
      <c r="D383" s="1" t="inlineStr">
        <is>
          <t>Ajuda Imediata Necessária: Dificuldades com o Zoom</t>
        </is>
      </c>
      <c r="E383" s="1" t="inlineStr">
        <is>
          <t>IT Support</t>
        </is>
      </c>
      <c r="F383" s="1" t="inlineStr">
        <is>
          <t>Caro Time de Suporte, Solicito gentilmente sua ajuda para configurar e solucionar problemas relacionados às nossas reuniões executivas na versão 5.11.0 do Zoom. Este assunto é de extrema importância. Obrigado, &lt;name&gt;.</t>
        </is>
      </c>
      <c r="G383" s="1" t="inlineStr">
        <is>
          <t>Request</t>
        </is>
      </c>
      <c r="H383" s="1" t="inlineStr">
        <is>
          <t>Caro &lt;name&gt;, Agradecemos por entrar em contato conosco. Para resolver suas dificuldades com a versão 5.11.0 do Zoom, certifique-se de que seu software esteja atualizado e verifique sua conexão com a Internet. Para assistência na configuração, visite a página de suporte do Zoom ou consulte o guia. Se você continuar a encontrar problemas, envie-nos informações adicionais e forneceremos mais assistência. Atenciosamente, Suporte ao Cliente.</t>
        </is>
      </c>
      <c r="I383" s="1" t="inlineStr">
        <is>
          <t>high</t>
        </is>
      </c>
      <c r="J383" s="1" t="inlineStr">
        <is>
          <t>['Technical Support', 'Software Bug', 'Problem Resolution', 'Technical Guidance']</t>
        </is>
      </c>
      <c r="K383" s="1" t="inlineStr">
        <is>
          <t>pt</t>
        </is>
      </c>
      <c r="L383" s="1" t="n">
        <v>217</v>
      </c>
    </row>
    <row r="384" ht="16.5" customHeight="1">
      <c r="A384" s="1" t="n">
        <v>3314</v>
      </c>
      <c r="B384" s="3" t="inlineStr">
        <is>
          <t>Gerenciamento de Incidentes</t>
        </is>
      </c>
      <c r="C384" s="3" t="inlineStr">
        <is>
          <t>Gerenciamento de Problemas</t>
        </is>
      </c>
      <c r="D384" s="1" t="inlineStr">
        <is>
          <t>Urgente: Problemas de Conectividade com Impressão Sem Fio</t>
        </is>
      </c>
      <c r="E384" s="1" t="inlineStr">
        <is>
          <t>Technical Support</t>
        </is>
      </c>
      <c r="F384" s="1" t="inlineStr">
        <is>
          <t>Caro Suporte ao Cliente, estou enfrentando problemas intermitentes de conectividade com minha impressora HP DeskJet 3755, afetando particularmente suas capacidades de impressão sem fio. Tentei várias etapas de solução de problemas, incluindo reiniciar tanto a impressora quanto meus dispositivos de rede, garantindo que o firmware da impressora esteja atualizado e assegurando que não haja obstruções significativas ou fontes de interferência entre a impressora e o roteador sem fio. Apesar desses esforços, a conectividade continua inconsistente, interrompendo várias tarefas de impressão e causando atrasos em meu fluxo de trabalho. Dada a urgência de resolver este problema devido ao impacto em minha produtividade, solicito gentilmente atenção e suporte imediatos para corrigir esta questão. Por favor, aconselhe sobre medidas adicionais que posso tomar ou se uma avaliação técnica por sua equipe é necessária. Agradeço sua assistência rápida para garantir o desempenho ideal do dispositivo. Obrigado pela atenção a este assunto. Aguardando sua resposta rápida. Atenciosamente, &lt;name&gt;</t>
        </is>
      </c>
      <c r="G384" s="1" t="inlineStr">
        <is>
          <t>Incident</t>
        </is>
      </c>
      <c r="H384" s="1" t="inlineStr">
        <is>
          <t>Caro &lt;name&gt;,
Obrigado por entrar em contato. Lamento saber sobre os problemas de conectividade com sua HP DeskJet 3755. Você já tomou medidas significativas para solucionar o problema. Aqui estão sugestões adicionais:
1. Certifique-se de que sua impressora está dentro da faixa recomendada do seu roteador sem fio.
2. Verifique as configurações de largura de banda do seu roteador, certificando-se de que a impressora se conecte a uma banda de 2,4GHz, pois algumas impressoras têm suporte limitado para 5GHz.
3. Desative qualquer configuração de firewall ou VPN que possa estar interrompendo a conexão.
4. Verifique se o firmware do seu roteador está atualizado, assim como você fez com a impressora.
Se o problema persistir, uma avaliação técnica pode realmente ser necessária. Por favor, informe-nos sobre sua disponibilidade para um agendamento de serviço.
Obrigado pela sua paciência, e nosso objetivo é resolver isso rapidamente.
Atenciosamente,
&lt;Suporte ao Cliente&gt;</t>
        </is>
      </c>
      <c r="I384" s="1" t="inlineStr">
        <is>
          <t>high</t>
        </is>
      </c>
      <c r="J384" s="1" t="inlineStr">
        <is>
          <t>['Technical Support', 'Printer Issue', 'Urgent Issue', 'Connectivity Problem', 'Product Support', 'Problem Resolution', 'Service Recovery']</t>
        </is>
      </c>
      <c r="K384" s="1" t="inlineStr">
        <is>
          <t>pt</t>
        </is>
      </c>
      <c r="L384" s="1" t="n">
        <v>1088</v>
      </c>
    </row>
    <row r="385" ht="16.5" customHeight="1">
      <c r="A385" s="1" t="n">
        <v>3318</v>
      </c>
      <c r="B385" s="3" t="inlineStr">
        <is>
          <t>Gerenciamento de Incidentes</t>
        </is>
      </c>
      <c r="C385" s="3" t="inlineStr">
        <is>
          <t>Gerenciamento de Mudanças</t>
        </is>
      </c>
      <c r="D385" s="1" t="inlineStr">
        <is>
          <t>Assistência Urgente Necessária: Falha na Implantação do AWS em Serviços de Nuvem</t>
        </is>
      </c>
      <c r="E385" s="1" t="inlineStr">
        <is>
          <t>Technical Support</t>
        </is>
      </c>
      <c r="F385" s="1" t="inlineStr">
        <is>
          <t>Caro Time de Suporte ao Cliente,
Espero que esta mensagem o encontre bem. Estou escrevendo para chamar sua atenção imediata para um ticket de alta prioridade que encontramos relacionado à implantação do nosso Serviço de Gerenciamento AWS. Infelizmente, uma implantação crítica falhou, impactando negativamente nossos serviços de nuvem. Este problema é de extrema urgência e precisamos de uma intervenção imediata para retificar a situação e retomar as operações normais.
Você poderia, por favor, escalar este assunto prontamente e nos informar um prazo estimado para a resolução? Qualquer orientação ou suporte que você possa oferecer será muito apreciado.
Obrigado pela sua atenção a este assunto crítico.
Atenciosamente,
&lt;name&gt;
&lt;company name&gt;
Contato: &lt;tel_num&gt;
Número da Conta: &lt;acc_num&gt;</t>
        </is>
      </c>
      <c r="G385" s="1" t="inlineStr">
        <is>
          <t>Request</t>
        </is>
      </c>
      <c r="H385" s="1" t="inlineStr">
        <is>
          <t>Caro &lt;name&gt;,
Obrigado por entrar em contato e trazer este assunto urgente à nossa atenção. Entendemos o impacto que esta falha na implantação tem sobre seus serviços de nuvem e levamos esses problemas muito a sério.
Escalamos seu caso para nossa equipe técnica, que está atualmente investigando a falha na implantação do Serviço de Gerenciamento AWS. Nosso objetivo é fornecer uma resolução rápida e mantê-lo atualizado com o progresso o mais rapidamente possível.
Para assistência imediata e atualizações, por favor, certifique-se de que suas informações de contato atuais estão precisas. Agradecemos sua paciência e cooperação nesta situação urgente.
Atenciosamente,
Equipe do Service Desk</t>
        </is>
      </c>
      <c r="I385" s="1" t="inlineStr">
        <is>
          <t>high</t>
        </is>
      </c>
      <c r="J385" s="1" t="inlineStr">
        <is>
          <t>['Technical Support', 'Service Disruption', 'Urgent Issue', 'Cloud Services', 'Incident Report', 'Problem Resolution', 'System Crash']</t>
        </is>
      </c>
      <c r="K385" s="1" t="inlineStr">
        <is>
          <t>pt</t>
        </is>
      </c>
      <c r="L385" s="1" t="n">
        <v>795</v>
      </c>
    </row>
    <row r="386" ht="16.5" customHeight="1">
      <c r="A386" s="1" t="n">
        <v>3319</v>
      </c>
      <c r="B386" s="3" t="inlineStr">
        <is>
          <t>Gerenciamento de Incidentes</t>
        </is>
      </c>
      <c r="C386" s="3" t="inlineStr">
        <is>
          <t>Gerenciamento de Problemas</t>
        </is>
      </c>
      <c r="D386" s="1" t="inlineStr">
        <is>
          <t>Problemas com Extensões do Navegador na Atualização do Chrome 102.0</t>
        </is>
      </c>
      <c r="E386" s="1" t="inlineStr">
        <is>
          <t>Technical Support</t>
        </is>
      </c>
      <c r="F386" s="1" t="inlineStr">
        <is>
          <t>Caro Suporte ao Cliente,
Estou enfrentando um problema em que minhas extensões do navegador não estão funcionando corretamente após uma atualização recente do Google Chrome versão 102.0. Essas extensões funcionavam bem antes da atualização, mas agora falham em operar como esperado.
Você poderia, por favor, fornecer orientação ou uma solução para este problema? Sua assistência é muito apreciada. Obrigado por tratar deste assunto prontamente.
Atenciosamente,
&lt;name&gt;
&lt;tel_num&gt;
&lt;email_address&gt;</t>
        </is>
      </c>
      <c r="G386" s="1" t="inlineStr">
        <is>
          <t>Incident</t>
        </is>
      </c>
      <c r="H386" s="1" t="inlineStr">
        <is>
          <t>Caro &lt;name&gt;,
Obrigado por entrar em contato. Com a atualização para o Chrome 102.0, é possível que algumas extensões precisem ser atualizadas também. Por favor, tente os seguintes passos:
1. Abra o Chrome e vá para 'chrome://extensions/' para verificar se há atualizações disponíveis para suas extensões. Atualize se solicitado.
2. Desative e reative as extensões para atualizar suas configurações.
3. Limpe o cache do seu navegador para evitar dados em cache conflitantes.
4. Reinicie o seu navegador após concluir essas etapas.
Se o problema persistir, considere entrar em contato com o desenvolvedor da extensão para atualizações de compatibilidade. Informe-nos se precisar de mais assistência.
Atenciosamente,
Suporte ao Cliente</t>
        </is>
      </c>
      <c r="I386" s="1" t="inlineStr">
        <is>
          <t>low</t>
        </is>
      </c>
      <c r="J386" s="1" t="inlineStr">
        <is>
          <t>['Technical Support', 'Software Bug', 'Product Support', 'Problem Resolution']</t>
        </is>
      </c>
      <c r="K386" s="1" t="inlineStr">
        <is>
          <t>pt</t>
        </is>
      </c>
      <c r="L386" s="1" t="n">
        <v>497</v>
      </c>
    </row>
    <row r="387" ht="16.5" customHeight="1">
      <c r="A387" s="1" t="n">
        <v>3324</v>
      </c>
      <c r="B387" s="3" t="inlineStr">
        <is>
          <t>Gerenciamento de Incidentes</t>
        </is>
      </c>
      <c r="C387" s="3" t="inlineStr">
        <is>
          <t>Gerenciamento de Acesso</t>
        </is>
      </c>
      <c r="D387" s="1" t="inlineStr">
        <is>
          <t>Problemas de Login com a Atualização do Jira Software 8.20</t>
        </is>
      </c>
      <c r="E387" s="1" t="inlineStr">
        <is>
          <t>Technical Support</t>
        </is>
      </c>
      <c r="F387" s="1" t="inlineStr">
        <is>
          <t>Caro Time de Suporte ao Cliente, Espero que esta mensagem o encontre bem. Estou escrevendo para chamar sua atenção para um problema que estou atualmente enfrentando com o Jira Software 8.20 após a última atualização do software. Desde que a atualização foi instalada, não consigo acessar o sistema de tickets, que é crucial para meu fluxo de trabalho. Antes da atualização, tudo estava funcionando corretamente e eu conseguia fazer login sem problemas. Ao tentar fazer login, estou encontrando mensagens de erro persistentes, e o sistema falha em autenticar minhas credenciais. Além disso, tentei redefinir minha senha, limpar o cache do navegador e até mesmo tentar acessar de diferentes dispositivos e redes, mas o problema persiste. A mensagem de erro diz 'impossível autenticar' e não fornece mais informações sobre a natureza do problema. Seu time técnico poderia ver isso o mais rápido possível? Para referência, meus dados de conta estão sob o nome &lt;name&gt; e o nome de usuário é &lt;username&gt;. Agradeço pela sua atenção rápida a este assunto. Aguardo sua orientação e uma resolução rápida. Atenciosamente, &lt;name&gt;</t>
        </is>
      </c>
      <c r="G387" s="1" t="inlineStr">
        <is>
          <t>Incident</t>
        </is>
      </c>
      <c r="H387" s="1" t="inlineStr">
        <is>
          <t>Caro &lt;name&gt;,
Obrigado por entrar em contato conosco. Entendemos o inconveniente que você está enfrentando com o Jira Software 8.20 após a última atualização. Nossa equipe técnica está ciente dos problemas de autenticação e está investigando o problema. Enquanto isso, certifique-se de que qualquer software de segurança ou firewalls não estejam bloqueando o acesso ao Jira e tente usar uma janela de navegação anônima.
Por favor, forneça quaisquer códigos de erro adicionais exibidos durante as tentativas de login. Nossa equipe priorizará seu caso e iremos atualizá-lo assim que tivermos mais informações ou uma solução. Sua conta sob o nome de usuário &lt;username&gt; foi anotada.
Agradecemos sua paciência e pretendemos resolver isso rapidamente.
Atenciosamente,
Equipe de Suporte ao Cliente</t>
        </is>
      </c>
      <c r="I387" s="1" t="inlineStr">
        <is>
          <t>medium</t>
        </is>
      </c>
      <c r="J387" s="1" t="inlineStr">
        <is>
          <t>['Login Issue', 'Software Bug', 'Technical Support', 'Problem Resolution', 'Account Assistance', 'Urgent Issue']</t>
        </is>
      </c>
      <c r="K387" s="1" t="inlineStr">
        <is>
          <t>pt</t>
        </is>
      </c>
      <c r="L387" s="1" t="n">
        <v>1115</v>
      </c>
    </row>
    <row r="388" ht="16.5" customHeight="1">
      <c r="A388" s="1" t="n">
        <v>3327</v>
      </c>
      <c r="B388" s="3" t="inlineStr">
        <is>
          <t>Gerenciamento de Incidentes</t>
        </is>
      </c>
      <c r="C388" s="3" t="inlineStr">
        <is>
          <t>Gerenciamento de Disponibilidade</t>
        </is>
      </c>
      <c r="D388" s="1" t="inlineStr">
        <is>
          <t>Situação Crítica de Interrupção do Servidor</t>
        </is>
      </c>
      <c r="E388" s="1" t="inlineStr">
        <is>
          <t>Customer Service</t>
        </is>
      </c>
      <c r="F388" s="1" t="inlineStr">
        <is>
          <t>Caro Suporte da Empresa de Consultoria de TI, 
Estamos enfrentando interrupções persistentes no servidor que estão impactando severamente nossas atividades comerciais. Como nossas operações dependem fortemente dos seus Serviços de Consultoria de TI, esse assunto precisa de foco e resolução imediatos. Cada ocorrência de inatividade resulta em perturbações substanciais e perdas potenciais em nosso fluxo de trabalho. Solicitamos gentilmente uma avaliação rápida e um plano abrangente para retificar esta situação o mais rápido possível para diminuir as repercussões. Sua rápida resposta seria muito valorizada para manter a continuidade dos negócios. 
Obrigado pela sua atenção a esta questão urgente.
Atenciosamente,
&lt;name&gt;</t>
        </is>
      </c>
      <c r="G388" s="1" t="inlineStr">
        <is>
          <t>Problem</t>
        </is>
      </c>
      <c r="H388" s="1" t="inlineStr">
        <is>
          <t>Caro &lt;name&gt;,
Reconhecemos a natureza crítica da questão de inatividade do servidor que está interrompendo suas operações. Nossa equipe está dando alta prioridade à análise imediata e colaborará de perto com você para resolver rapidamente esta questão. Por favor, espere uma atualização de status inicial de nossa parte nas próximas horas, seguida por um plano de ação completo para garantir uma rápida remediação e evitar problemas futuros. Obrigado por destacar esta preocupação. Estamos dedicados a reinstaurar suas operações comerciais sem demora.
Atenciosamente,
Equipe de Suporte da Empresa de Consultoria de TI</t>
        </is>
      </c>
      <c r="I388" s="1" t="inlineStr">
        <is>
          <t>medium</t>
        </is>
      </c>
      <c r="J388" s="1" t="inlineStr">
        <is>
          <t>['Service Disruption', 'Urgent Issue', 'System Maintenance', 'Incident Report', 'Technical Support', 'Server Issue', 'Performance Tuning']</t>
        </is>
      </c>
      <c r="K388" s="1" t="inlineStr">
        <is>
          <t>pt</t>
        </is>
      </c>
      <c r="L388" s="1" t="n">
        <v>728</v>
      </c>
    </row>
    <row r="389" ht="16.5" customHeight="1">
      <c r="A389" s="1" t="n">
        <v>3329</v>
      </c>
      <c r="B389" s="3" t="inlineStr">
        <is>
          <t>Gerenciamento de Incidentes</t>
        </is>
      </c>
      <c r="C389" s="3" t="inlineStr">
        <is>
          <t>Gerenciamento de Disponibilidade</t>
        </is>
      </c>
      <c r="D389" s="1" t="inlineStr">
        <is>
          <t>Urgente: Assistência Necessária para Inatividade do Serviço AWS</t>
        </is>
      </c>
      <c r="E389" s="1" t="inlineStr">
        <is>
          <t>Technical Support</t>
        </is>
      </c>
      <c r="F389" s="1" t="inlineStr">
        <is>
          <t>Cliente está enfrentando inatividade do AWS e precisa de suporte técnico para uma resolução rápida.</t>
        </is>
      </c>
      <c r="G389" s="1" t="inlineStr">
        <is>
          <t>Problem</t>
        </is>
      </c>
      <c r="H389" s="1" t="inlineStr">
        <is>
          <t>Olá! Nossa equipe está ciente da inatividade do AWS e está trabalhando ativamente nisso. Seu problema é priorizado para uma resolução rápida. Agradecemos sua paciência.</t>
        </is>
      </c>
      <c r="I389" s="1" t="inlineStr">
        <is>
          <t>medium</t>
        </is>
      </c>
      <c r="J389" s="1" t="inlineStr">
        <is>
          <t>['Technical Support', 'Service Outage', 'Urgent Issue', 'Problem Resolution', 'IT Support']</t>
        </is>
      </c>
      <c r="K389" s="1" t="inlineStr">
        <is>
          <t>pt</t>
        </is>
      </c>
      <c r="L389" s="1" t="n">
        <v>99</v>
      </c>
    </row>
    <row r="390" ht="16.5" customHeight="1">
      <c r="A390" s="1" t="n">
        <v>3341</v>
      </c>
      <c r="B390" s="3" t="inlineStr">
        <is>
          <t>Solicitação de Serviço</t>
        </is>
      </c>
      <c r="C390" s="3" t="inlineStr">
        <is>
          <t>Gerenciamento de Ativos de TI</t>
        </is>
      </c>
      <c r="D390" s="1" t="inlineStr">
        <is>
          <t>Solicitação de Substituição Imediata da Bateria Com Problema do MacBook Air M1</t>
        </is>
      </c>
      <c r="E390" s="1" t="inlineStr">
        <is>
          <t>Customer Service</t>
        </is>
      </c>
      <c r="F390" s="1" t="inlineStr">
        <is>
          <t>Caro Time de Suporte da Tech Online Store,
Estou escrevendo para solicitar a substituição imediata da bateria do meu MacBook Air M1 recém-comprado devido a desligamentos frequentes e aleatórios. Apesar de seguir todas as diretrizes de manutenção e uso sugeridas, estou enfrentando interrupções significativas, pois o dispositivo desliga inesperadamente. Este problema começou logo após a compra e persiste, causando inconvenientes e afetando minha produtividade de forma significativa. Eu dependo do meu MacBook Air M1 tanto para tarefas profissionais quanto pessoais, o que torna este problema particularmente urgente.
Já tentei vários métodos de solução de problemas potenciais, como redefinir o SMC e garantir que o software esteja atualizado, mas sem sucesso. Peço gentilmente sua assistência rápida para resolver essa falha da bateria.
Para sua referência, meus detalhes de pedido e conta são os seguintes: Número do Pedido - &lt;order_num&gt;, Número da Conta - &lt;acc_num&gt;.
Aguardo seu retorno em breve sobre o processo para que a substituição seja planejada o mais rápido possível.
Agradeço por sua atenção a esta questão urgente.
Atenciosamente,
&lt;name&gt;
Número de Contato: &lt;tel_num&gt;</t>
        </is>
      </c>
      <c r="G390" s="1" t="inlineStr">
        <is>
          <t>Request</t>
        </is>
      </c>
      <c r="H390" s="1" t="inlineStr">
        <is>
          <t>Caro &lt;name&gt;,
Obrigado por entrar em contato com a Equipe de Suporte da Tech Online Store.
Pedimos desculpas pelo inconveniente que você está enfrentando com seu MacBook Air M1. Dadas as frequentes interrupções e as tentativas de solução de problemas mal-sucedidas que você descreveu, vamos agilizar o processo de substituição da sua bateria.
Para prosseguir, por favor, certifique-se de que seu MacBook Air M1 esteja embalado com segurança e siga as instruções que enviaremos por e-mail em breve sobre como enviar seu dispositivo para nosso centro de reparo. Faremos o possível para priorizar seu caso assim que recebermos.
Por favor, verifique sua caixa de entrada para mais detalhes sobre o processo de envio. Se você tiver outras perguntas ou precisar de assistência imediata, sinta-se à vontade para entrar em contato conosco a qualquer momento.
Agradecemos sua paciência e compreensão e estamos comprometidos em resolver esta questão o mais rápido possível.
Atenciosamente,
Equipe de Suporte da Tech Online Store</t>
        </is>
      </c>
      <c r="I390" s="1" t="inlineStr">
        <is>
          <t>high</t>
        </is>
      </c>
      <c r="J390" s="1" t="inlineStr">
        <is>
          <t>['Product Support', 'Returns and Exchanges', 'Urgent Issue', 'Account Assistance', 'Hardware Failure', 'Service Recovery', 'Warranty Claim']</t>
        </is>
      </c>
      <c r="K390" s="1" t="inlineStr">
        <is>
          <t>pt</t>
        </is>
      </c>
      <c r="L390" s="1" t="n">
        <v>1190</v>
      </c>
    </row>
    <row r="391" ht="16.5" customHeight="1">
      <c r="A391" s="1" t="n">
        <v>3346</v>
      </c>
      <c r="B391" s="3" t="inlineStr">
        <is>
          <t>Gerenciamento de Incidentes</t>
        </is>
      </c>
      <c r="C391" s="3" t="inlineStr">
        <is>
          <t>Gerenciamento de Problemas</t>
        </is>
      </c>
      <c r="D391" s="1" t="inlineStr">
        <is>
          <t>Urgente: Problema na Atualização do Norton Antivirus Plus Requer Resolução Imediata</t>
        </is>
      </c>
      <c r="E391" s="1" t="inlineStr">
        <is>
          <t>Product Support</t>
        </is>
      </c>
      <c r="F391" s="1" t="inlineStr">
        <is>
          <t>Caro Suporte ao Cliente,
Estou tendo dificuldades com o Norton Antivirus Plus, pois a atualização mais recente não conseguiu ser concluída, levantando consideráveis preocupações de segurança. Você poderia me ajudar a solucionar essa questão com celeridade? Meu número de conta é &lt;acc_num&gt;.
Agradeço,
&lt;name&gt;
&lt;tel_num&gt;</t>
        </is>
      </c>
      <c r="G391" s="1" t="inlineStr">
        <is>
          <t>Incident</t>
        </is>
      </c>
      <c r="H391" s="1" t="inlineStr">
        <is>
          <t>Prezado &lt;name&gt;,
Lamentamos pelo transtorno. Por favor, tente reiniciar seu computador e execute novamente o Norton LiveUpdate. Se o problema continuar, desinstale e reinstale o Norton Antivirus Plus. Para assistência adicional, entre em contato conosco pelo &lt;tel_num&gt; ou acesse nossa página de suporte.
Atenciosamente,
Equipe de Suporte ao Cliente</t>
        </is>
      </c>
      <c r="I391" s="1" t="inlineStr">
        <is>
          <t>medium</t>
        </is>
      </c>
      <c r="J391" s="1" t="inlineStr">
        <is>
          <t>['Technical Support', 'Urgent Issue', 'Product Support', 'Software Bug', 'Account Assistance', 'Virus Removal']</t>
        </is>
      </c>
      <c r="K391" s="1" t="inlineStr">
        <is>
          <t>pt</t>
        </is>
      </c>
      <c r="L391" s="1" t="n">
        <v>318</v>
      </c>
    </row>
    <row r="392" ht="16.5" customHeight="1">
      <c r="A392" s="1" t="n">
        <v>3352</v>
      </c>
      <c r="B392" s="3" t="inlineStr">
        <is>
          <t>Solicitação de Serviço</t>
        </is>
      </c>
      <c r="C392" s="3" t="inlineStr">
        <is>
          <t>Gerenciamento Financeiro</t>
        </is>
      </c>
      <c r="D392" s="1" t="inlineStr">
        <is>
          <t>Suporte AWS Urgente Necessário</t>
        </is>
      </c>
      <c r="E392" s="1" t="inlineStr">
        <is>
          <t>Technical Support</t>
        </is>
      </c>
      <c r="F392" s="1" t="inlineStr">
        <is>
          <t>Caro Suporte ao Cliente,
Nosso cliente requer urgentemente assistência com a otimização de custos da AWS e estratégia de implantação para sua aplicação web. Isso envolve o Serviço de Gerenciamento da AWS. Por favor, forneça orientações assim que possível.
Obrigado,
&lt;name&gt;
&lt;company&gt;</t>
        </is>
      </c>
      <c r="G392" s="1" t="inlineStr">
        <is>
          <t>Request</t>
        </is>
      </c>
      <c r="H392" s="1" t="inlineStr">
        <is>
          <t>Caro &lt;name&gt;,
Obrigado por entrar em contato. Entendemos a urgência e estamos aqui para ajudá-lo com a otimização de custos da AWS e estratégia de implantação para a aplicação web do seu cliente. Por favor, forneça detalhes específicos sobre a configuração atual e quaisquer áreas específicas nas quais você precisa de orientação. Nossa equipe revisará os requisitos rapidamente e entrará em contato com um plano personalizado o mais breve possível.
Atenciosamente,
Suporte do Service Desk</t>
        </is>
      </c>
      <c r="I392" s="1" t="inlineStr">
        <is>
          <t>high</t>
        </is>
      </c>
      <c r="J392" s="1" t="inlineStr">
        <is>
          <t>['Technical Support', 'Customer Service', 'Product Support', 'Urgent Issue', 'Technical Guidance']</t>
        </is>
      </c>
      <c r="K392" s="1" t="inlineStr">
        <is>
          <t>pt</t>
        </is>
      </c>
      <c r="L392" s="1" t="n">
        <v>286</v>
      </c>
    </row>
    <row r="393" ht="16.5" customHeight="1">
      <c r="A393" s="1" t="n">
        <v>3355</v>
      </c>
      <c r="B393" s="3" t="inlineStr">
        <is>
          <t>Gerenciamento de Incidentes</t>
        </is>
      </c>
      <c r="C393" s="3" t="inlineStr">
        <is>
          <t>Gerenciamento de Acesso</t>
        </is>
      </c>
      <c r="D393" s="1" t="inlineStr">
        <is>
          <t>Urgente: Erro 403 no Acesso ao Console de Gerenciamento da AWS</t>
        </is>
      </c>
      <c r="E393" s="1" t="inlineStr">
        <is>
          <t>Customer Service</t>
        </is>
      </c>
      <c r="F393" s="1" t="inlineStr">
        <is>
          <t>Caro time de suporte de serviços de TI,
Estou escrevendo para relatar um problema urgente com o Serviço de Gerenciamento da AWS. Nossa equipe, liderada por &lt;name&gt;, atualmente não consegue acessar o Console de Gerenciamento da AWS; estamos enfrentando um Erro 403. Este problema está impactando significativamente nossas operações, e uma resolução rápida é imperativa para evitar mais interrupções no serviço. Suspeitamos que o erro possa estar relacionado às configurações de permissão ou problemas de conta e solicitamos gentilmente sua experiência para verificar nossas configurações de &lt;acc_num&gt; ou qualquer outra causa provável.
Por favor, nos informe o mais rápido possível como proceder. Você pode nos contatar pelo &lt;tel_num&gt; ou me enviar um e-mail diretamente para &lt;email&gt;. Sua resposta imediata será muito apreciada.
Obrigado pela sua atenção a este assunto urgente.
Atenciosamente,
&lt;name&gt;
&lt;position&gt;</t>
        </is>
      </c>
      <c r="G393" s="1" t="inlineStr">
        <is>
          <t>Problem</t>
        </is>
      </c>
      <c r="H393" s="1" t="inlineStr">
        <is>
          <t>Caro &lt;name&gt;,
Obrigado por entrar em contato. Entendemos a urgência do problema de Erro 403 que afeta o acesso ao seu Console de Gerenciamento da AWS. Normalmente, esse erro indica um problema relacionado a permissões ou configurações de conta.
Para começar a solução de problemas, por favor, certifique-se de que:
1. Seu usuário/grupo IAM tem as permissões de acesso necessárias definidas corretamente.
2. A autenticação multifatorial e os detalhes de login estão atualizados.
3. O status de quaisquer contas de cobrança associadas.
Vamos investigar imediatamente suas configurações de &lt;acc_num&gt; para identificar e resolver quaisquer discrepâncias que possam estar causando o erro de acesso. Nossa equipe entrará em contato com você em breve para mais assistência. Nesse ínterim, não hesite em nos ligar pelo &lt;support_tel_num&gt;.
Obrigado pela sua paciência e compreensão.
Atenciosamente,
Equipe do Service Desk</t>
        </is>
      </c>
      <c r="I393" s="1" t="inlineStr">
        <is>
          <t>high</t>
        </is>
      </c>
      <c r="J393" s="1" t="inlineStr">
        <is>
          <t>['Urgent Issue', 'IT Support', 'Login Issue', 'Account Assistance', 'Service Disruption', 'Problem Resolution']</t>
        </is>
      </c>
      <c r="K393" s="1" t="inlineStr">
        <is>
          <t>pt</t>
        </is>
      </c>
      <c r="L393" s="1" t="n">
        <v>913</v>
      </c>
    </row>
    <row r="394" ht="16.5" customHeight="1">
      <c r="A394" s="1" t="n">
        <v>3356</v>
      </c>
      <c r="B394" s="3" t="inlineStr">
        <is>
          <t>Solicitação de Serviço</t>
        </is>
      </c>
      <c r="C394" s="3" t="inlineStr">
        <is>
          <t>Gerenciamento de Incidentes</t>
        </is>
      </c>
      <c r="D394" s="1" t="inlineStr">
        <is>
          <t>Solicitação de Assistência: Problema na Configuração sem Fio da Impressora HP</t>
        </is>
      </c>
      <c r="E394" s="1" t="inlineStr">
        <is>
          <t>Product Support</t>
        </is>
      </c>
      <c r="F394" s="1" t="inlineStr">
        <is>
          <t>Olá equipe de suporte ao cliente, estou enfrentando dificuldades para configurar a conexão sem fio da impressora compacta HP DeskJet 3755 que comprei. Certifiquei-me de que todas as etapas necessárias foram seguidas, mas o problema persiste e não consigo avançar. Por favor, forneça orientações sobre como resolver esse problema com sucesso. Obrigado pela sua assistência. Atenciosamente, &lt;name&gt;.</t>
        </is>
      </c>
      <c r="G394" s="1" t="inlineStr">
        <is>
          <t>Incident</t>
        </is>
      </c>
      <c r="H394" s="1" t="inlineStr">
        <is>
          <t>Olá &lt;name&gt;, verifique se sua impressora e o roteador estão próximos, ambos estão ligados e o Wi-Fi está ativado. Conecte sua impressora à rede usando o aplicativo HP Smart. Se os problemas persistirem, reinicie ambos os dispositivos. Além disso, verifique o site de suporte da HP para atualizações de software. Entre em contato conosco se o problema continuar. Atenciosamente, Equipe de Suporte ao Cliente.</t>
        </is>
      </c>
      <c r="I394" s="1" t="inlineStr">
        <is>
          <t>low</t>
        </is>
      </c>
      <c r="J394" s="1" t="inlineStr">
        <is>
          <t>['Technical Support', 'Product Support', 'Hardware Failure', 'Problem Resolution', 'Service Recovery', 'Customer Service']</t>
        </is>
      </c>
      <c r="K394" s="1" t="inlineStr">
        <is>
          <t>pt</t>
        </is>
      </c>
      <c r="L394" s="1" t="n">
        <v>396</v>
      </c>
    </row>
    <row r="395" ht="16.5" customHeight="1">
      <c r="A395" s="1" t="n">
        <v>3361</v>
      </c>
      <c r="B395" s="3" t="inlineStr">
        <is>
          <t>Solicitação de Serviço</t>
        </is>
      </c>
      <c r="C395" s="3" t="inlineStr">
        <is>
          <t>Gerenciamento de Nível de Serviço</t>
        </is>
      </c>
      <c r="D395" s="1" t="inlineStr">
        <is>
          <t>Assistência Urgente Necessária para Otimização e Atualizações de TI</t>
        </is>
      </c>
      <c r="E395" s="1" t="inlineStr">
        <is>
          <t>Customer Service</t>
        </is>
      </c>
      <c r="F395" s="1" t="inlineStr">
        <is>
          <t>Olá Equipe de Suporte de Serviços de TI,
Meu nome é &lt;name&gt;, e minha empresa depende muito dos seus Serviços de Consultoria de TI. Precisamos urgentemente da sua assistência para otimizar e atualizar nosso sistema de TI para garantir operações comerciais sem interrupções. Devido a desafios recentes, essas mudanças são críticas, e esperamos agendar uma sessão de revisão imediata com seus especialistas. Por favor, me avise sobre o primeiro horário disponível para sua equipe. Você pode entrar em contato comigo pelo &lt;tel_num&gt; ou por e-mail. Nosso número de conta é &lt;acc_num&gt;.
Obrigado pela sua pronta atenção a este assunto.
Atenciosamente,
&lt;name&gt;</t>
        </is>
      </c>
      <c r="G395" s="1" t="inlineStr">
        <is>
          <t>Request</t>
        </is>
      </c>
      <c r="H395" s="1" t="inlineStr">
        <is>
          <t>Caro &lt;name&gt;,
Obrigado por entrar em contato. Entendemos a importância de manter operações comerciais sem interrupções, e estamos aqui para ajudar com sua otimização e atualizações de TI. Nossa equipe está revisando a programação atual para encontrar o primeiro horário disponível para uma sessão com nossos especialistas. Entraremos em contato em breve para confirmar uma data e hora adequadas. Agradecemos sua paciência e confiança em nossos serviços.
Atenciosamente,
Equipe de Suporte de Serviços de TI</t>
        </is>
      </c>
      <c r="I395" s="1" t="inlineStr">
        <is>
          <t>high</t>
        </is>
      </c>
      <c r="J395" s="1" t="inlineStr">
        <is>
          <t>['IT Support', 'Urgent Issue', 'Performance Tuning', 'System Maintenance', 'Technical Guidance']</t>
        </is>
      </c>
      <c r="K395" s="1" t="inlineStr">
        <is>
          <t>pt</t>
        </is>
      </c>
      <c r="L395" s="1" t="n">
        <v>651</v>
      </c>
    </row>
    <row r="396" ht="16.5" customHeight="1">
      <c r="A396" s="1" t="n">
        <v>3389</v>
      </c>
      <c r="B396" s="3" t="inlineStr">
        <is>
          <t>Gerenciamento de Incidentes</t>
        </is>
      </c>
      <c r="C396" s="3" t="inlineStr">
        <is>
          <t>Gerenciamento de Disponibilidade</t>
        </is>
      </c>
      <c r="D396" s="1" t="inlineStr">
        <is>
          <t>Resposta imediata necessária: problema com o roteador Cisco ISR4331</t>
        </is>
      </c>
      <c r="E396" s="1" t="inlineStr">
        <is>
          <t>IT Support</t>
        </is>
      </c>
      <c r="F396" s="1" t="inlineStr">
        <is>
          <t>Nossa rede empresarial está fora do ar devido a uma falha no roteador Cisco ISR4331. Isso requer sua atenção urgente para restaurar a conectividade segura e de alto desempenho imediatamente. Por favor, resolva este problema na sua primeira oportunidade.</t>
        </is>
      </c>
      <c r="G396" s="1" t="inlineStr">
        <is>
          <t>Problem</t>
        </is>
      </c>
      <c r="H396" s="1" t="inlineStr">
        <is>
          <t>Estamos cientes do problema com o roteador Cisco ISR4331. Nossa equipe está trabalhando para restaurar rapidamente a conectividade de alto desempenho da sua rede. Pedimos desculpas pelo inconveniente e agradecemos sua paciência.</t>
        </is>
      </c>
      <c r="I396" s="1" t="inlineStr">
        <is>
          <t>high</t>
        </is>
      </c>
      <c r="J396" s="1" t="inlineStr">
        <is>
          <t>['Technical Support', 'Service Outage', 'Urgent Issue', 'Network Issue', 'Problem Resolution']</t>
        </is>
      </c>
      <c r="K396" s="1" t="inlineStr">
        <is>
          <t>pt</t>
        </is>
      </c>
      <c r="L396" s="1" t="n">
        <v>253</v>
      </c>
    </row>
    <row r="397" ht="16.5" customHeight="1">
      <c r="A397" s="1" t="n">
        <v>3398</v>
      </c>
      <c r="B397" s="3" t="inlineStr">
        <is>
          <t>Solicitação de Serviço</t>
        </is>
      </c>
      <c r="C397" s="3" t="inlineStr">
        <is>
          <t>Gerenciamento de Problemas</t>
        </is>
      </c>
      <c r="D397" s="1" t="inlineStr">
        <is>
          <t>Solicitação de Suporte para o Roteador Cisco ISR4331</t>
        </is>
      </c>
      <c r="E397" s="1" t="inlineStr">
        <is>
          <t>Technical Support</t>
        </is>
      </c>
      <c r="F397" s="1" t="inlineStr">
        <is>
          <t>Caro Time de Suporte de Serviços de TI,
Espero que esta mensagem o encontre bem. Estou enfrentando desconexões frequentes com meu Roteador Cisco ISR4331. Para resolver esse problema e estabilizar seu desempenho, solicito gentilmente uma atualização de firmware ou qualquer conselho que você possa oferecer. Você poderia ajudar a resolver esse assunto na sua primeira conveniência? Estou disponível pelos meus dados de contato habituais.
Obrigado pelo seu apoio.
Atenciosamente,
&lt;name&gt;</t>
        </is>
      </c>
      <c r="G397" s="1" t="inlineStr">
        <is>
          <t>Change</t>
        </is>
      </c>
      <c r="H397" s="1" t="inlineStr">
        <is>
          <t>Assunto: Re: Solicitação de Suporte para o Roteador Cisco ISR4331
Caro &lt;name&gt;,
Obrigado por entrar em contato conosco. Entendemos os problemas que você está enfrentando com seu Roteador Cisco ISR4331 devido a desconexões frequentes. Para resolver isso, recomendamos verificar a atualização de firmware mais recente para o seu dispositivo. Por favor, visite o site oficial da Cisco para baixar e instalar a versão de firmware mais recente. Se o problema persistir após a atualização, por favor, certifique-se de que todos os cabos estejam devidamente conectados e considere um reset de hardware para o roteador. Para assistência personalizada, entre em contato conosco com seus dados habituais.
Atenciosamente,
Time de Suporte de Serviços de TI</t>
        </is>
      </c>
      <c r="I397" s="1" t="inlineStr">
        <is>
          <t>high</t>
        </is>
      </c>
      <c r="J397" s="1" t="inlineStr">
        <is>
          <t>['Technical Support', 'IT Support', 'Network Issue', 'System Maintenance', 'Problem Resolution', 'Technical Guidance']</t>
        </is>
      </c>
      <c r="K397" s="1" t="inlineStr">
        <is>
          <t>pt</t>
        </is>
      </c>
      <c r="L397" s="1" t="n">
        <v>487</v>
      </c>
    </row>
    <row r="398" ht="16.5" customHeight="1">
      <c r="A398" s="1" t="n">
        <v>3404</v>
      </c>
      <c r="B398" s="3" t="inlineStr">
        <is>
          <t>Gerenciamento de Incidentes</t>
        </is>
      </c>
      <c r="C398" s="3" t="inlineStr">
        <is>
          <t>Gerenciamento de Problemas</t>
        </is>
      </c>
      <c r="D398" s="1" t="inlineStr">
        <is>
          <t>Problema com Anexo do Ticket</t>
        </is>
      </c>
      <c r="E398" s="1" t="inlineStr">
        <is>
          <t>Technical Support</t>
        </is>
      </c>
      <c r="F398" s="1" t="inlineStr">
        <is>
          <t>Precisa de resolução no Jira.</t>
        </is>
      </c>
      <c r="G398" s="1" t="inlineStr">
        <is>
          <t>Incident</t>
        </is>
      </c>
      <c r="H398" s="1" t="inlineStr">
        <is>
          <t>Caro &lt;name&gt;,
Estamos analisando o seu problema de anexo no Jira e o resolveremos em breve.
Atenciosamente,
Service Desk</t>
        </is>
      </c>
      <c r="I398" s="1" t="inlineStr">
        <is>
          <t>medium</t>
        </is>
      </c>
      <c r="J398" s="1" t="inlineStr">
        <is>
          <t>['Technical Support', 'Problem Resolution', 'Software Bug', 'Incident Report']</t>
        </is>
      </c>
      <c r="K398" s="1" t="inlineStr">
        <is>
          <t>pt</t>
        </is>
      </c>
      <c r="L398" s="1" t="n">
        <v>29</v>
      </c>
    </row>
    <row r="399" ht="16.5" customHeight="1">
      <c r="A399" s="1" t="n">
        <v>3405</v>
      </c>
      <c r="B399" s="3" t="inlineStr">
        <is>
          <t>Gerenciamento Financeiro</t>
        </is>
      </c>
      <c r="C399" s="3" t="inlineStr">
        <is>
          <t>Gerenciamento de Incidentes</t>
        </is>
      </c>
      <c r="D399" s="1" t="inlineStr">
        <is>
          <t>Consulta sobre Discrepância de Cobrança</t>
        </is>
      </c>
      <c r="E399" s="1" t="inlineStr">
        <is>
          <t>Billing and Payments</t>
        </is>
      </c>
      <c r="F399" s="1" t="inlineStr">
        <is>
          <t>Caro Suporte ao Cliente, estou entrando em contato para solicitar esclarecimentos sobre uma discrepância de cobrança pela minha recente compra do Dell XPS 13 9310 em seu site. Minha fatura apresenta um valor diferente do que foi inicialmente mostrado no checkout. Você poderia, por favor, revisar os detalhes do meu pedido e fornecer uma explicação para essa variação? Agradeço sua pronta assistência na resolução deste assunto. Obrigado pelo seu apoio. Atenciosamente, &lt;name&gt;, &lt;acc_num&gt;.</t>
        </is>
      </c>
      <c r="G399" s="1" t="inlineStr">
        <is>
          <t>Request</t>
        </is>
      </c>
      <c r="H399" s="1" t="inlineStr">
        <is>
          <t>Caro &lt;name&gt;,
Obrigado por entrar em contato sobre a discrepância de cobrança com a sua compra do Dell XPS 13 9310. Pedimos desculpas por qualquer confusão que isso possa ter causado. Fique tranquilo, estamos verificando os detalhes do seu pedido.
Para facilitar uma resolução rápida, você poderia, por favor, confirmar o número da fatura ou qualquer informação adicional da transação? Assim que recebermos, investigaremos e lhe forneceremos uma explicação para a variação do valor.
Agradecemos sua paciência e estamos comprometidos em resolver isso rapidamente.
Atenciosamente,
Equipe de Suporte ao Cliente</t>
        </is>
      </c>
      <c r="I399" s="1" t="inlineStr">
        <is>
          <t>low</t>
        </is>
      </c>
      <c r="J399" s="1" t="inlineStr">
        <is>
          <t>['Billing Issue', 'Customer Service', 'Order Issue', 'Payment Processing', 'Problem Resolution', 'Refund Request']</t>
        </is>
      </c>
      <c r="K399" s="1" t="inlineStr">
        <is>
          <t>pt</t>
        </is>
      </c>
      <c r="L399" s="1" t="n">
        <v>488</v>
      </c>
    </row>
    <row r="400" ht="16.5" customHeight="1">
      <c r="A400" s="1" t="n">
        <v>3407</v>
      </c>
      <c r="B400" s="3" t="inlineStr">
        <is>
          <t>Gerenciamento Financeiro</t>
        </is>
      </c>
      <c r="C400" s="3" t="inlineStr">
        <is>
          <t>Gerenciamento de Incidentes</t>
        </is>
      </c>
      <c r="D400" s="1" t="inlineStr">
        <is>
          <t>Urgente: Retificação Necessária para Cobranças de Faturamento Incorretas</t>
        </is>
      </c>
      <c r="E400" s="1" t="inlineStr">
        <is>
          <t>Billing and Payments</t>
        </is>
      </c>
      <c r="F400" s="1" t="inlineStr">
        <is>
          <t>Caro Time de Suporte ao Cliente,
Estou escrevendo para chamar sua atenção imediata para um erro que encontrei na cobrança da minha assinatura do Google Workspace Business Standard. Apesar do acordo consistente sobre as cobranças mensais, as declarações recentes mostraram discrepâncias que não estão alinhadas com nossos termos acordados.
Estou preocupado e apreciaria uma retificação rápida deste problema. Garantir uma cobrança precisa é crucial, e confio que vocês valorizam a consistência que seus clientes esperam.
Para ajudar em sua investigação, meus detalhes de conta são os seguintes: Número da Conta: &lt;acc_num&gt;. Além disso, você pode me contatar pelo &lt;tel_num&gt; caso precise de informações adicionais ou esclarecimentos.
Estou esperançoso de que esse problema possa ser resolvido rapidamente e atender nossas expectativas do alto padrão de serviço pelo qual sua empresa é conhecida. Por favor, confirme o recebimento desta mensagem e forneça um cronograma estimado para a correção a ser aplicada.
Obrigado pela sua atenção rápida a este assunto.
Cordialmente,
&lt;name&gt;</t>
        </is>
      </c>
      <c r="G400" s="1" t="inlineStr">
        <is>
          <t>Request</t>
        </is>
      </c>
      <c r="H400" s="1" t="inlineStr">
        <is>
          <t>Caro &lt;name&gt;,
Obrigado por trazer isso à nossa atenção. Pedimos desculpas por qualquer inconveniente causado pelas discrepâncias de cobrança com sua assinatura do Google Workspace Business Standard.
Recebemos sua mensagem e estamos iniciando uma investigação sobre sua conta &lt;acc_num&gt;. Nossa equipe trabalhará para resolver esse problema rapidamente e garantir que as cobranças futuras estejam alinhadas com nossos termos acordados.
Um representante entrará em contato com você em breve pelo &lt;tel_num&gt; com uma atualização e um cronograma para correção.
Obrigado pela sua paciência e compreensão.
Cordialmente,
Time de Suporte ao Cliente</t>
        </is>
      </c>
      <c r="I400" s="1" t="inlineStr">
        <is>
          <t>high</t>
        </is>
      </c>
      <c r="J400" s="1" t="inlineStr">
        <is>
          <t>['Billing Issue', 'Customer Service', 'Account Assistance', 'Urgent Issue', 'Problem Resolution']</t>
        </is>
      </c>
      <c r="K400" s="1" t="inlineStr">
        <is>
          <t>pt</t>
        </is>
      </c>
      <c r="L400" s="1" t="n">
        <v>1081</v>
      </c>
    </row>
    <row r="401" ht="16.5" customHeight="1">
      <c r="A401" s="1" t="n">
        <v>3412</v>
      </c>
      <c r="B401" s="3" t="inlineStr">
        <is>
          <t>Gerenciamento Financeiro</t>
        </is>
      </c>
      <c r="C401" s="3" t="inlineStr">
        <is>
          <t>Gerenciamento de Incidentes</t>
        </is>
      </c>
      <c r="D401" s="1" t="inlineStr">
        <is>
          <t>Investigação sobre Discrepância na Cobrança da AWS</t>
        </is>
      </c>
      <c r="E401" s="1" t="inlineStr">
        <is>
          <t>Billing and Payments</t>
        </is>
      </c>
      <c r="F401" s="1" t="inlineStr">
        <is>
          <t>Caro Suporte ao Cliente,
Estou escrevendo para solicitar uma revisão detalhada de uma discrepância de cobrança relacionada à minha fatura recente para o Serviço de Gerenciamento da AWS. Meu número de conta é &lt;acc_num&gt;. Notei algumas cobranças inesperadas que não estão alinhadas com meu entendimento ou uso do serviço. Dado isso, exijo uma análise abrangente e uma explicação dos custos incorridos, especialmente em relação às novas cobranças que apareceram.
Você poderia, por favor, fornecer uma análise detalhada, esclarecendo cada item da fatura e elucidando essas discrepâncias? Uma resposta rápida para destacar quaisquer erros de cálculo ou esclarecer as cobranças seria muito apreciada, pois ajudará a garantir uma cobrança precisa e a manter a confiança em seus serviços.
Por favor, me avise se precisar de informações adicionais da minha parte para facilitar uma investigação completa.
Aguardando sua pronta resposta.
Obrigado.
Atenciosamente,
&lt;name&gt;
Contato: &lt;tel_num&gt;</t>
        </is>
      </c>
      <c r="G401" s="1" t="inlineStr">
        <is>
          <t>Incident</t>
        </is>
      </c>
      <c r="H401" s="1" t="inlineStr">
        <is>
          <t>Caro &lt;name&gt;,
Obrigado por entrar em contato sobre a discrepância de cobrança com sua fatura do Serviço de Gerenciamento da AWS associada ao número da conta &lt;acc_num&gt;. Entendemos sua preocupação com as cobranças inesperadas.
Para resolver essa questão, iniciei uma revisão da sua conta para identificar quaisquer discrepâncias ou erros de cálculo. Estamos preparando uma análise detalhada de sua fatura recente, que incluirá uma explicação minuciosa de cada item, com foco particular nas novas cobranças que você mencionou.
Se precisarmos de mais informações suas para acelerar a investigação, entraremos em contato rapidamente.
Agradecemos sua paciência e nosso objetivo é resolver essa questão rapidamente para manter sua confiança em nossos serviços. Atualizaremos você com nossas conclusões o mais breve possível.
Obrigado por nos trazer isso à nossa atenção.
Atenciosamente,
Equipe de Suporte ao Cliente</t>
        </is>
      </c>
      <c r="I401" s="1" t="inlineStr">
        <is>
          <t>low</t>
        </is>
      </c>
      <c r="J401" s="1" t="inlineStr">
        <is>
          <t>['Billing Issue', 'Customer Service', 'Problem Resolution', 'Urgent Issue', 'Account Assistance']</t>
        </is>
      </c>
      <c r="K401" s="1" t="inlineStr">
        <is>
          <t>pt</t>
        </is>
      </c>
      <c r="L401" s="1" t="n">
        <v>984</v>
      </c>
    </row>
    <row r="402" ht="16.5" customHeight="1">
      <c r="A402" s="1" t="n">
        <v>3426</v>
      </c>
      <c r="B402" s="3" t="inlineStr">
        <is>
          <t>Solicitação de Serviço</t>
        </is>
      </c>
      <c r="C402" s="3" t="inlineStr">
        <is>
          <t>Gerenciamento de Ativos de TI</t>
        </is>
      </c>
      <c r="D402" s="1" t="inlineStr">
        <is>
          <t>Consulta sobre os Recursos do MacBook Air M1</t>
        </is>
      </c>
      <c r="E402" s="1" t="inlineStr">
        <is>
          <t>Sales and Pre-Sales</t>
        </is>
      </c>
      <c r="F402" s="1" t="inlineStr">
        <is>
          <t>Caro Time de Suporte ao Cliente,
Espero que esta mensagem os encontre bem. Estou entrando em contato para perguntar sobre o MacBook Air M1 como parte do meu processo de tomada de decisão de compra. Agradeceria informações detalhadas sobre seus recursos, particularmente no que diz respeito ao desempenho de processamento, duração da bateria e quaisquer opções de conectividade disponíveis. Além disso, vocês poderiam fornecer informações sobre sua compatibilidade com software frequentemente usado para design gráfico e tarefas de produtividade?
Entender os detalhes de preços também seria muito benéfico. Existem promoções ou descontos em andamento aplicáveis ao MacBook Air M1? Além disso, informações sobre opções de garantia e serviços de suporte pós-venda seriam úteis. Estou ansioso para tomar uma decisão informada, garantindo que este laptop atenda às minhas necessidades profissionais, e suas informações detalhadas serão inestimáveis.
Obrigado pela sua assistência. Estou ansioso pela sua resposta rápida com os detalhes solicitados em breve. Você pode me contatar diretamente pelo &lt;tel_num&gt; caso necessite de mais informações da minha parte.
Atenciosamente,
&lt;name&gt;</t>
        </is>
      </c>
      <c r="G402" s="1" t="inlineStr">
        <is>
          <t>Request</t>
        </is>
      </c>
      <c r="H402" s="1" t="inlineStr">
        <is>
          <t>Caro &lt;name&gt;,
Obrigado pela sua consulta sobre o MacBook Air M1. Fico feliz em fornecer as informações necessárias para que você tome uma decisão informada.
O MacBook Air M1 possui o chip M1 da Apple, oferecendo desempenho impressionante e notável eficiência energética. Ele proporciona velocidades de processamento rápidas, garantindo multitarefa suave e execução rápida de aplicações exigentes. Em termos de duração da bateria, pode durar até 18 horas com uma única carga, ideal para uso ao longo do dia.
As opções de conectividade incluem duas portas USB-C, suporte para Thunderbolt 3 e USB 4, além de Wi-Fi 6 para redes sem fio mais rápidas. É compatível com uma ampla gama de software de design gráfico e produtividade, potencialmente melhorando sua eficiência de fluxo de trabalho.
Quanto aos preços, recomendo verificar nosso site ou entrar em contato com nossa equipe de vendas para saber sobre as últimas promoções ou descontos que possam estar em vigor para o MacBook Air M1.
Além disso, o MacBook Air vem com uma garantia limitada de 1 ano e 90 dias de suporte técnico gratuito. Também oferecemos cobertura estendida através do plano de proteção AppleCare+, que proporciona serviço e suporte adicionais.
Se você tiver mais perguntas ou precisar de mais assistência, sinta-se à vontade para entrar em contato. Estou aqui para ajudar a garantir que você encontre o dispositivo certo para suas necessidades profissionais.
Atenciosamente,
&lt;Time de Suporte ao Cliente&gt;</t>
        </is>
      </c>
      <c r="I402" s="1" t="inlineStr">
        <is>
          <t>low</t>
        </is>
      </c>
      <c r="J402" s="1" t="inlineStr">
        <is>
          <t>['Customer Service', 'Sales Inquiry', 'Product Support', 'General Inquiry', 'Technical Guidance', 'Warranty Claim', 'Feature Request', 'Technical Support']</t>
        </is>
      </c>
      <c r="K402" s="1" t="inlineStr">
        <is>
          <t>pt</t>
        </is>
      </c>
      <c r="L402" s="1" t="n">
        <v>1180</v>
      </c>
    </row>
    <row r="403" ht="16.5" customHeight="1">
      <c r="A403" s="1" t="n">
        <v>3430</v>
      </c>
      <c r="B403" s="3" t="inlineStr">
        <is>
          <t>Solicitação de Serviço</t>
        </is>
      </c>
      <c r="C403" s="3" t="inlineStr">
        <is>
          <t>Gerenciamento de Nível de Serviço</t>
        </is>
      </c>
      <c r="D403" s="1" t="inlineStr">
        <is>
          <t>Ajuda Imediata Requerida</t>
        </is>
      </c>
      <c r="E403" s="1" t="inlineStr">
        <is>
          <t>Technical Support</t>
        </is>
      </c>
      <c r="F403" s="1" t="inlineStr">
        <is>
          <t>Caro Time de Suporte ao Cliente,
Estou entrando em contato para buscar suporte especializado urgente em relação ao nosso Serviço de Consultoria de TI. Estamos enfrentando uma necessidade imediata de configuração de servidor e aprimoramento de rede. Nossos sistemas estão enfrentando problemas que podem afetar negativamente nossas atividades comerciais. É essencial resolver essas questões rapidamente para evitar qualquer interrupção.
Você poderia, por favor, priorizar nosso pedido e designar um especialista para nos ajudar com essas preocupações? Precisamos de alguém com conhecimento aprofundado em configurações de servidor e métodos de otimização. Gentilmente, nos informe assim que possível sobre a disponibilidade de seus especialistas em suporte.
Estamos disponíveis para uma chamada de consulta a qualquer momento que lhe convier para fornecer qualquer informação adicional que você possa precisar. Você pode me contactar pelo &lt;tel_num&gt;.
Obrigado pela sua atenção rápida a esta situação. Aguardamos sua rápida resposta.
Atenciosamente,
&lt;name&gt;</t>
        </is>
      </c>
      <c r="G403" s="1" t="inlineStr">
        <is>
          <t>Request</t>
        </is>
      </c>
      <c r="H403" s="1" t="inlineStr">
        <is>
          <t>Assunto: Re: Ajuda Imediata Requerida
Caro &lt;name&gt;,
Obrigado por entrar em contato conosco sobre suas urgent necessidades de Serviço de Consultoria de TI. Reconhecemos a importância de abordar os desafios de configuração de servidor e aprimoramento de rede para manter operações comerciais eficientes.
Eu priorizei seu pedido por uma ação rápida e designei um especialista com expertise em configurações de servidor e estratégias de otimização para ajudar você. Nossa equipe de suporte entrará em contato com você em breve para agendar uma chamada de consulta e coletar mais informações para acelerar o processo de resolução.
Por favor, espere ouvir de nós em breve, e não hesite em ligar para &lt;tel_num&gt; se tiver mais perguntas ou preocupações no interim.
Atenciosamente,
&lt;Service Desk Agent Name&gt;
Time de Suporte ao Cliente</t>
        </is>
      </c>
      <c r="I403" s="1" t="inlineStr">
        <is>
          <t>high</t>
        </is>
      </c>
      <c r="J403" s="1" t="inlineStr">
        <is>
          <t>['Technical Support', 'IT Support', 'Urgent Issue', 'Network Issue', 'Server Configuration', 'Performance Tuning', 'Problem Resolution', 'Service Recovery']</t>
        </is>
      </c>
      <c r="K403" s="1" t="inlineStr">
        <is>
          <t>pt</t>
        </is>
      </c>
      <c r="L403" s="1" t="n">
        <v>1059</v>
      </c>
    </row>
    <row r="404" ht="16.5" customHeight="1">
      <c r="A404" s="1" t="n">
        <v>3442</v>
      </c>
      <c r="B404" s="3" t="inlineStr">
        <is>
          <t>Solicitação de Serviço</t>
        </is>
      </c>
      <c r="C404" s="3" t="inlineStr">
        <is>
          <t>Gerenciamento de Ativos de TI</t>
        </is>
      </c>
      <c r="D404" s="1" t="inlineStr">
        <is>
          <t>Cliente mencionou a ausência de um acessório no pedido do Lenovo IdeaPad 5. Solicitação de assistência urgente para resolver a questão.</t>
        </is>
      </c>
      <c r="E404" s="1" t="inlineStr">
        <is>
          <t>General Inquiry</t>
        </is>
      </c>
      <c r="F404" s="1" t="inlineStr">
        <is>
          <t>Prezada Equipe de Suporte ao Cliente, adquiri recentemente um Lenovo IdeaPad 5 em sua loja virtual. Contudo, um dos itens que deveria ter sido incluído não veio junto. Poderiam por gentileza ajudar a solucionar essa situação? Atenciosamente, &lt;nome&gt;</t>
        </is>
      </c>
      <c r="G404" s="1" t="inlineStr">
        <is>
          <t>Request</t>
        </is>
      </c>
      <c r="H404" s="1" t="inlineStr">
        <is>
          <t>Caro &lt;nome&gt;,
Lamentamos pelo item em falta em seu pedido do Lenovo IdeaPad 5. Por gentileza, envie seu número de pedido e informações sobre o acessório que não foi recebido para que possamos solucionar essa questão o mais rápido possível.
Agradecemos sua compreensão.
Atenciosamente,
Suporte ao Cliente</t>
        </is>
      </c>
      <c r="I404" s="1" t="inlineStr">
        <is>
          <t>low</t>
        </is>
      </c>
      <c r="J404" s="1" t="inlineStr">
        <is>
          <t>['Customer Service', 'Order Issue', 'Urgent Issue', 'Product Support', 'Returns and Exchanges']</t>
        </is>
      </c>
      <c r="K404" s="1" t="inlineStr">
        <is>
          <t>pt</t>
        </is>
      </c>
      <c r="L404" s="1" t="n">
        <v>248</v>
      </c>
    </row>
    <row r="405" ht="16.5" customHeight="1">
      <c r="A405" s="1" t="n">
        <v>3443</v>
      </c>
      <c r="B405" s="3" t="inlineStr">
        <is>
          <t>Gerenciamento de Incidentes</t>
        </is>
      </c>
      <c r="C405" s="3" t="inlineStr">
        <is>
          <t>Gerenciamento de Ativos de TI</t>
        </is>
      </c>
      <c r="D405" s="1" t="inlineStr">
        <is>
          <t>Urgente: Atraso na Entrega</t>
        </is>
      </c>
      <c r="E405" s="1" t="inlineStr">
        <is>
          <t>Service Outages and Maintenance</t>
        </is>
      </c>
      <c r="F405" s="1" t="inlineStr">
        <is>
          <t>Prezada Equipe de Suporte ao Cliente, estou entrando em contato para informar que há um atraso na entrega do meu Lenovo IdeaPad 5. O número do meu pedido é &lt;acc_num&gt;. Estou à espera além da data prevista e necessito de ajuda para solucionar essa situação rapidamente. Por favor, mante-m essa informação, agradeço. Cordialmente, &lt;name&gt;.</t>
        </is>
      </c>
      <c r="G405" s="1" t="inlineStr">
        <is>
          <t>Incident</t>
        </is>
      </c>
      <c r="H405" s="1" t="inlineStr">
        <is>
          <t>Estimado &lt;name&gt;,
Lamentamos pela demora no processamento do seu pedido do Lenovo IdeaPad 5 &lt;acc_num&gt;. Estamos analisando a situação e em breve traremos uma atualização. Agradecemos pela sua compreensão.
Cordialmente,
Equipe de Suporte ao Cliente</t>
        </is>
      </c>
      <c r="I405" s="1" t="inlineStr">
        <is>
          <t>high</t>
        </is>
      </c>
      <c r="J405" s="1" t="inlineStr">
        <is>
          <t>['Customer Service', 'Order Issue', 'Shipment Delay', 'Problem Resolution', 'Urgent Issue']</t>
        </is>
      </c>
      <c r="K405" s="1" t="inlineStr">
        <is>
          <t>pt</t>
        </is>
      </c>
      <c r="L405" s="1" t="n">
        <v>335</v>
      </c>
    </row>
    <row r="406" ht="16.5" customHeight="1">
      <c r="A406" s="1" t="n">
        <v>3450</v>
      </c>
      <c r="B406" s="3" t="inlineStr">
        <is>
          <t>Gerenciamento de Incidentes</t>
        </is>
      </c>
      <c r="C406" s="3" t="inlineStr">
        <is>
          <t>Gerenciamento de Ativos de TI</t>
        </is>
      </c>
      <c r="D406" s="1" t="inlineStr">
        <is>
          <t>Urgente: Assistência ao Cliente Requerida—Problema com Atraso na Entrega da Minha Compra do MacBook Air M1</t>
        </is>
      </c>
      <c r="E406" s="1" t="inlineStr">
        <is>
          <t>Product Support</t>
        </is>
      </c>
      <c r="F406" s="1" t="inlineStr">
        <is>
          <t>Caro Atendimento ao Cliente, notei recentemente que houve um atraso na entrega do meu MacBook Air M1. Poderiam me ajudar?</t>
        </is>
      </c>
      <c r="G406" s="1" t="inlineStr">
        <is>
          <t>Problem</t>
        </is>
      </c>
      <c r="H406" s="1" t="inlineStr">
        <is>
          <t>Caro Cliente, estamos analisando sua situação de atraso na entrega. Por favor, aguarde uma atualização em breve. Agradecemos sua compreensão!</t>
        </is>
      </c>
      <c r="I406" s="1" t="inlineStr">
        <is>
          <t>medium</t>
        </is>
      </c>
      <c r="J406" s="1" t="inlineStr">
        <is>
          <t>['Customer Service', 'Order Issue', 'Shipment Delay', 'Urgent Issue', 'Technical Support']</t>
        </is>
      </c>
      <c r="K406" s="1" t="inlineStr">
        <is>
          <t>pt</t>
        </is>
      </c>
      <c r="L406" s="1" t="n">
        <v>121</v>
      </c>
    </row>
    <row r="407" ht="16.5" customHeight="1">
      <c r="A407" s="1" t="n">
        <v>3453</v>
      </c>
      <c r="B407" s="3" t="inlineStr">
        <is>
          <t>Gerenciamento de Incidentes</t>
        </is>
      </c>
      <c r="C407" s="3" t="inlineStr">
        <is>
          <t>Gerenciamento de Ativos de TI</t>
        </is>
      </c>
      <c r="D407" s="1" t="inlineStr">
        <is>
          <t>Questão de Atraso na Entrega do Pedido &lt;acc_num&gt;</t>
        </is>
      </c>
      <c r="E407" s="1" t="inlineStr">
        <is>
          <t>Product Support</t>
        </is>
      </c>
      <c r="F407" s="1" t="inlineStr">
        <is>
          <t>Prezado &lt;name&gt;,
Estou escrevendo para informar sobre um atraso na entrega do meu pedido do Lenovo IdeaPad 5 &lt;acc_num&gt;. Eu tinha a expectativa de recebê-lo até &lt;date&gt;, mas até agora não o recebi. Por favor, peço sua ajuda para solucionar este problema.
Agradeço desde já,
&lt;name&gt;
&lt;tel_num&gt;</t>
        </is>
      </c>
      <c r="G407" s="1" t="inlineStr">
        <is>
          <t>Change</t>
        </is>
      </c>
      <c r="H407" s="1" t="inlineStr">
        <is>
          <t>Prezado &lt;name&gt;,
Lamentamos pelo atraso na entrega do seu pedido do Lenovo IdeaPad 5 &lt;acc_num&gt;. Estamos averiguando esta situação e iremos mantê-lo informado sobre o andamento da entrega o mais breve possível. Agradecemos pela sua compreensão.
Atenciosamente,
Equipe de Atendimento ao Cliente</t>
        </is>
      </c>
      <c r="I407" s="1" t="inlineStr">
        <is>
          <t>high</t>
        </is>
      </c>
      <c r="J407" s="1" t="inlineStr">
        <is>
          <t>['Delivery Issue', 'Order Issue', 'Customer Service', 'Returns and Exchanges', 'Performance Tuning']</t>
        </is>
      </c>
      <c r="K407" s="1" t="inlineStr">
        <is>
          <t>pt</t>
        </is>
      </c>
      <c r="L407" s="1" t="n">
        <v>289</v>
      </c>
    </row>
    <row r="408" ht="16.5" customHeight="1">
      <c r="A408" s="1" t="n">
        <v>3461</v>
      </c>
      <c r="B408" s="3" t="inlineStr">
        <is>
          <t>Solicitação de Serviço</t>
        </is>
      </c>
      <c r="C408" s="3" t="inlineStr">
        <is>
          <t>Gerenciamento Financeiro</t>
        </is>
      </c>
      <c r="D408" s="1" t="inlineStr">
        <is>
          <t>Solicitação de Otimização de Custos da AWS</t>
        </is>
      </c>
      <c r="E408" s="1" t="inlineStr">
        <is>
          <t>IT Support</t>
        </is>
      </c>
      <c r="F408" s="1" t="inlineStr">
        <is>
          <t>Olá,
Espero que esta mensagem o encontre bem. Estou escrevendo para solicitar assistência na otimização do uso do AWS Management Service para nossa empresa a fim de reduzir eficientemente as despesas operacionais. Por favor, forneça insights ou ações que podemos considerar para alcançar economias de custos.
Obrigado pelo seu apoio.
Atenciosamente,
&lt;name&gt;
Número da Conta: &lt;acc_num&gt;
Número de Telefone: &lt;tel_num&gt;</t>
        </is>
      </c>
      <c r="G408" s="1" t="inlineStr">
        <is>
          <t>Request</t>
        </is>
      </c>
      <c r="H408" s="1" t="inlineStr">
        <is>
          <t>Olá,
Obrigado por entrar em contato sobre a otimização de custos da AWS. Para reduzir eficientemente as despesas operacionais, considere as seguintes ações:
1. Analise seu uso atual com o AWS Cost Explorer para identificar recursos subutilizados.
2. Implemente Auto Scaling para corresponder o uso de recursos à demanda, limitando custos.
3. Reserve instâncias para cargas de trabalho previsíveis para se beneficiar de taxas com desconto.
4. Otimize o armazenamento movendo dados acessados com pouca frequência para camadas mais baratas, como o S3 Glacier.
5. Aproveite o AWS Trusted Advisor para recomendações de otimização personalizadas.
6. Considere arquiteturas sem servidor, como o AWS Lambda, para reduzir os custos de infraestrutura.
Informe-nos se precisar de mais assistência.
Atenciosamente,
Agente da Service Desk</t>
        </is>
      </c>
      <c r="I408" s="1" t="inlineStr">
        <is>
          <t>medium</t>
        </is>
      </c>
      <c r="J408" s="1" t="inlineStr">
        <is>
          <t>['Technical Support', 'Cost Optimization', 'AWS Management Service', 'Performance Tuning', 'Technical Guidance', 'Incident Report', 'Problem Resolution']</t>
        </is>
      </c>
      <c r="K408" s="1" t="inlineStr">
        <is>
          <t>pt</t>
        </is>
      </c>
      <c r="L408" s="1" t="n">
        <v>416</v>
      </c>
    </row>
    <row r="409" ht="16.5" customHeight="1">
      <c r="A409" s="1" t="n">
        <v>3471</v>
      </c>
      <c r="B409" s="3" t="inlineStr">
        <is>
          <t>Solicitação de Serviço</t>
        </is>
      </c>
      <c r="C409" s="3" t="inlineStr">
        <is>
          <t>Gerenciamento de Nível de Serviço</t>
        </is>
      </c>
      <c r="D409" s="1" t="inlineStr">
        <is>
          <t>Consulta sobre Serviços de Consultoria em TI</t>
        </is>
      </c>
      <c r="E409" s="1" t="inlineStr">
        <is>
          <t>Customer Service</t>
        </is>
      </c>
      <c r="F409" s="1" t="inlineStr">
        <is>
          <t>Caro Time de Suporte ao Cliente,
Espero que esta mensagem os encontre bem. Meu nome é &lt;name&gt; e estou interessado em explorar a variedade de serviços de consultoria em TI que sua respeitável empresa oferece, com foco particular na administração de servidores. Ouvi comentários louváveis sobre sua experiência neste domínio e gostaria de entender melhor como seus serviços poderiam beneficiar uma organização como a nossa.
Nossa empresa está atualmente avaliando opções para otimizar nossa infraestrutura de servidores, com o objetivo de aumentar a eficiência e a segurança. Poderia, por favor, fornecer informações detalhadas sobre seus serviços de administração de servidores, incluindo aspectos como configuração, gerenciamento e manutenção contínua? Além disso, informações sobre suas medidas de segurança e soluções de backup de dados para proteger ativos críticos seriam inestimáveis.
Além disso, entender seu modelo de suporte e os custos relacionados ajudaria muito na avaliação da viabilidade de contratar seus serviços. Se possível, inclua também quaisquer estudos de caso ou referências de projetos semelhantes que sua empresa tenha realizado com sucesso.
Estou ansioso para aprender mais sobre como podemos colaborar para alcançar nossos objetivos de TI. Agradeço pela sua assistência e sinta-se à vontade para me contatar pelo &lt;tel_num&gt; para qualquer discussão adicional.
Atenciosamente,
&lt;name&gt;</t>
        </is>
      </c>
      <c r="G409" s="1" t="inlineStr">
        <is>
          <t>Request</t>
        </is>
      </c>
      <c r="H409" s="1" t="inlineStr">
        <is>
          <t>Caro &lt;name&gt;,
Obrigado por entrar em contato e considerar nossos serviços de consultoria em TI para suas necessidades de administração de servidores. Fico feliz em saber sobre o feedback positivo que você recebeu e estamos ansiosos para ajudar sua organização.
Nossos serviços de administração de servidores abrangem áreas abrangentes, incluindo configuração, gerenciamento e manutenção contínua. Nossa equipe garante que sua infraestrutura seja eficiente e segura, implementando medidas de segurança robustas e soluções eficazes de backup de dados.
Oferecemos um modelo de suporte flexível adaptado às suas necessidades, garantindo que você tenha o nível certo de suporte a custos apropriados. Ficaríamos felizes em fornecer informações detalhadas sobre várias opções de pacotes e seus respectivos modelos de preços.
Além disso, enviaremos estudos de caso relevantes e referências de projetos semelhantes que concluímos com sucesso para fornecer informações sobre nossa abordagem e expertise.
Para quaisquer outras dúvidas ou para discutir uma potencial colaboração, fique à vontade para nos contatar diretamente. Também podemos agendar uma ligação na sua conveniência para abordar detalhes e responder a quaisquer outras perguntas que você possa ter.
Aguardamos ansiosamente a possibilidade de trabalharmos juntos para alcançar seus objetivos de TI.
Atenciosamente,
[Seu Nome]
[Sua Posição]
[Suas Informações de Contato]
[Nome da Empresa]</t>
        </is>
      </c>
      <c r="I409" s="1" t="inlineStr">
        <is>
          <t>low</t>
        </is>
      </c>
      <c r="J409" s="1" t="inlineStr">
        <is>
          <t>['Technical Support', 'IT Support', 'Technical Guidance', 'Consulting Services', 'Service Notification', 'General Inquiry', 'Problem Resolution', 'Account Assistance']</t>
        </is>
      </c>
      <c r="K409" s="1" t="inlineStr">
        <is>
          <t>pt</t>
        </is>
      </c>
      <c r="L409" s="1" t="n">
        <v>1411</v>
      </c>
    </row>
    <row r="410" ht="16.5" customHeight="1">
      <c r="A410" s="1" t="n">
        <v>3475</v>
      </c>
      <c r="B410" s="3" t="inlineStr">
        <is>
          <t>Gerenciamento de Incidentes</t>
        </is>
      </c>
      <c r="C410" s="3" t="inlineStr">
        <is>
          <t>Gerenciamento de Disponibilidade</t>
        </is>
      </c>
      <c r="D410" s="1" t="inlineStr">
        <is>
          <t>Assistência Urgente Necessária: Interrupção do Serviço AWS</t>
        </is>
      </c>
      <c r="E410" s="1" t="inlineStr">
        <is>
          <t>Service Outages and Maintenance</t>
        </is>
      </c>
      <c r="F410" s="1" t="inlineStr">
        <is>
          <t>Caro equipe de Suporte ao Cliente dos Serviços de TI,
Espero que esta mensagem o encontre bem. Estou escrevendo para informar sobre uma interrupção inesperada no serviço que estamos enfrentando com o Serviço de Gerenciamento da AWS. Nosso sistema de monitoramento da AWS indicou uma interrupção inesperada nos serviços, o que está afetando significativamente nossa acessibilidade à nuvem e nossa produtividade geral. Esta situação está impactando nossas operações e estamos em extrema necessidade de sua experiência técnica para nos ajudar a resolver esses desafios o mais rápido possível.
Você poderia, por favor, acelerar essa questão e nos fornecer a assistência necessária para restaurar as operações normais? Dependemos muito da AWS para nossas atividades diárias, e qualquer tempo de inatividade afeta severamente nosso fluxo de trabalho e a entrega de serviços. Agradecemos sua atenção imediata a este assunto e esperamos seu rápido apoio na restauração da funcionalidade plena.
Sinta-se à vontade para me contatar pelo &lt;tel_num&gt; ou me enviar um e-mail de volta para qualquer discussão ou esclarecimento necessário. Obrigado pela sua atenção e apoio imediatos.
Atenciosamente,
&lt;name&gt;</t>
        </is>
      </c>
      <c r="G410" s="1" t="inlineStr">
        <is>
          <t>Incident</t>
        </is>
      </c>
      <c r="H410" s="1" t="inlineStr">
        <is>
          <t>Caro &lt;name&gt;,
Obrigado por entrar em contato. Entendemos a urgência da interrupção do serviço que afeta suas operações na AWS. Nossa equipe técnica já está trabalhando para identificar a causa raiz e priorizará a restauração da funcionalidade plena do seu Serviço de Gerenciamento da AWS o mais rápido possível.
Agradecemos sua paciência e o manteremos informado sobre o progresso. Se você tiver mais perguntas ou precisar de assistência adicional, por favor, não hesite em nos contatar pelo &lt;tel_num&gt;.
Atenciosamente,
Equipe de Suporte ao Cliente dos Serviços de TI</t>
        </is>
      </c>
      <c r="I410" s="1" t="inlineStr">
        <is>
          <t>medium</t>
        </is>
      </c>
      <c r="J410" s="1" t="inlineStr">
        <is>
          <t>['Urgent Issue', 'Service Disruption', 'Technical Support', 'IT Support', 'Incident Report', 'Problem Resolution']</t>
        </is>
      </c>
      <c r="K410" s="1" t="inlineStr">
        <is>
          <t>pt</t>
        </is>
      </c>
      <c r="L410" s="1" t="n">
        <v>1195</v>
      </c>
    </row>
    <row r="411" ht="16.5" customHeight="1">
      <c r="A411" s="1" t="n">
        <v>3479</v>
      </c>
      <c r="B411" s="3" t="inlineStr">
        <is>
          <t>Solicitação de Serviço</t>
        </is>
      </c>
      <c r="C411" s="3" t="inlineStr">
        <is>
          <t>Gerenciamento de Ativos de TI</t>
        </is>
      </c>
      <c r="D411" s="1" t="inlineStr">
        <is>
          <t>Solicitação de Especificações e Personalização do MacBook Air M1</t>
        </is>
      </c>
      <c r="E411" s="1" t="inlineStr">
        <is>
          <t>Customer Service</t>
        </is>
      </c>
      <c r="F411" s="1" t="inlineStr">
        <is>
          <t>Caro time de suporte da Tech Online Store,
Estou interessado em comprar um MacBook Air M1 e gostaria de especificações detalhadas e informações sobre as opções de personalização disponíveis. Você poderia, por favor, fornecer essas informações?
Obrigado pela sua assistência.
Atenciosamente,
&lt;name&gt;</t>
        </is>
      </c>
      <c r="G411" s="1" t="inlineStr">
        <is>
          <t>Request</t>
        </is>
      </c>
      <c r="H411" s="1" t="inlineStr">
        <is>
          <t>Caro &lt;name&gt;,
Obrigado pelo seu interesse. O MacBook Air M1 possui uma tela Retina de 13,3", chip Apple M1, CPU de 8 núcleos, até 16GB de RAM e até 2TB de armazenamento SSD. As opções de personalização incluem upgrade de RAM, upgrade de armazenamento e software pré-instalado. Para mais detalhes ou para realizar um pedido, por favor, visite nosso site.
Atenciosamente,
Equipe de Suporte da Tech Online Store</t>
        </is>
      </c>
      <c r="I411" s="1" t="inlineStr">
        <is>
          <t>medium</t>
        </is>
      </c>
      <c r="J411" s="1" t="inlineStr">
        <is>
          <t>['Sales Inquiry', 'Product Support', 'General Inquiry', 'Technical Guidance']</t>
        </is>
      </c>
      <c r="K411" s="1" t="inlineStr">
        <is>
          <t>pt</t>
        </is>
      </c>
      <c r="L411" s="1" t="n">
        <v>300</v>
      </c>
    </row>
    <row r="412" ht="16.5" customHeight="1">
      <c r="A412" s="1" t="n">
        <v>3490</v>
      </c>
      <c r="B412" s="3" t="inlineStr">
        <is>
          <t>Solicitação de Serviço</t>
        </is>
      </c>
      <c r="C412" s="3" t="inlineStr">
        <is>
          <t>Gerenciamento de Ativos de TI</t>
        </is>
      </c>
      <c r="D412" s="1" t="inlineStr">
        <is>
          <t>Solicitação de Troca Devida a Problemas de Flickering no LG OLED C1</t>
        </is>
      </c>
      <c r="E412" s="1" t="inlineStr">
        <is>
          <t>Returns and Exchanges</t>
        </is>
      </c>
      <c r="F412" s="1" t="inlineStr">
        <is>
          <t>Caro Suporte ao Cliente da Tech Online Store,
Estou escrevendo para relatar um problema com a televisão LG OLED C1 que comprei. A tela está piscando intermitentemente, o que persiste mesmo após redefinir o dispositivo de acordo com o conselho de solução de problemas fornecido no manual. Este problema está afetando minha experiência de visualização, tornando difícil desfrutar do produto conforme pretendido. Portanto, solicito gentilmente uma troca desta unidade.
Você poderia fornecer orientações sobre os passos para retornar o produto defeituoso e obter uma unidade de substituição?
Obrigado por abordar este assunto rapidamente. Aguardamos sua pronta resposta.
Atenciosamente,
&lt;name&gt;</t>
        </is>
      </c>
      <c r="G412" s="1" t="inlineStr">
        <is>
          <t>Incident</t>
        </is>
      </c>
      <c r="H412" s="1" t="inlineStr">
        <is>
          <t>Caro &lt;name&gt;,
Obrigado por entrar em contato conosco a respeito do problema com sua televisão LG OLED C1. Pedimos desculpas pelo inconveniente causado pela tela piscando. Para ajudá-lo com o processo de troca, siga estas etapas:
1. Prepare a televisão para devolução embalando-a com segurança em sua caixa original, se possível.
2. Inclua todos os acessórios e o comprovante de compra original.
3. Entre em contato com nosso departamento de devoluções pelo [email/número de telefone] para receber um número de autorização de devolução e mais instruções.
4. Assim que recebermos o produto defeituoso, processaremos sua troca rapidamente e enviaremos uma unidade de substituição.
Se precisar de mais assistência, não hesite em entrar em contato.
Atenciosamente,
Suporte ao Cliente da Tech Online Store</t>
        </is>
      </c>
      <c r="I412" s="1" t="inlineStr">
        <is>
          <t>low</t>
        </is>
      </c>
      <c r="J412" s="1" t="inlineStr">
        <is>
          <t>['Returns and Exchanges', 'Product Support', 'Order Issue', 'Customer Service', 'Technical Support', 'Service Recovery']</t>
        </is>
      </c>
      <c r="K412" s="1" t="inlineStr">
        <is>
          <t>pt</t>
        </is>
      </c>
      <c r="L412" s="1" t="n">
        <v>693</v>
      </c>
    </row>
    <row r="413" ht="16.5" customHeight="1">
      <c r="A413" s="1" t="n">
        <v>3492</v>
      </c>
      <c r="B413" s="3" t="inlineStr">
        <is>
          <t>Gerenciamento de Incidentes</t>
        </is>
      </c>
      <c r="C413" s="3" t="inlineStr">
        <is>
          <t>Gerenciamento de Disponibilidade</t>
        </is>
      </c>
      <c r="D413" s="1" t="inlineStr">
        <is>
          <t>Assistência Urgente Necessária: Queda do Servidor MySQL</t>
        </is>
      </c>
      <c r="E413" s="1" t="inlineStr">
        <is>
          <t>IT Support</t>
        </is>
      </c>
      <c r="F413" s="1" t="inlineStr">
        <is>
          <t>Caro Time de Suporte ao Cliente,&lt;br&gt;&lt;br&gt;Estou escrevendo para solicitar urgentemente assistência com um problema crítico que estamos enfrentando com nosso servidor de banco de dados MySQL, versão 8.0.30. Infelizmente, ele caiu durante uma operação extremamente crítica, o que impactou severamente nossas operações comerciais. Nossa situação atual exige atenção imediata para restaurar a funcionalidade do banco de dados, a fim de evitar mais interrupções e possíveis perdas de dados.&lt;br&gt;&lt;br&gt;A queda do banco de dados ocorreu aproximadamente às 10:45 da manhã de hoje, enquanto processávamos uma tarefa sensível ao tempo, essencial para a continuidade de nosso serviço. Tentamos solucionar o problema usando procedimentos de recuperação padrão, mas sem sucesso. Dada a complexidade e urgência da situação, precisamos de intervenção especializada o mais rápido possível.&lt;br&gt;&lt;br&gt;Dependemos deste banco de dados para várias funções essenciais do negócio, e qualquer inatividade prolongada pode resultar em desafios operacionais significativos. Peço gentilmente sua atenção imediata para resolver esta questão. Por favor, nos avise sobre os próximos passos ou qualquer informação necessária de nossa parte para acelerar o processo de suporte. Você pode me contatar diretamente pelo &lt;tel_num&gt; para qualquer colaboração imediata necessária.&lt;br&gt;&lt;br&gt;Obrigado pela sua atenção rápida a este assunto urgente. Aguardamos sua resposta e resolução rápida.&lt;br&gt;&lt;br&gt;Atenciosamente,&lt;br&gt;&lt;name&gt;</t>
        </is>
      </c>
      <c r="G413" s="1" t="inlineStr">
        <is>
          <t>Incident</t>
        </is>
      </c>
      <c r="H413" s="1" t="inlineStr">
        <is>
          <t>Caro &lt;name&gt;,
Obrigado por entrar em contato conosco sobre o problema urgente com seu servidor de banco de dados MySQL. Entendemos a natureza crítica e o impacto desta queda do servidor em suas operações.
Para abordar o problema de forma eficiente, por favor, forneça-nos quaisquer registros de erro ou mensagens específicas do seu servidor MySQL, se possível. Além disso, nos avise sobre quaisquer mudanças ou atualizações recentes feitas no servidor antes da queda.
Nossa equipe técnica está priorizando seu caso e irá orientá-lo durante o processo de recuperação passo a passo. Você pode esperar ouvir de nós em breve com mais instruções.
Por favor, mantenha seu contato &lt;tel_num&gt; disponível para qualquer colaboração direta necessária.
Estamos comprometidos em ajudá-lo a restaurar a funcionalidade total o mais rápido possível.
Obrigado pela sua paciência.
Atenciosamente,
Equipe de Suporte ao Cliente</t>
        </is>
      </c>
      <c r="I413" s="1" t="inlineStr">
        <is>
          <t>high</t>
        </is>
      </c>
      <c r="J413" s="1" t="inlineStr">
        <is>
          <t>['Critical Failure', 'Urgent Issue', 'Service Disruption', 'IT Support', 'Database Issue', 'System Crash', 'Problem Resolution', 'Technical Support']</t>
        </is>
      </c>
      <c r="K413" s="1" t="inlineStr">
        <is>
          <t>pt</t>
        </is>
      </c>
      <c r="L413" s="1" t="n">
        <v>1474</v>
      </c>
    </row>
    <row r="414" ht="16.5" customHeight="1">
      <c r="A414" s="1" t="n">
        <v>3499</v>
      </c>
      <c r="B414" s="3" t="inlineStr">
        <is>
          <t>Gerenciamento Financeiro</t>
        </is>
      </c>
      <c r="C414" s="3" t="inlineStr">
        <is>
          <t>Gerenciamento de Incidentes</t>
        </is>
      </c>
      <c r="D414" s="1" t="inlineStr">
        <is>
          <t>Problema com Falha de Pagamento para Assinatura do Microsoft Office 365</t>
        </is>
      </c>
      <c r="E414" s="1" t="inlineStr">
        <is>
          <t>Billing and Payments</t>
        </is>
      </c>
      <c r="F414" s="1" t="inlineStr">
        <is>
          <t>Olá Suporte da Loja Online Tech,
Estou entrando em contato porque encontrei uma falha de pagamento ao tentar adquirir uma assinatura anual do Microsoft Office 365 em seu site. Meu nome é &lt;name&gt;, e isso aconteceu durante o checkout após eu ter inserido meus dados. Utilizei meu cartão de crédito vinculado à conta &lt;acc_num&gt;. Você poderia, por favor, me ajudar a completar essa transação? Isso é bastante urgente, pois dependo muito deste software para as operações do meu negócio. Você pode me contatar pelo &lt;tel_num&gt; para mais detalhes, se necessário.
Obrigado pela sua assistência.
Atenciosamente,
&lt;name&gt;</t>
        </is>
      </c>
      <c r="G414" s="1" t="inlineStr">
        <is>
          <t>Problem</t>
        </is>
      </c>
      <c r="H414" s="1" t="inlineStr">
        <is>
          <t>Olá,
Obrigado por entrar em contato sobre o problema de pagamento da sua assinatura do Microsoft Office 365. Lamentamos o inconveniente. Para ajudá-lo rapidamente, por favor, tente os seguintes passos:
1. Certifique-se de que os detalhes do seu cartão de crédito estão inseridos corretamente e que sua conta possui fundos suficientes.
2. Tente usar um método de pagamento alternativo, se possível.
Se o problema persistir, por favor, forneça qualquer mensagem de erro que você possa ter encontrado. Nossa equipe técnica está pronta para ajudá-lo a resolvê-lo. Você pode responder com informações adicionais aqui ou entrar em contato conosco diretamente na nossa linha de suporte.
Estamos aqui para ajudar você o mais rápido possível.
Atenciosamente,
Suporte da Loja Online Tech</t>
        </is>
      </c>
      <c r="I414" s="1" t="inlineStr">
        <is>
          <t>medium</t>
        </is>
      </c>
      <c r="J414" s="1" t="inlineStr">
        <is>
          <t>['Billing Issue', 'Payment Processing', 'Urgent Issue', 'Account Assistance', 'Technical Support']</t>
        </is>
      </c>
      <c r="K414" s="1" t="inlineStr">
        <is>
          <t>pt</t>
        </is>
      </c>
      <c r="L414" s="1" t="n">
        <v>608</v>
      </c>
    </row>
    <row r="415" ht="16.5" customHeight="1">
      <c r="A415" s="1" t="n">
        <v>3505</v>
      </c>
      <c r="B415" s="3" t="inlineStr">
        <is>
          <t>Gerenciamento de Incidentes</t>
        </is>
      </c>
      <c r="C415" s="3" t="inlineStr">
        <is>
          <t>Gerenciamento de Ativos de TI</t>
        </is>
      </c>
      <c r="D415" s="1" t="inlineStr">
        <is>
          <t>Urgente: Problema de desligamento inesperado com MacBook Air M1</t>
        </is>
      </c>
      <c r="E415" s="1" t="inlineStr">
        <is>
          <t>Customer Service</t>
        </is>
      </c>
      <c r="F415" s="1" t="inlineStr">
        <is>
          <t>Meu MacBook Air M1 está desligando com frequência.</t>
        </is>
      </c>
      <c r="G415" s="1" t="inlineStr">
        <is>
          <t>Request</t>
        </is>
      </c>
      <c r="H415" s="1" t="inlineStr">
        <is>
          <t>Por favor, redefina o SMC e atualize o macOS. Se persistir, entre em contato com o suporte da Apple.</t>
        </is>
      </c>
      <c r="I415" s="1" t="inlineStr">
        <is>
          <t>high</t>
        </is>
      </c>
      <c r="J415" s="1" t="inlineStr">
        <is>
          <t>['Technical Support', 'Hardware Failure', 'Urgent Issue', 'Problem Resolution']</t>
        </is>
      </c>
      <c r="K415" s="1" t="inlineStr">
        <is>
          <t>pt</t>
        </is>
      </c>
      <c r="L415" s="1" t="n">
        <v>50</v>
      </c>
    </row>
    <row r="416" ht="16.5" customHeight="1">
      <c r="A416" s="1" t="n">
        <v>3514</v>
      </c>
      <c r="B416" s="3" t="inlineStr">
        <is>
          <t>Gerenciamento de Incidentes</t>
        </is>
      </c>
      <c r="C416" s="3" t="inlineStr">
        <is>
          <t>Gerenciamento de Problemas</t>
        </is>
      </c>
      <c r="D416" s="1" t="inlineStr">
        <is>
          <t>Incidente de alta prioridade</t>
        </is>
      </c>
      <c r="E416" s="1" t="inlineStr">
        <is>
          <t>Technical Support</t>
        </is>
      </c>
      <c r="F416" s="1" t="inlineStr">
        <is>
          <t>Caro Time de Suporte ao Cliente,
Espero que esta mensagem o encontre bem. Estou escrevendo para relatar um incidente de alta prioridade que nossa equipe encontrou na fila de suporte técnico relacionado ao Serviço de Consultoria de TI. Nossa capacidade de resolver essa solução de TI para a satisfação de nosso cliente está criticamente afetada, e precisamos de atenção imediata para garantir uma interrupção mínima.
O problema começou na noite passada e tem sido persistente até hoje. Apesar de nossas tentativas de solucionar e mitigar o problema internamente, a complexidade e a urgência exigem sua expertise. O problema levou a um tempo de inatividade significativo para várias operações de nosso cliente, e é imperativo que abordemos isso o mais rápido possível para evitar mais impactos.
Documentamos todos os detalhes relevantes e anexamos logs de todas as operações e mensagens de erro experienciadas até agora. Nossa equipe está em espera para fornecer qualquer informação adicional que facilite uma resolução rápida. Por favor, entre em contato conosco assim que possível para que possamos discutir os próximos passos.
Sua rápida resposta a este assunto seria muito apreciada. Você pode me contatar diretamente no meu número de telefone para uma discussão em tempo real. Obrigado por sua atenção e apoio.
Atenciosamente,
&lt;name&gt;
&lt;tel_num&gt;
&lt;acc_num&gt;
Departamento de Consultoria de TI</t>
        </is>
      </c>
      <c r="G416" s="1" t="inlineStr">
        <is>
          <t>Incident</t>
        </is>
      </c>
      <c r="H416" s="1" t="inlineStr">
        <is>
          <t>Caro &lt;name&gt;,
Obrigado por entrar em contato e nos informar sobre o incidente de alta prioridade relacionado ao Serviço de Consultoria de TI. Entendemos a urgência e o impacto que está tendo nas operações do seu cliente.
Nossa equipe técnica está revisando a documentação e os logs que você forneceu. Estamos priorizando esse problema e trabalharemos para resolvê-lo rapidamente. Agradecemos sua disposição em oferecer mais informações e, para nossos esforços coordenados, um membro de nossa equipe entrará em contato com você em breve.
Fique tranquilo, estamos totalmente comprometidos em minimizar a interrupção e resolver essa questão rapidamente. Você pode esperar um acompanhamento nosso em breve para discutir os próximos passos e quaisquer ações necessárias.
Obrigado pela sua paciência e cooperação.
Atenciosamente,
A Equipe de Suporte ao Cliente</t>
        </is>
      </c>
      <c r="I416" s="1" t="inlineStr">
        <is>
          <t>high</t>
        </is>
      </c>
      <c r="J416" s="1" t="inlineStr">
        <is>
          <t>['Urgent Issue', 'IT Support', 'Service Disruption', 'Incident Report', 'Problem Resolution']</t>
        </is>
      </c>
      <c r="K416" s="1" t="inlineStr">
        <is>
          <t>pt</t>
        </is>
      </c>
      <c r="L416" s="1" t="n">
        <v>1397</v>
      </c>
    </row>
    <row r="417" ht="16.5" customHeight="1">
      <c r="A417" s="1" t="n">
        <v>3517</v>
      </c>
      <c r="B417" s="3" t="inlineStr">
        <is>
          <t>Gerenciamento de Incidentes</t>
        </is>
      </c>
      <c r="C417" s="3" t="inlineStr">
        <is>
          <t>Gerenciamento de Disponibilidade</t>
        </is>
      </c>
      <c r="D417" s="1" t="inlineStr">
        <is>
          <t>Urgente: Interrupção de Serviço da AWS</t>
        </is>
      </c>
      <c r="E417" s="1" t="inlineStr">
        <is>
          <t>Service Outages and Maintenance</t>
        </is>
      </c>
      <c r="F417" s="1" t="inlineStr">
        <is>
          <t>Caro time de Suporte de Serviços de TI,
Estou entrando em contato para relatar uma interrupção crítica de serviço afetando nossa infraestrutura da AWS, impactando especificamente os recursos de computação gerenciados através do seu Serviço de Gerenciamento da AWS. Esta situação requer investigação imediata e resolução rápida, pois prejudica significativamente nossas operações. Por favor, priorizem este pedido e forneçam atualizações na sua primeira oportunidade.
Obrigado,
&lt;name&gt;</t>
        </is>
      </c>
      <c r="G417" s="1" t="inlineStr">
        <is>
          <t>Request</t>
        </is>
      </c>
      <c r="H417" s="1" t="inlineStr">
        <is>
          <t>Caro &lt;name&gt;,
Obrigado por nos informar sobre a interrupção do serviço da AWS que afeta seus recursos de computação. Entendemos a urgência da situação e priorizamos seu pedido. Nossa equipe já está investigando o problema e trabalhará para resolvê-lo o mais rápido possível. Forneceremos atualizações sobre o progresso e o cronograma de resolução na primeira oportunidade. Enquanto isso, por favor, nos avise se houver alguma informação adicional que você possa fornecer ou qualquer outra maneira que possamos ajudar.
Atenciosamente,
Equipe de Suporte de Serviços de TI</t>
        </is>
      </c>
      <c r="I417" s="1" t="inlineStr">
        <is>
          <t>high</t>
        </is>
      </c>
      <c r="J417" s="1" t="inlineStr">
        <is>
          <t>['Service Disruption', 'Urgent Issue', 'Incident Report', 'Technical Support', 'Service Recovery']</t>
        </is>
      </c>
      <c r="K417" s="1" t="inlineStr">
        <is>
          <t>pt</t>
        </is>
      </c>
      <c r="L417" s="1" t="n">
        <v>486</v>
      </c>
    </row>
    <row r="418" ht="16.5" customHeight="1">
      <c r="A418" s="1" t="n">
        <v>3522</v>
      </c>
      <c r="B418" s="3" t="inlineStr">
        <is>
          <t>Gerenciamento Financeiro</t>
        </is>
      </c>
      <c r="C418" s="3" t="inlineStr">
        <is>
          <t>Gerenciamento de Incidentes</t>
        </is>
      </c>
      <c r="D418" s="1" t="inlineStr">
        <is>
          <t>Problema de Cobrança: Cobranças Incorretas na Assinatura</t>
        </is>
      </c>
      <c r="E418" s="1" t="inlineStr">
        <is>
          <t>Billing and Payments</t>
        </is>
      </c>
      <c r="F418" s="1" t="inlineStr">
        <is>
          <t>Caro Equipe de Suporte ao Cliente,
Estou escrevendo para trazer à sua atenção uma discrepância na cobrança que recentemente percebi em minha conta com &lt;Software Development Company&gt;. Fui cobrado incorretamente por plugins adicionais de conclusão de código na minha assinatura do IntelliJ IDEA 2024.1. Minha conta, associada ao número da conta &lt;acc_num&gt;, foi cobrada por plugins que eu não autorizei ou comprei.
Embora eu aprecie o conjunto de recursos que seu software oferece, solicito gentilmente sua ajuda para retificar esse erro. Você poderia investigar a situação e me fornecer uma solução? Estou ansioso para entender como essas cobranças apareceram na minha fatura e prevenir tais ocorrências no futuro.
Agradeceria se você pudesse creditar as cobranças incorretas de volta na minha conta. Além disso, você poderia garantir que as configurações da minha conta estejam precisas e seguras para evitar quaisquer transações não autorizadas?
Se você precisar de mais detalhes de minha parte, por favor não hesite em me contatar em &lt;email_address&gt; ou pelo número de telefone &lt;tel_num&gt;.
Obrigado pela sua pronta atenção a este assunto.
Atenciosamente,
&lt;name&gt;</t>
        </is>
      </c>
      <c r="G418" s="1" t="inlineStr">
        <is>
          <t>Incident</t>
        </is>
      </c>
      <c r="H418" s="1" t="inlineStr">
        <is>
          <t>Caro &lt;name&gt;,
Obrigado por entrar em contato conosco sobre o problema de cobrança na sua assinatura do IntelliJ IDEA 2024.1. Pedimos desculpas por qualquer inconveniente que isso possa ter causado.
Vamos investigar as cobranças não autorizadas pelos plugins de conclusão de código em sua conta associada a &lt;acc_num&gt;. Fique tranquilo de que estamos analisando esse assunto com urgência.
Assim que verificarmos a discrepância na cobrança, creditaremos prontamente as cobranças incorretas de volta na sua conta. Além disso, revisaremos e atualizaremos as configurações da sua conta para garantir precisão e segurança, prevenindo transações não autorizadas no futuro.
Por favor, nos permita algum tempo para resolver isso, e forneceremos uma atualização assim que possível. Se precisarmos de mais informações, entraremos em contato pelos detalhes fornecidos.
Obrigado pela sua paciência e compreensão.
Atenciosamente,
Equipe de Suporte ao Cliente</t>
        </is>
      </c>
      <c r="I418" s="1" t="inlineStr">
        <is>
          <t>low</t>
        </is>
      </c>
      <c r="J418" s="1" t="inlineStr">
        <is>
          <t>['Billing Issue', 'Customer Service', 'Account Assistance', 'Refund Request', 'Payment Processing', 'Account Security']</t>
        </is>
      </c>
      <c r="K418" s="1" t="inlineStr">
        <is>
          <t>pt</t>
        </is>
      </c>
      <c r="L418" s="1" t="n">
        <v>1166</v>
      </c>
    </row>
    <row r="419" ht="16.5" customHeight="1">
      <c r="A419" s="1" t="n">
        <v>3528</v>
      </c>
      <c r="B419" s="3" t="inlineStr">
        <is>
          <t>Gerenciamento de Incidentes</t>
        </is>
      </c>
      <c r="C419" s="3" t="inlineStr">
        <is>
          <t>Gerenciamento de Problemas</t>
        </is>
      </c>
      <c r="D419" s="1" t="inlineStr">
        <is>
          <t>Assistência Necessária para Problema de Tela do Dell XPS 13</t>
        </is>
      </c>
      <c r="E419" s="1" t="inlineStr">
        <is>
          <t>Product Support</t>
        </is>
      </c>
      <c r="F419" s="1" t="inlineStr">
        <is>
          <t>Caro Time de Suporte ao Cliente, estou enfrentando um problema de cintilação na tela do meu Dell XPS 13 9310 ao usar aplicativos de vídeo. Esse problema interrompe meu uso e não consigo encontrar uma solução. Você poderia fornecer orientações de resolução de problemas ou agendar qualquer serviço necessário? Obrigado pela sua assistência. Atenciosamente, &lt;name&gt;</t>
        </is>
      </c>
      <c r="G419" s="1" t="inlineStr">
        <is>
          <t>Incident</t>
        </is>
      </c>
      <c r="H419" s="1" t="inlineStr">
        <is>
          <t>Caro &lt;name&gt;,
Obrigado por entrar em contato. Para resolver o problema de cintilação da tela no seu Dell XPS 13 9310, por favor, tente atualizar seu driver de vídeo pelo gerenciador de dispositivos e certifique-se de que seu aplicativo de vídeo está atualizado. Se o problema persistir, ajuste a taxa de atualização da tela nas configurações de exibição. Se precisar de mais assistência ou manutenção de hardware, entre em contato com o suporte da Dell para agendar um atendimento.
Atenciosamente,
Equipe de Suporte ao Cliente</t>
        </is>
      </c>
      <c r="I419" s="1" t="inlineStr">
        <is>
          <t>medium</t>
        </is>
      </c>
      <c r="J419" s="1" t="inlineStr">
        <is>
          <t>['Technical Support', 'Product Support', 'Software Bug', 'Hardware Failure', 'Problem Resolution']</t>
        </is>
      </c>
      <c r="K419" s="1" t="inlineStr">
        <is>
          <t>pt</t>
        </is>
      </c>
      <c r="L419" s="1" t="n">
        <v>362</v>
      </c>
    </row>
    <row r="420" ht="16.5" customHeight="1">
      <c r="A420" s="1" t="n">
        <v>3530</v>
      </c>
      <c r="B420" s="3" t="inlineStr">
        <is>
          <t>Gerenciamento de Incidentes</t>
        </is>
      </c>
      <c r="C420" s="3" t="inlineStr">
        <is>
          <t>Gerenciamento de Problemas</t>
        </is>
      </c>
      <c r="D420" s="1" t="inlineStr">
        <is>
          <t>Problemas com a impressora HP DeskJet 3755</t>
        </is>
      </c>
      <c r="E420" s="1" t="inlineStr">
        <is>
          <t>Product Support</t>
        </is>
      </c>
      <c r="F420" s="1" t="inlineStr">
        <is>
          <t>Olá Suporte ao Cliente,
Estou escrevendo para expressar minha preocupação com minha impressora HP DeskJet 3755, que está apresentando problemas. Ela encontra erros ao imprimir sem fio, afetando todos os dispositivos conectados na minha rede doméstica. Isso interrompeu significativamente minha capacidade de gerenciar as tarefas diárias. Você poderia me ajudar a diagnosticar e resolver esse problema? Qualquer ajuda seria apreciada.
Atenciosamente,
&lt;name&gt; &lt;acc_num&gt;
&lt;tel_num&gt;</t>
        </is>
      </c>
      <c r="G420" s="1" t="inlineStr">
        <is>
          <t>Incident</t>
        </is>
      </c>
      <c r="H420" s="1" t="inlineStr">
        <is>
          <t>Assunto: Re: Problemas com a impressora HP DeskJet 3755
Olá &lt;name&gt;,
Obrigado por entrar em contato sobre o problema com sua impressora HP DeskJet 3755. Para resolver o problema de impressão sem fio, por favor, tente os seguintes passos:
1. Reinicie sua impressora e seu roteador para atualizar a conexão de rede.
2. Certifique-se de que o firmware da sua impressora esteja atualizado através do site do fabricante.
3. Confirme se todos os dispositivos estão conectados à mesma rede.
4. Reinstale os drivers da impressora em seus dispositivos.
Se o problema persistir, por favor, nos avise para que possamos ajudar você ainda mais.
Atenciosamente,
Suporte ao Cliente</t>
        </is>
      </c>
      <c r="I420" s="1" t="inlineStr">
        <is>
          <t>medium</t>
        </is>
      </c>
      <c r="J420" s="1" t="inlineStr">
        <is>
          <t>['Technical Support', 'Printer Issues', 'Hardware Failure', 'Network Issue', 'Problem Resolution', 'Customer Service']</t>
        </is>
      </c>
      <c r="K420" s="1" t="inlineStr">
        <is>
          <t>pt</t>
        </is>
      </c>
      <c r="L420" s="1" t="n">
        <v>479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2026-05-14T00:05:42Z</dcterms:created>
  <dcterms:modified xsi:type="dcterms:W3CDTF">2026-05-29T01:06:49Z</dcterms:modified>
  <cp:lastModifiedBy>julio cesar alves</cp:lastModifiedBy>
</cp:coreProperties>
</file>